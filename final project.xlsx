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5d5d028b6e7a8daf/Desktop/aksa/"/>
    </mc:Choice>
  </mc:AlternateContent>
  <xr:revisionPtr revIDLastSave="0" documentId="8_{E71CFD45-D3B9-4504-8DE9-851FFAA45A71}" xr6:coauthVersionLast="47" xr6:coauthVersionMax="47" xr10:uidLastSave="{00000000-0000-0000-0000-000000000000}"/>
  <bookViews>
    <workbookView xWindow="-108" yWindow="-108" windowWidth="23256" windowHeight="12456" xr2:uid="{14259030-A0ED-4F09-94D1-3442A4F7EFB5}"/>
  </bookViews>
  <sheets>
    <sheet name="final dataset" sheetId="1" r:id="rId1"/>
    <sheet name="lookup wheather" sheetId="2" r:id="rId2"/>
    <sheet name="pivot table usertype" sheetId="3" r:id="rId3"/>
    <sheet name="pivot trend" sheetId="4" r:id="rId4"/>
    <sheet name="wheather impact" sheetId="5" r:id="rId5"/>
    <sheet name="pivot table heat map" sheetId="6" r:id="rId6"/>
    <sheet name="wheather forecast" sheetId="7" r:id="rId7"/>
    <sheet name="statstical analysis" sheetId="8" r:id="rId8"/>
    <sheet name="dashboard" sheetId="9" r:id="rId9"/>
  </sheets>
  <externalReferences>
    <externalReference r:id="rId10"/>
  </externalReferences>
  <definedNames>
    <definedName name="ExternalData_4" localSheetId="0" hidden="1">'final dataset'!$A$1:$P$1001</definedName>
    <definedName name="Slicer_Day_Type">#N/A</definedName>
    <definedName name="Slicer_Month">#N/A</definedName>
    <definedName name="Slicer_Time_Slot">#N/A</definedName>
    <definedName name="Slicer_Weathe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5" i="9" l="1"/>
  <c r="K5" i="9"/>
  <c r="G5" i="9"/>
  <c r="C5" i="9"/>
  <c r="B9" i="8"/>
  <c r="B7" i="8"/>
  <c r="B4" i="8"/>
  <c r="B5" i="8" s="1"/>
  <c r="B1" i="8"/>
  <c r="B2" i="8" s="1"/>
  <c r="U1001" i="1"/>
  <c r="T1001" i="1"/>
  <c r="S1001" i="1"/>
  <c r="R1001" i="1"/>
  <c r="Q1001" i="1"/>
  <c r="U1000" i="1"/>
  <c r="T1000" i="1"/>
  <c r="S1000" i="1"/>
  <c r="R1000" i="1"/>
  <c r="Q1000" i="1"/>
  <c r="U999" i="1"/>
  <c r="T999" i="1"/>
  <c r="S999" i="1"/>
  <c r="R999" i="1"/>
  <c r="Q999" i="1"/>
  <c r="U998" i="1"/>
  <c r="T998" i="1"/>
  <c r="S998" i="1"/>
  <c r="R998" i="1"/>
  <c r="Q998" i="1"/>
  <c r="U997" i="1"/>
  <c r="T997" i="1"/>
  <c r="S997" i="1"/>
  <c r="R997" i="1"/>
  <c r="Q997" i="1"/>
  <c r="U996" i="1"/>
  <c r="T996" i="1"/>
  <c r="S996" i="1"/>
  <c r="R996" i="1"/>
  <c r="Q996" i="1"/>
  <c r="U995" i="1"/>
  <c r="T995" i="1"/>
  <c r="S995" i="1"/>
  <c r="R995" i="1"/>
  <c r="Q995" i="1"/>
  <c r="U994" i="1"/>
  <c r="T994" i="1"/>
  <c r="S994" i="1"/>
  <c r="R994" i="1"/>
  <c r="Q994" i="1"/>
  <c r="U993" i="1"/>
  <c r="T993" i="1"/>
  <c r="S993" i="1"/>
  <c r="R993" i="1"/>
  <c r="Q993" i="1"/>
  <c r="U992" i="1"/>
  <c r="T992" i="1"/>
  <c r="S992" i="1"/>
  <c r="R992" i="1"/>
  <c r="Q992" i="1"/>
  <c r="U991" i="1"/>
  <c r="T991" i="1"/>
  <c r="S991" i="1"/>
  <c r="R991" i="1"/>
  <c r="Q991" i="1"/>
  <c r="U990" i="1"/>
  <c r="T990" i="1"/>
  <c r="S990" i="1"/>
  <c r="R990" i="1"/>
  <c r="Q990" i="1"/>
  <c r="U989" i="1"/>
  <c r="T989" i="1"/>
  <c r="S989" i="1"/>
  <c r="R989" i="1"/>
  <c r="Q989" i="1"/>
  <c r="U988" i="1"/>
  <c r="T988" i="1"/>
  <c r="S988" i="1"/>
  <c r="R988" i="1"/>
  <c r="Q988" i="1"/>
  <c r="U987" i="1"/>
  <c r="T987" i="1"/>
  <c r="S987" i="1"/>
  <c r="R987" i="1"/>
  <c r="Q987" i="1"/>
  <c r="U986" i="1"/>
  <c r="T986" i="1"/>
  <c r="S986" i="1"/>
  <c r="R986" i="1"/>
  <c r="Q986" i="1"/>
  <c r="U985" i="1"/>
  <c r="T985" i="1"/>
  <c r="S985" i="1"/>
  <c r="R985" i="1"/>
  <c r="Q985" i="1"/>
  <c r="U984" i="1"/>
  <c r="T984" i="1"/>
  <c r="S984" i="1"/>
  <c r="R984" i="1"/>
  <c r="Q984" i="1"/>
  <c r="U983" i="1"/>
  <c r="T983" i="1"/>
  <c r="S983" i="1"/>
  <c r="R983" i="1"/>
  <c r="Q983" i="1"/>
  <c r="U982" i="1"/>
  <c r="T982" i="1"/>
  <c r="S982" i="1"/>
  <c r="R982" i="1"/>
  <c r="Q982" i="1"/>
  <c r="U981" i="1"/>
  <c r="T981" i="1"/>
  <c r="S981" i="1"/>
  <c r="R981" i="1"/>
  <c r="Q981" i="1"/>
  <c r="U980" i="1"/>
  <c r="T980" i="1"/>
  <c r="S980" i="1"/>
  <c r="R980" i="1"/>
  <c r="Q980" i="1"/>
  <c r="U979" i="1"/>
  <c r="T979" i="1"/>
  <c r="S979" i="1"/>
  <c r="R979" i="1"/>
  <c r="Q979" i="1"/>
  <c r="U978" i="1"/>
  <c r="T978" i="1"/>
  <c r="S978" i="1"/>
  <c r="R978" i="1"/>
  <c r="Q978" i="1"/>
  <c r="U977" i="1"/>
  <c r="T977" i="1"/>
  <c r="S977" i="1"/>
  <c r="R977" i="1"/>
  <c r="Q977" i="1"/>
  <c r="U976" i="1"/>
  <c r="T976" i="1"/>
  <c r="S976" i="1"/>
  <c r="R976" i="1"/>
  <c r="Q976" i="1"/>
  <c r="U975" i="1"/>
  <c r="T975" i="1"/>
  <c r="S975" i="1"/>
  <c r="R975" i="1"/>
  <c r="Q975" i="1"/>
  <c r="U974" i="1"/>
  <c r="T974" i="1"/>
  <c r="S974" i="1"/>
  <c r="R974" i="1"/>
  <c r="Q974" i="1"/>
  <c r="U973" i="1"/>
  <c r="T973" i="1"/>
  <c r="S973" i="1"/>
  <c r="R973" i="1"/>
  <c r="Q973" i="1"/>
  <c r="U972" i="1"/>
  <c r="T972" i="1"/>
  <c r="S972" i="1"/>
  <c r="R972" i="1"/>
  <c r="Q972" i="1"/>
  <c r="U971" i="1"/>
  <c r="T971" i="1"/>
  <c r="S971" i="1"/>
  <c r="R971" i="1"/>
  <c r="Q971" i="1"/>
  <c r="U970" i="1"/>
  <c r="T970" i="1"/>
  <c r="S970" i="1"/>
  <c r="R970" i="1"/>
  <c r="Q970" i="1"/>
  <c r="U969" i="1"/>
  <c r="T969" i="1"/>
  <c r="S969" i="1"/>
  <c r="R969" i="1"/>
  <c r="Q969" i="1"/>
  <c r="U968" i="1"/>
  <c r="T968" i="1"/>
  <c r="S968" i="1"/>
  <c r="R968" i="1"/>
  <c r="Q968" i="1"/>
  <c r="U967" i="1"/>
  <c r="T967" i="1"/>
  <c r="S967" i="1"/>
  <c r="R967" i="1"/>
  <c r="Q967" i="1"/>
  <c r="U966" i="1"/>
  <c r="T966" i="1"/>
  <c r="S966" i="1"/>
  <c r="R966" i="1"/>
  <c r="Q966" i="1"/>
  <c r="U965" i="1"/>
  <c r="T965" i="1"/>
  <c r="S965" i="1"/>
  <c r="R965" i="1"/>
  <c r="Q965" i="1"/>
  <c r="U964" i="1"/>
  <c r="T964" i="1"/>
  <c r="S964" i="1"/>
  <c r="R964" i="1"/>
  <c r="Q964" i="1"/>
  <c r="U963" i="1"/>
  <c r="T963" i="1"/>
  <c r="S963" i="1"/>
  <c r="R963" i="1"/>
  <c r="Q963" i="1"/>
  <c r="U962" i="1"/>
  <c r="T962" i="1"/>
  <c r="S962" i="1"/>
  <c r="R962" i="1"/>
  <c r="Q962" i="1"/>
  <c r="U961" i="1"/>
  <c r="T961" i="1"/>
  <c r="S961" i="1"/>
  <c r="R961" i="1"/>
  <c r="Q961" i="1"/>
  <c r="U960" i="1"/>
  <c r="T960" i="1"/>
  <c r="S960" i="1"/>
  <c r="R960" i="1"/>
  <c r="Q960" i="1"/>
  <c r="U959" i="1"/>
  <c r="T959" i="1"/>
  <c r="S959" i="1"/>
  <c r="R959" i="1"/>
  <c r="Q959" i="1"/>
  <c r="U958" i="1"/>
  <c r="T958" i="1"/>
  <c r="S958" i="1"/>
  <c r="R958" i="1"/>
  <c r="Q958" i="1"/>
  <c r="U957" i="1"/>
  <c r="T957" i="1"/>
  <c r="S957" i="1"/>
  <c r="R957" i="1"/>
  <c r="Q957" i="1"/>
  <c r="U956" i="1"/>
  <c r="T956" i="1"/>
  <c r="S956" i="1"/>
  <c r="R956" i="1"/>
  <c r="Q956" i="1"/>
  <c r="U955" i="1"/>
  <c r="T955" i="1"/>
  <c r="S955" i="1"/>
  <c r="R955" i="1"/>
  <c r="Q955" i="1"/>
  <c r="U954" i="1"/>
  <c r="T954" i="1"/>
  <c r="S954" i="1"/>
  <c r="R954" i="1"/>
  <c r="Q954" i="1"/>
  <c r="U953" i="1"/>
  <c r="T953" i="1"/>
  <c r="S953" i="1"/>
  <c r="R953" i="1"/>
  <c r="Q953" i="1"/>
  <c r="U952" i="1"/>
  <c r="T952" i="1"/>
  <c r="S952" i="1"/>
  <c r="R952" i="1"/>
  <c r="Q952" i="1"/>
  <c r="U951" i="1"/>
  <c r="T951" i="1"/>
  <c r="S951" i="1"/>
  <c r="R951" i="1"/>
  <c r="Q951" i="1"/>
  <c r="U950" i="1"/>
  <c r="T950" i="1"/>
  <c r="S950" i="1"/>
  <c r="R950" i="1"/>
  <c r="Q950" i="1"/>
  <c r="U949" i="1"/>
  <c r="T949" i="1"/>
  <c r="S949" i="1"/>
  <c r="R949" i="1"/>
  <c r="Q949" i="1"/>
  <c r="U948" i="1"/>
  <c r="T948" i="1"/>
  <c r="S948" i="1"/>
  <c r="R948" i="1"/>
  <c r="Q948" i="1"/>
  <c r="U947" i="1"/>
  <c r="T947" i="1"/>
  <c r="S947" i="1"/>
  <c r="R947" i="1"/>
  <c r="Q947" i="1"/>
  <c r="U946" i="1"/>
  <c r="T946" i="1"/>
  <c r="S946" i="1"/>
  <c r="R946" i="1"/>
  <c r="Q946" i="1"/>
  <c r="U945" i="1"/>
  <c r="T945" i="1"/>
  <c r="S945" i="1"/>
  <c r="R945" i="1"/>
  <c r="Q945" i="1"/>
  <c r="U944" i="1"/>
  <c r="T944" i="1"/>
  <c r="S944" i="1"/>
  <c r="R944" i="1"/>
  <c r="Q944" i="1"/>
  <c r="U943" i="1"/>
  <c r="T943" i="1"/>
  <c r="S943" i="1"/>
  <c r="R943" i="1"/>
  <c r="Q943" i="1"/>
  <c r="U942" i="1"/>
  <c r="T942" i="1"/>
  <c r="S942" i="1"/>
  <c r="R942" i="1"/>
  <c r="Q942" i="1"/>
  <c r="U941" i="1"/>
  <c r="T941" i="1"/>
  <c r="S941" i="1"/>
  <c r="R941" i="1"/>
  <c r="Q941" i="1"/>
  <c r="U940" i="1"/>
  <c r="T940" i="1"/>
  <c r="S940" i="1"/>
  <c r="R940" i="1"/>
  <c r="Q940" i="1"/>
  <c r="U939" i="1"/>
  <c r="T939" i="1"/>
  <c r="S939" i="1"/>
  <c r="R939" i="1"/>
  <c r="Q939" i="1"/>
  <c r="U938" i="1"/>
  <c r="T938" i="1"/>
  <c r="S938" i="1"/>
  <c r="R938" i="1"/>
  <c r="Q938" i="1"/>
  <c r="U937" i="1"/>
  <c r="T937" i="1"/>
  <c r="S937" i="1"/>
  <c r="R937" i="1"/>
  <c r="Q937" i="1"/>
  <c r="U936" i="1"/>
  <c r="T936" i="1"/>
  <c r="S936" i="1"/>
  <c r="R936" i="1"/>
  <c r="Q936" i="1"/>
  <c r="U935" i="1"/>
  <c r="T935" i="1"/>
  <c r="S935" i="1"/>
  <c r="R935" i="1"/>
  <c r="Q935" i="1"/>
  <c r="U934" i="1"/>
  <c r="T934" i="1"/>
  <c r="S934" i="1"/>
  <c r="R934" i="1"/>
  <c r="Q934" i="1"/>
  <c r="U933" i="1"/>
  <c r="T933" i="1"/>
  <c r="S933" i="1"/>
  <c r="R933" i="1"/>
  <c r="Q933" i="1"/>
  <c r="U932" i="1"/>
  <c r="T932" i="1"/>
  <c r="S932" i="1"/>
  <c r="R932" i="1"/>
  <c r="Q932" i="1"/>
  <c r="U931" i="1"/>
  <c r="T931" i="1"/>
  <c r="S931" i="1"/>
  <c r="R931" i="1"/>
  <c r="Q931" i="1"/>
  <c r="U930" i="1"/>
  <c r="T930" i="1"/>
  <c r="S930" i="1"/>
  <c r="R930" i="1"/>
  <c r="Q930" i="1"/>
  <c r="U929" i="1"/>
  <c r="T929" i="1"/>
  <c r="S929" i="1"/>
  <c r="R929" i="1"/>
  <c r="Q929" i="1"/>
  <c r="U928" i="1"/>
  <c r="T928" i="1"/>
  <c r="S928" i="1"/>
  <c r="R928" i="1"/>
  <c r="Q928" i="1"/>
  <c r="U927" i="1"/>
  <c r="T927" i="1"/>
  <c r="S927" i="1"/>
  <c r="R927" i="1"/>
  <c r="Q927" i="1"/>
  <c r="U926" i="1"/>
  <c r="T926" i="1"/>
  <c r="S926" i="1"/>
  <c r="R926" i="1"/>
  <c r="Q926" i="1"/>
  <c r="U925" i="1"/>
  <c r="T925" i="1"/>
  <c r="S925" i="1"/>
  <c r="R925" i="1"/>
  <c r="Q925" i="1"/>
  <c r="U924" i="1"/>
  <c r="T924" i="1"/>
  <c r="S924" i="1"/>
  <c r="R924" i="1"/>
  <c r="Q924" i="1"/>
  <c r="U923" i="1"/>
  <c r="T923" i="1"/>
  <c r="S923" i="1"/>
  <c r="R923" i="1"/>
  <c r="Q923" i="1"/>
  <c r="U922" i="1"/>
  <c r="T922" i="1"/>
  <c r="S922" i="1"/>
  <c r="R922" i="1"/>
  <c r="Q922" i="1"/>
  <c r="U921" i="1"/>
  <c r="T921" i="1"/>
  <c r="S921" i="1"/>
  <c r="R921" i="1"/>
  <c r="Q921" i="1"/>
  <c r="U920" i="1"/>
  <c r="T920" i="1"/>
  <c r="S920" i="1"/>
  <c r="R920" i="1"/>
  <c r="Q920" i="1"/>
  <c r="U919" i="1"/>
  <c r="T919" i="1"/>
  <c r="S919" i="1"/>
  <c r="R919" i="1"/>
  <c r="Q919" i="1"/>
  <c r="U918" i="1"/>
  <c r="T918" i="1"/>
  <c r="S918" i="1"/>
  <c r="R918" i="1"/>
  <c r="Q918" i="1"/>
  <c r="U917" i="1"/>
  <c r="T917" i="1"/>
  <c r="S917" i="1"/>
  <c r="R917" i="1"/>
  <c r="Q917" i="1"/>
  <c r="U916" i="1"/>
  <c r="T916" i="1"/>
  <c r="S916" i="1"/>
  <c r="R916" i="1"/>
  <c r="Q916" i="1"/>
  <c r="U915" i="1"/>
  <c r="T915" i="1"/>
  <c r="S915" i="1"/>
  <c r="R915" i="1"/>
  <c r="Q915" i="1"/>
  <c r="U914" i="1"/>
  <c r="T914" i="1"/>
  <c r="S914" i="1"/>
  <c r="R914" i="1"/>
  <c r="Q914" i="1"/>
  <c r="U913" i="1"/>
  <c r="T913" i="1"/>
  <c r="S913" i="1"/>
  <c r="R913" i="1"/>
  <c r="Q913" i="1"/>
  <c r="U912" i="1"/>
  <c r="T912" i="1"/>
  <c r="S912" i="1"/>
  <c r="R912" i="1"/>
  <c r="Q912" i="1"/>
  <c r="U911" i="1"/>
  <c r="T911" i="1"/>
  <c r="S911" i="1"/>
  <c r="R911" i="1"/>
  <c r="Q911" i="1"/>
  <c r="U910" i="1"/>
  <c r="T910" i="1"/>
  <c r="S910" i="1"/>
  <c r="R910" i="1"/>
  <c r="Q910" i="1"/>
  <c r="U909" i="1"/>
  <c r="T909" i="1"/>
  <c r="S909" i="1"/>
  <c r="R909" i="1"/>
  <c r="Q909" i="1"/>
  <c r="U908" i="1"/>
  <c r="T908" i="1"/>
  <c r="S908" i="1"/>
  <c r="R908" i="1"/>
  <c r="Q908" i="1"/>
  <c r="U907" i="1"/>
  <c r="T907" i="1"/>
  <c r="S907" i="1"/>
  <c r="R907" i="1"/>
  <c r="Q907" i="1"/>
  <c r="U906" i="1"/>
  <c r="T906" i="1"/>
  <c r="S906" i="1"/>
  <c r="R906" i="1"/>
  <c r="Q906" i="1"/>
  <c r="U905" i="1"/>
  <c r="T905" i="1"/>
  <c r="S905" i="1"/>
  <c r="R905" i="1"/>
  <c r="Q905" i="1"/>
  <c r="U904" i="1"/>
  <c r="T904" i="1"/>
  <c r="S904" i="1"/>
  <c r="R904" i="1"/>
  <c r="Q904" i="1"/>
  <c r="U903" i="1"/>
  <c r="T903" i="1"/>
  <c r="S903" i="1"/>
  <c r="R903" i="1"/>
  <c r="Q903" i="1"/>
  <c r="U902" i="1"/>
  <c r="T902" i="1"/>
  <c r="S902" i="1"/>
  <c r="R902" i="1"/>
  <c r="Q902" i="1"/>
  <c r="U901" i="1"/>
  <c r="T901" i="1"/>
  <c r="S901" i="1"/>
  <c r="R901" i="1"/>
  <c r="Q901" i="1"/>
  <c r="U900" i="1"/>
  <c r="T900" i="1"/>
  <c r="S900" i="1"/>
  <c r="R900" i="1"/>
  <c r="Q900" i="1"/>
  <c r="U899" i="1"/>
  <c r="T899" i="1"/>
  <c r="S899" i="1"/>
  <c r="R899" i="1"/>
  <c r="Q899" i="1"/>
  <c r="U898" i="1"/>
  <c r="T898" i="1"/>
  <c r="S898" i="1"/>
  <c r="R898" i="1"/>
  <c r="Q898" i="1"/>
  <c r="U897" i="1"/>
  <c r="T897" i="1"/>
  <c r="S897" i="1"/>
  <c r="R897" i="1"/>
  <c r="Q897" i="1"/>
  <c r="U896" i="1"/>
  <c r="T896" i="1"/>
  <c r="S896" i="1"/>
  <c r="R896" i="1"/>
  <c r="Q896" i="1"/>
  <c r="U895" i="1"/>
  <c r="T895" i="1"/>
  <c r="S895" i="1"/>
  <c r="R895" i="1"/>
  <c r="Q895" i="1"/>
  <c r="U894" i="1"/>
  <c r="T894" i="1"/>
  <c r="S894" i="1"/>
  <c r="R894" i="1"/>
  <c r="Q894" i="1"/>
  <c r="U893" i="1"/>
  <c r="T893" i="1"/>
  <c r="S893" i="1"/>
  <c r="R893" i="1"/>
  <c r="Q893" i="1"/>
  <c r="U892" i="1"/>
  <c r="T892" i="1"/>
  <c r="S892" i="1"/>
  <c r="R892" i="1"/>
  <c r="Q892" i="1"/>
  <c r="U891" i="1"/>
  <c r="T891" i="1"/>
  <c r="S891" i="1"/>
  <c r="R891" i="1"/>
  <c r="Q891" i="1"/>
  <c r="U890" i="1"/>
  <c r="T890" i="1"/>
  <c r="S890" i="1"/>
  <c r="R890" i="1"/>
  <c r="Q890" i="1"/>
  <c r="U889" i="1"/>
  <c r="T889" i="1"/>
  <c r="S889" i="1"/>
  <c r="R889" i="1"/>
  <c r="Q889" i="1"/>
  <c r="U888" i="1"/>
  <c r="T888" i="1"/>
  <c r="S888" i="1"/>
  <c r="R888" i="1"/>
  <c r="Q888" i="1"/>
  <c r="U887" i="1"/>
  <c r="T887" i="1"/>
  <c r="S887" i="1"/>
  <c r="R887" i="1"/>
  <c r="Q887" i="1"/>
  <c r="U886" i="1"/>
  <c r="T886" i="1"/>
  <c r="S886" i="1"/>
  <c r="R886" i="1"/>
  <c r="Q886" i="1"/>
  <c r="U885" i="1"/>
  <c r="T885" i="1"/>
  <c r="S885" i="1"/>
  <c r="R885" i="1"/>
  <c r="Q885" i="1"/>
  <c r="U884" i="1"/>
  <c r="T884" i="1"/>
  <c r="S884" i="1"/>
  <c r="R884" i="1"/>
  <c r="Q884" i="1"/>
  <c r="U883" i="1"/>
  <c r="T883" i="1"/>
  <c r="S883" i="1"/>
  <c r="R883" i="1"/>
  <c r="Q883" i="1"/>
  <c r="U882" i="1"/>
  <c r="T882" i="1"/>
  <c r="S882" i="1"/>
  <c r="R882" i="1"/>
  <c r="Q882" i="1"/>
  <c r="U881" i="1"/>
  <c r="T881" i="1"/>
  <c r="S881" i="1"/>
  <c r="R881" i="1"/>
  <c r="Q881" i="1"/>
  <c r="U880" i="1"/>
  <c r="T880" i="1"/>
  <c r="S880" i="1"/>
  <c r="R880" i="1"/>
  <c r="Q880" i="1"/>
  <c r="U879" i="1"/>
  <c r="T879" i="1"/>
  <c r="S879" i="1"/>
  <c r="R879" i="1"/>
  <c r="Q879" i="1"/>
  <c r="U878" i="1"/>
  <c r="T878" i="1"/>
  <c r="S878" i="1"/>
  <c r="R878" i="1"/>
  <c r="Q878" i="1"/>
  <c r="U877" i="1"/>
  <c r="T877" i="1"/>
  <c r="S877" i="1"/>
  <c r="R877" i="1"/>
  <c r="Q877" i="1"/>
  <c r="U876" i="1"/>
  <c r="T876" i="1"/>
  <c r="S876" i="1"/>
  <c r="R876" i="1"/>
  <c r="Q876" i="1"/>
  <c r="U875" i="1"/>
  <c r="T875" i="1"/>
  <c r="S875" i="1"/>
  <c r="R875" i="1"/>
  <c r="Q875" i="1"/>
  <c r="U874" i="1"/>
  <c r="T874" i="1"/>
  <c r="S874" i="1"/>
  <c r="R874" i="1"/>
  <c r="Q874" i="1"/>
  <c r="U873" i="1"/>
  <c r="T873" i="1"/>
  <c r="S873" i="1"/>
  <c r="R873" i="1"/>
  <c r="Q873" i="1"/>
  <c r="U872" i="1"/>
  <c r="T872" i="1"/>
  <c r="S872" i="1"/>
  <c r="R872" i="1"/>
  <c r="Q872" i="1"/>
  <c r="U871" i="1"/>
  <c r="T871" i="1"/>
  <c r="S871" i="1"/>
  <c r="R871" i="1"/>
  <c r="Q871" i="1"/>
  <c r="U870" i="1"/>
  <c r="T870" i="1"/>
  <c r="S870" i="1"/>
  <c r="R870" i="1"/>
  <c r="Q870" i="1"/>
  <c r="U869" i="1"/>
  <c r="T869" i="1"/>
  <c r="S869" i="1"/>
  <c r="R869" i="1"/>
  <c r="Q869" i="1"/>
  <c r="U868" i="1"/>
  <c r="T868" i="1"/>
  <c r="S868" i="1"/>
  <c r="R868" i="1"/>
  <c r="Q868" i="1"/>
  <c r="U867" i="1"/>
  <c r="T867" i="1"/>
  <c r="S867" i="1"/>
  <c r="R867" i="1"/>
  <c r="Q867" i="1"/>
  <c r="U866" i="1"/>
  <c r="T866" i="1"/>
  <c r="S866" i="1"/>
  <c r="R866" i="1"/>
  <c r="Q866" i="1"/>
  <c r="U865" i="1"/>
  <c r="T865" i="1"/>
  <c r="S865" i="1"/>
  <c r="R865" i="1"/>
  <c r="Q865" i="1"/>
  <c r="U864" i="1"/>
  <c r="T864" i="1"/>
  <c r="S864" i="1"/>
  <c r="R864" i="1"/>
  <c r="Q864" i="1"/>
  <c r="U863" i="1"/>
  <c r="T863" i="1"/>
  <c r="S863" i="1"/>
  <c r="R863" i="1"/>
  <c r="Q863" i="1"/>
  <c r="U862" i="1"/>
  <c r="T862" i="1"/>
  <c r="S862" i="1"/>
  <c r="R862" i="1"/>
  <c r="Q862" i="1"/>
  <c r="U861" i="1"/>
  <c r="T861" i="1"/>
  <c r="S861" i="1"/>
  <c r="R861" i="1"/>
  <c r="Q861" i="1"/>
  <c r="U860" i="1"/>
  <c r="T860" i="1"/>
  <c r="S860" i="1"/>
  <c r="R860" i="1"/>
  <c r="Q860" i="1"/>
  <c r="U859" i="1"/>
  <c r="T859" i="1"/>
  <c r="S859" i="1"/>
  <c r="R859" i="1"/>
  <c r="Q859" i="1"/>
  <c r="U858" i="1"/>
  <c r="T858" i="1"/>
  <c r="S858" i="1"/>
  <c r="R858" i="1"/>
  <c r="Q858" i="1"/>
  <c r="U857" i="1"/>
  <c r="T857" i="1"/>
  <c r="S857" i="1"/>
  <c r="R857" i="1"/>
  <c r="Q857" i="1"/>
  <c r="U856" i="1"/>
  <c r="T856" i="1"/>
  <c r="S856" i="1"/>
  <c r="R856" i="1"/>
  <c r="Q856" i="1"/>
  <c r="U855" i="1"/>
  <c r="T855" i="1"/>
  <c r="S855" i="1"/>
  <c r="R855" i="1"/>
  <c r="Q855" i="1"/>
  <c r="U854" i="1"/>
  <c r="T854" i="1"/>
  <c r="S854" i="1"/>
  <c r="R854" i="1"/>
  <c r="Q854" i="1"/>
  <c r="U853" i="1"/>
  <c r="T853" i="1"/>
  <c r="S853" i="1"/>
  <c r="R853" i="1"/>
  <c r="Q853" i="1"/>
  <c r="U852" i="1"/>
  <c r="T852" i="1"/>
  <c r="S852" i="1"/>
  <c r="R852" i="1"/>
  <c r="Q852" i="1"/>
  <c r="U851" i="1"/>
  <c r="T851" i="1"/>
  <c r="S851" i="1"/>
  <c r="R851" i="1"/>
  <c r="Q851" i="1"/>
  <c r="U850" i="1"/>
  <c r="T850" i="1"/>
  <c r="S850" i="1"/>
  <c r="R850" i="1"/>
  <c r="Q850" i="1"/>
  <c r="U849" i="1"/>
  <c r="T849" i="1"/>
  <c r="S849" i="1"/>
  <c r="R849" i="1"/>
  <c r="Q849" i="1"/>
  <c r="U848" i="1"/>
  <c r="T848" i="1"/>
  <c r="S848" i="1"/>
  <c r="R848" i="1"/>
  <c r="Q848" i="1"/>
  <c r="U847" i="1"/>
  <c r="T847" i="1"/>
  <c r="S847" i="1"/>
  <c r="R847" i="1"/>
  <c r="Q847" i="1"/>
  <c r="U846" i="1"/>
  <c r="T846" i="1"/>
  <c r="S846" i="1"/>
  <c r="R846" i="1"/>
  <c r="Q846" i="1"/>
  <c r="U845" i="1"/>
  <c r="T845" i="1"/>
  <c r="S845" i="1"/>
  <c r="R845" i="1"/>
  <c r="Q845" i="1"/>
  <c r="U844" i="1"/>
  <c r="T844" i="1"/>
  <c r="S844" i="1"/>
  <c r="R844" i="1"/>
  <c r="Q844" i="1"/>
  <c r="U843" i="1"/>
  <c r="T843" i="1"/>
  <c r="S843" i="1"/>
  <c r="R843" i="1"/>
  <c r="Q843" i="1"/>
  <c r="U842" i="1"/>
  <c r="T842" i="1"/>
  <c r="S842" i="1"/>
  <c r="R842" i="1"/>
  <c r="Q842" i="1"/>
  <c r="U841" i="1"/>
  <c r="T841" i="1"/>
  <c r="S841" i="1"/>
  <c r="R841" i="1"/>
  <c r="Q841" i="1"/>
  <c r="U840" i="1"/>
  <c r="T840" i="1"/>
  <c r="S840" i="1"/>
  <c r="R840" i="1"/>
  <c r="Q840" i="1"/>
  <c r="U839" i="1"/>
  <c r="T839" i="1"/>
  <c r="S839" i="1"/>
  <c r="R839" i="1"/>
  <c r="Q839" i="1"/>
  <c r="U838" i="1"/>
  <c r="T838" i="1"/>
  <c r="S838" i="1"/>
  <c r="R838" i="1"/>
  <c r="Q838" i="1"/>
  <c r="U837" i="1"/>
  <c r="T837" i="1"/>
  <c r="S837" i="1"/>
  <c r="R837" i="1"/>
  <c r="Q837" i="1"/>
  <c r="U836" i="1"/>
  <c r="T836" i="1"/>
  <c r="S836" i="1"/>
  <c r="R836" i="1"/>
  <c r="Q836" i="1"/>
  <c r="U835" i="1"/>
  <c r="T835" i="1"/>
  <c r="S835" i="1"/>
  <c r="R835" i="1"/>
  <c r="Q835" i="1"/>
  <c r="U834" i="1"/>
  <c r="T834" i="1"/>
  <c r="S834" i="1"/>
  <c r="R834" i="1"/>
  <c r="Q834" i="1"/>
  <c r="U833" i="1"/>
  <c r="T833" i="1"/>
  <c r="S833" i="1"/>
  <c r="R833" i="1"/>
  <c r="Q833" i="1"/>
  <c r="U832" i="1"/>
  <c r="T832" i="1"/>
  <c r="S832" i="1"/>
  <c r="R832" i="1"/>
  <c r="Q832" i="1"/>
  <c r="U831" i="1"/>
  <c r="T831" i="1"/>
  <c r="S831" i="1"/>
  <c r="R831" i="1"/>
  <c r="Q831" i="1"/>
  <c r="U830" i="1"/>
  <c r="T830" i="1"/>
  <c r="S830" i="1"/>
  <c r="R830" i="1"/>
  <c r="Q830" i="1"/>
  <c r="U829" i="1"/>
  <c r="T829" i="1"/>
  <c r="S829" i="1"/>
  <c r="R829" i="1"/>
  <c r="Q829" i="1"/>
  <c r="U828" i="1"/>
  <c r="T828" i="1"/>
  <c r="S828" i="1"/>
  <c r="R828" i="1"/>
  <c r="Q828" i="1"/>
  <c r="U827" i="1"/>
  <c r="T827" i="1"/>
  <c r="S827" i="1"/>
  <c r="R827" i="1"/>
  <c r="Q827" i="1"/>
  <c r="U826" i="1"/>
  <c r="T826" i="1"/>
  <c r="S826" i="1"/>
  <c r="R826" i="1"/>
  <c r="Q826" i="1"/>
  <c r="U825" i="1"/>
  <c r="T825" i="1"/>
  <c r="S825" i="1"/>
  <c r="R825" i="1"/>
  <c r="Q825" i="1"/>
  <c r="U824" i="1"/>
  <c r="T824" i="1"/>
  <c r="S824" i="1"/>
  <c r="R824" i="1"/>
  <c r="Q824" i="1"/>
  <c r="U823" i="1"/>
  <c r="T823" i="1"/>
  <c r="S823" i="1"/>
  <c r="R823" i="1"/>
  <c r="Q823" i="1"/>
  <c r="U822" i="1"/>
  <c r="T822" i="1"/>
  <c r="S822" i="1"/>
  <c r="R822" i="1"/>
  <c r="Q822" i="1"/>
  <c r="U821" i="1"/>
  <c r="T821" i="1"/>
  <c r="S821" i="1"/>
  <c r="R821" i="1"/>
  <c r="Q821" i="1"/>
  <c r="U820" i="1"/>
  <c r="T820" i="1"/>
  <c r="S820" i="1"/>
  <c r="R820" i="1"/>
  <c r="Q820" i="1"/>
  <c r="U819" i="1"/>
  <c r="T819" i="1"/>
  <c r="S819" i="1"/>
  <c r="R819" i="1"/>
  <c r="Q819" i="1"/>
  <c r="U818" i="1"/>
  <c r="T818" i="1"/>
  <c r="S818" i="1"/>
  <c r="R818" i="1"/>
  <c r="Q818" i="1"/>
  <c r="U817" i="1"/>
  <c r="T817" i="1"/>
  <c r="S817" i="1"/>
  <c r="R817" i="1"/>
  <c r="Q817" i="1"/>
  <c r="U816" i="1"/>
  <c r="T816" i="1"/>
  <c r="S816" i="1"/>
  <c r="R816" i="1"/>
  <c r="Q816" i="1"/>
  <c r="U815" i="1"/>
  <c r="T815" i="1"/>
  <c r="S815" i="1"/>
  <c r="R815" i="1"/>
  <c r="Q815" i="1"/>
  <c r="U814" i="1"/>
  <c r="T814" i="1"/>
  <c r="S814" i="1"/>
  <c r="R814" i="1"/>
  <c r="Q814" i="1"/>
  <c r="U813" i="1"/>
  <c r="T813" i="1"/>
  <c r="S813" i="1"/>
  <c r="R813" i="1"/>
  <c r="Q813" i="1"/>
  <c r="U812" i="1"/>
  <c r="T812" i="1"/>
  <c r="S812" i="1"/>
  <c r="R812" i="1"/>
  <c r="Q812" i="1"/>
  <c r="U811" i="1"/>
  <c r="T811" i="1"/>
  <c r="S811" i="1"/>
  <c r="R811" i="1"/>
  <c r="Q811" i="1"/>
  <c r="U810" i="1"/>
  <c r="T810" i="1"/>
  <c r="S810" i="1"/>
  <c r="R810" i="1"/>
  <c r="Q810" i="1"/>
  <c r="U809" i="1"/>
  <c r="T809" i="1"/>
  <c r="S809" i="1"/>
  <c r="R809" i="1"/>
  <c r="Q809" i="1"/>
  <c r="U808" i="1"/>
  <c r="T808" i="1"/>
  <c r="S808" i="1"/>
  <c r="R808" i="1"/>
  <c r="Q808" i="1"/>
  <c r="U807" i="1"/>
  <c r="T807" i="1"/>
  <c r="S807" i="1"/>
  <c r="R807" i="1"/>
  <c r="Q807" i="1"/>
  <c r="U806" i="1"/>
  <c r="T806" i="1"/>
  <c r="S806" i="1"/>
  <c r="R806" i="1"/>
  <c r="Q806" i="1"/>
  <c r="U805" i="1"/>
  <c r="T805" i="1"/>
  <c r="S805" i="1"/>
  <c r="R805" i="1"/>
  <c r="Q805" i="1"/>
  <c r="U804" i="1"/>
  <c r="T804" i="1"/>
  <c r="S804" i="1"/>
  <c r="R804" i="1"/>
  <c r="Q804" i="1"/>
  <c r="U803" i="1"/>
  <c r="T803" i="1"/>
  <c r="S803" i="1"/>
  <c r="R803" i="1"/>
  <c r="Q803" i="1"/>
  <c r="U802" i="1"/>
  <c r="T802" i="1"/>
  <c r="S802" i="1"/>
  <c r="R802" i="1"/>
  <c r="Q802" i="1"/>
  <c r="U801" i="1"/>
  <c r="T801" i="1"/>
  <c r="S801" i="1"/>
  <c r="R801" i="1"/>
  <c r="Q801" i="1"/>
  <c r="U800" i="1"/>
  <c r="T800" i="1"/>
  <c r="S800" i="1"/>
  <c r="R800" i="1"/>
  <c r="Q800" i="1"/>
  <c r="U799" i="1"/>
  <c r="T799" i="1"/>
  <c r="S799" i="1"/>
  <c r="R799" i="1"/>
  <c r="Q799" i="1"/>
  <c r="U798" i="1"/>
  <c r="T798" i="1"/>
  <c r="S798" i="1"/>
  <c r="R798" i="1"/>
  <c r="Q798" i="1"/>
  <c r="U797" i="1"/>
  <c r="T797" i="1"/>
  <c r="S797" i="1"/>
  <c r="R797" i="1"/>
  <c r="Q797" i="1"/>
  <c r="U796" i="1"/>
  <c r="T796" i="1"/>
  <c r="S796" i="1"/>
  <c r="R796" i="1"/>
  <c r="Q796" i="1"/>
  <c r="U795" i="1"/>
  <c r="T795" i="1"/>
  <c r="S795" i="1"/>
  <c r="R795" i="1"/>
  <c r="Q795" i="1"/>
  <c r="U794" i="1"/>
  <c r="T794" i="1"/>
  <c r="S794" i="1"/>
  <c r="R794" i="1"/>
  <c r="Q794" i="1"/>
  <c r="U793" i="1"/>
  <c r="T793" i="1"/>
  <c r="S793" i="1"/>
  <c r="R793" i="1"/>
  <c r="Q793" i="1"/>
  <c r="U792" i="1"/>
  <c r="T792" i="1"/>
  <c r="S792" i="1"/>
  <c r="R792" i="1"/>
  <c r="Q792" i="1"/>
  <c r="U791" i="1"/>
  <c r="T791" i="1"/>
  <c r="S791" i="1"/>
  <c r="R791" i="1"/>
  <c r="Q791" i="1"/>
  <c r="U790" i="1"/>
  <c r="T790" i="1"/>
  <c r="S790" i="1"/>
  <c r="R790" i="1"/>
  <c r="Q790" i="1"/>
  <c r="U789" i="1"/>
  <c r="T789" i="1"/>
  <c r="S789" i="1"/>
  <c r="R789" i="1"/>
  <c r="Q789" i="1"/>
  <c r="U788" i="1"/>
  <c r="T788" i="1"/>
  <c r="S788" i="1"/>
  <c r="R788" i="1"/>
  <c r="Q788" i="1"/>
  <c r="U787" i="1"/>
  <c r="T787" i="1"/>
  <c r="S787" i="1"/>
  <c r="R787" i="1"/>
  <c r="Q787" i="1"/>
  <c r="U786" i="1"/>
  <c r="T786" i="1"/>
  <c r="S786" i="1"/>
  <c r="R786" i="1"/>
  <c r="Q786" i="1"/>
  <c r="U785" i="1"/>
  <c r="T785" i="1"/>
  <c r="S785" i="1"/>
  <c r="R785" i="1"/>
  <c r="Q785" i="1"/>
  <c r="U784" i="1"/>
  <c r="T784" i="1"/>
  <c r="S784" i="1"/>
  <c r="R784" i="1"/>
  <c r="Q784" i="1"/>
  <c r="U783" i="1"/>
  <c r="T783" i="1"/>
  <c r="S783" i="1"/>
  <c r="R783" i="1"/>
  <c r="Q783" i="1"/>
  <c r="U782" i="1"/>
  <c r="T782" i="1"/>
  <c r="S782" i="1"/>
  <c r="R782" i="1"/>
  <c r="Q782" i="1"/>
  <c r="U781" i="1"/>
  <c r="T781" i="1"/>
  <c r="S781" i="1"/>
  <c r="R781" i="1"/>
  <c r="Q781" i="1"/>
  <c r="U780" i="1"/>
  <c r="T780" i="1"/>
  <c r="S780" i="1"/>
  <c r="R780" i="1"/>
  <c r="Q780" i="1"/>
  <c r="U779" i="1"/>
  <c r="T779" i="1"/>
  <c r="S779" i="1"/>
  <c r="R779" i="1"/>
  <c r="Q779" i="1"/>
  <c r="U778" i="1"/>
  <c r="T778" i="1"/>
  <c r="S778" i="1"/>
  <c r="R778" i="1"/>
  <c r="Q778" i="1"/>
  <c r="U777" i="1"/>
  <c r="T777" i="1"/>
  <c r="S777" i="1"/>
  <c r="R777" i="1"/>
  <c r="Q777" i="1"/>
  <c r="U776" i="1"/>
  <c r="T776" i="1"/>
  <c r="S776" i="1"/>
  <c r="R776" i="1"/>
  <c r="Q776" i="1"/>
  <c r="U775" i="1"/>
  <c r="T775" i="1"/>
  <c r="S775" i="1"/>
  <c r="R775" i="1"/>
  <c r="Q775" i="1"/>
  <c r="U774" i="1"/>
  <c r="T774" i="1"/>
  <c r="S774" i="1"/>
  <c r="R774" i="1"/>
  <c r="Q774" i="1"/>
  <c r="U773" i="1"/>
  <c r="T773" i="1"/>
  <c r="S773" i="1"/>
  <c r="R773" i="1"/>
  <c r="Q773" i="1"/>
  <c r="U772" i="1"/>
  <c r="T772" i="1"/>
  <c r="S772" i="1"/>
  <c r="R772" i="1"/>
  <c r="Q772" i="1"/>
  <c r="U771" i="1"/>
  <c r="T771" i="1"/>
  <c r="S771" i="1"/>
  <c r="R771" i="1"/>
  <c r="Q771" i="1"/>
  <c r="U770" i="1"/>
  <c r="T770" i="1"/>
  <c r="S770" i="1"/>
  <c r="R770" i="1"/>
  <c r="Q770" i="1"/>
  <c r="U769" i="1"/>
  <c r="T769" i="1"/>
  <c r="S769" i="1"/>
  <c r="R769" i="1"/>
  <c r="Q769" i="1"/>
  <c r="U768" i="1"/>
  <c r="T768" i="1"/>
  <c r="S768" i="1"/>
  <c r="R768" i="1"/>
  <c r="Q768" i="1"/>
  <c r="U767" i="1"/>
  <c r="T767" i="1"/>
  <c r="S767" i="1"/>
  <c r="R767" i="1"/>
  <c r="Q767" i="1"/>
  <c r="U766" i="1"/>
  <c r="T766" i="1"/>
  <c r="S766" i="1"/>
  <c r="R766" i="1"/>
  <c r="Q766" i="1"/>
  <c r="U765" i="1"/>
  <c r="T765" i="1"/>
  <c r="S765" i="1"/>
  <c r="R765" i="1"/>
  <c r="Q765" i="1"/>
  <c r="U764" i="1"/>
  <c r="T764" i="1"/>
  <c r="S764" i="1"/>
  <c r="R764" i="1"/>
  <c r="Q764" i="1"/>
  <c r="U763" i="1"/>
  <c r="T763" i="1"/>
  <c r="S763" i="1"/>
  <c r="R763" i="1"/>
  <c r="Q763" i="1"/>
  <c r="U762" i="1"/>
  <c r="T762" i="1"/>
  <c r="S762" i="1"/>
  <c r="R762" i="1"/>
  <c r="Q762" i="1"/>
  <c r="U761" i="1"/>
  <c r="T761" i="1"/>
  <c r="S761" i="1"/>
  <c r="R761" i="1"/>
  <c r="Q761" i="1"/>
  <c r="U760" i="1"/>
  <c r="T760" i="1"/>
  <c r="S760" i="1"/>
  <c r="R760" i="1"/>
  <c r="Q760" i="1"/>
  <c r="U759" i="1"/>
  <c r="T759" i="1"/>
  <c r="S759" i="1"/>
  <c r="R759" i="1"/>
  <c r="Q759" i="1"/>
  <c r="U758" i="1"/>
  <c r="T758" i="1"/>
  <c r="S758" i="1"/>
  <c r="R758" i="1"/>
  <c r="Q758" i="1"/>
  <c r="U757" i="1"/>
  <c r="T757" i="1"/>
  <c r="S757" i="1"/>
  <c r="R757" i="1"/>
  <c r="Q757" i="1"/>
  <c r="U756" i="1"/>
  <c r="T756" i="1"/>
  <c r="S756" i="1"/>
  <c r="R756" i="1"/>
  <c r="Q756" i="1"/>
  <c r="U755" i="1"/>
  <c r="T755" i="1"/>
  <c r="S755" i="1"/>
  <c r="R755" i="1"/>
  <c r="Q755" i="1"/>
  <c r="U754" i="1"/>
  <c r="T754" i="1"/>
  <c r="S754" i="1"/>
  <c r="R754" i="1"/>
  <c r="Q754" i="1"/>
  <c r="U753" i="1"/>
  <c r="T753" i="1"/>
  <c r="S753" i="1"/>
  <c r="R753" i="1"/>
  <c r="Q753" i="1"/>
  <c r="U752" i="1"/>
  <c r="T752" i="1"/>
  <c r="S752" i="1"/>
  <c r="R752" i="1"/>
  <c r="Q752" i="1"/>
  <c r="U751" i="1"/>
  <c r="T751" i="1"/>
  <c r="S751" i="1"/>
  <c r="R751" i="1"/>
  <c r="Q751" i="1"/>
  <c r="U750" i="1"/>
  <c r="T750" i="1"/>
  <c r="S750" i="1"/>
  <c r="R750" i="1"/>
  <c r="Q750" i="1"/>
  <c r="U749" i="1"/>
  <c r="T749" i="1"/>
  <c r="S749" i="1"/>
  <c r="R749" i="1"/>
  <c r="Q749" i="1"/>
  <c r="U748" i="1"/>
  <c r="T748" i="1"/>
  <c r="S748" i="1"/>
  <c r="R748" i="1"/>
  <c r="Q748" i="1"/>
  <c r="U747" i="1"/>
  <c r="T747" i="1"/>
  <c r="S747" i="1"/>
  <c r="R747" i="1"/>
  <c r="Q747" i="1"/>
  <c r="U746" i="1"/>
  <c r="T746" i="1"/>
  <c r="S746" i="1"/>
  <c r="R746" i="1"/>
  <c r="Q746" i="1"/>
  <c r="U745" i="1"/>
  <c r="T745" i="1"/>
  <c r="S745" i="1"/>
  <c r="R745" i="1"/>
  <c r="Q745" i="1"/>
  <c r="U744" i="1"/>
  <c r="T744" i="1"/>
  <c r="S744" i="1"/>
  <c r="R744" i="1"/>
  <c r="Q744" i="1"/>
  <c r="U743" i="1"/>
  <c r="T743" i="1"/>
  <c r="S743" i="1"/>
  <c r="R743" i="1"/>
  <c r="Q743" i="1"/>
  <c r="U742" i="1"/>
  <c r="T742" i="1"/>
  <c r="S742" i="1"/>
  <c r="R742" i="1"/>
  <c r="Q742" i="1"/>
  <c r="U741" i="1"/>
  <c r="T741" i="1"/>
  <c r="S741" i="1"/>
  <c r="R741" i="1"/>
  <c r="Q741" i="1"/>
  <c r="U740" i="1"/>
  <c r="T740" i="1"/>
  <c r="S740" i="1"/>
  <c r="R740" i="1"/>
  <c r="Q740" i="1"/>
  <c r="U739" i="1"/>
  <c r="T739" i="1"/>
  <c r="S739" i="1"/>
  <c r="R739" i="1"/>
  <c r="Q739" i="1"/>
  <c r="U738" i="1"/>
  <c r="T738" i="1"/>
  <c r="S738" i="1"/>
  <c r="R738" i="1"/>
  <c r="Q738" i="1"/>
  <c r="U737" i="1"/>
  <c r="T737" i="1"/>
  <c r="S737" i="1"/>
  <c r="R737" i="1"/>
  <c r="Q737" i="1"/>
  <c r="U736" i="1"/>
  <c r="T736" i="1"/>
  <c r="S736" i="1"/>
  <c r="R736" i="1"/>
  <c r="Q736" i="1"/>
  <c r="U735" i="1"/>
  <c r="T735" i="1"/>
  <c r="S735" i="1"/>
  <c r="R735" i="1"/>
  <c r="Q735" i="1"/>
  <c r="U734" i="1"/>
  <c r="T734" i="1"/>
  <c r="S734" i="1"/>
  <c r="R734" i="1"/>
  <c r="Q734" i="1"/>
  <c r="U733" i="1"/>
  <c r="T733" i="1"/>
  <c r="S733" i="1"/>
  <c r="R733" i="1"/>
  <c r="Q733" i="1"/>
  <c r="U732" i="1"/>
  <c r="T732" i="1"/>
  <c r="S732" i="1"/>
  <c r="R732" i="1"/>
  <c r="Q732" i="1"/>
  <c r="U731" i="1"/>
  <c r="T731" i="1"/>
  <c r="S731" i="1"/>
  <c r="R731" i="1"/>
  <c r="Q731" i="1"/>
  <c r="U730" i="1"/>
  <c r="T730" i="1"/>
  <c r="S730" i="1"/>
  <c r="R730" i="1"/>
  <c r="Q730" i="1"/>
  <c r="U729" i="1"/>
  <c r="T729" i="1"/>
  <c r="S729" i="1"/>
  <c r="R729" i="1"/>
  <c r="Q729" i="1"/>
  <c r="U728" i="1"/>
  <c r="T728" i="1"/>
  <c r="S728" i="1"/>
  <c r="R728" i="1"/>
  <c r="Q728" i="1"/>
  <c r="U727" i="1"/>
  <c r="T727" i="1"/>
  <c r="S727" i="1"/>
  <c r="R727" i="1"/>
  <c r="Q727" i="1"/>
  <c r="U726" i="1"/>
  <c r="T726" i="1"/>
  <c r="S726" i="1"/>
  <c r="R726" i="1"/>
  <c r="Q726" i="1"/>
  <c r="U725" i="1"/>
  <c r="T725" i="1"/>
  <c r="S725" i="1"/>
  <c r="R725" i="1"/>
  <c r="Q725" i="1"/>
  <c r="U724" i="1"/>
  <c r="T724" i="1"/>
  <c r="S724" i="1"/>
  <c r="R724" i="1"/>
  <c r="Q724" i="1"/>
  <c r="U723" i="1"/>
  <c r="T723" i="1"/>
  <c r="S723" i="1"/>
  <c r="R723" i="1"/>
  <c r="Q723" i="1"/>
  <c r="U722" i="1"/>
  <c r="T722" i="1"/>
  <c r="S722" i="1"/>
  <c r="R722" i="1"/>
  <c r="Q722" i="1"/>
  <c r="U721" i="1"/>
  <c r="T721" i="1"/>
  <c r="S721" i="1"/>
  <c r="R721" i="1"/>
  <c r="Q721" i="1"/>
  <c r="U720" i="1"/>
  <c r="T720" i="1"/>
  <c r="S720" i="1"/>
  <c r="R720" i="1"/>
  <c r="Q720" i="1"/>
  <c r="U719" i="1"/>
  <c r="T719" i="1"/>
  <c r="S719" i="1"/>
  <c r="R719" i="1"/>
  <c r="Q719" i="1"/>
  <c r="U718" i="1"/>
  <c r="T718" i="1"/>
  <c r="S718" i="1"/>
  <c r="R718" i="1"/>
  <c r="Q718" i="1"/>
  <c r="U717" i="1"/>
  <c r="T717" i="1"/>
  <c r="S717" i="1"/>
  <c r="R717" i="1"/>
  <c r="Q717" i="1"/>
  <c r="U716" i="1"/>
  <c r="T716" i="1"/>
  <c r="S716" i="1"/>
  <c r="R716" i="1"/>
  <c r="Q716" i="1"/>
  <c r="U715" i="1"/>
  <c r="T715" i="1"/>
  <c r="S715" i="1"/>
  <c r="R715" i="1"/>
  <c r="Q715" i="1"/>
  <c r="U714" i="1"/>
  <c r="T714" i="1"/>
  <c r="S714" i="1"/>
  <c r="R714" i="1"/>
  <c r="Q714" i="1"/>
  <c r="U713" i="1"/>
  <c r="T713" i="1"/>
  <c r="S713" i="1"/>
  <c r="R713" i="1"/>
  <c r="Q713" i="1"/>
  <c r="U712" i="1"/>
  <c r="T712" i="1"/>
  <c r="S712" i="1"/>
  <c r="R712" i="1"/>
  <c r="Q712" i="1"/>
  <c r="U711" i="1"/>
  <c r="T711" i="1"/>
  <c r="S711" i="1"/>
  <c r="R711" i="1"/>
  <c r="Q711" i="1"/>
  <c r="U710" i="1"/>
  <c r="T710" i="1"/>
  <c r="S710" i="1"/>
  <c r="R710" i="1"/>
  <c r="Q710" i="1"/>
  <c r="U709" i="1"/>
  <c r="T709" i="1"/>
  <c r="S709" i="1"/>
  <c r="R709" i="1"/>
  <c r="Q709" i="1"/>
  <c r="U708" i="1"/>
  <c r="T708" i="1"/>
  <c r="S708" i="1"/>
  <c r="R708" i="1"/>
  <c r="Q708" i="1"/>
  <c r="U707" i="1"/>
  <c r="T707" i="1"/>
  <c r="S707" i="1"/>
  <c r="R707" i="1"/>
  <c r="Q707" i="1"/>
  <c r="U706" i="1"/>
  <c r="T706" i="1"/>
  <c r="S706" i="1"/>
  <c r="R706" i="1"/>
  <c r="Q706" i="1"/>
  <c r="U705" i="1"/>
  <c r="T705" i="1"/>
  <c r="S705" i="1"/>
  <c r="R705" i="1"/>
  <c r="Q705" i="1"/>
  <c r="U704" i="1"/>
  <c r="T704" i="1"/>
  <c r="S704" i="1"/>
  <c r="R704" i="1"/>
  <c r="Q704" i="1"/>
  <c r="U703" i="1"/>
  <c r="T703" i="1"/>
  <c r="S703" i="1"/>
  <c r="R703" i="1"/>
  <c r="Q703" i="1"/>
  <c r="U702" i="1"/>
  <c r="T702" i="1"/>
  <c r="S702" i="1"/>
  <c r="R702" i="1"/>
  <c r="Q702" i="1"/>
  <c r="U701" i="1"/>
  <c r="T701" i="1"/>
  <c r="S701" i="1"/>
  <c r="R701" i="1"/>
  <c r="Q701" i="1"/>
  <c r="U700" i="1"/>
  <c r="T700" i="1"/>
  <c r="S700" i="1"/>
  <c r="R700" i="1"/>
  <c r="Q700" i="1"/>
  <c r="U699" i="1"/>
  <c r="T699" i="1"/>
  <c r="S699" i="1"/>
  <c r="R699" i="1"/>
  <c r="Q699" i="1"/>
  <c r="U698" i="1"/>
  <c r="T698" i="1"/>
  <c r="S698" i="1"/>
  <c r="R698" i="1"/>
  <c r="Q698" i="1"/>
  <c r="U697" i="1"/>
  <c r="T697" i="1"/>
  <c r="S697" i="1"/>
  <c r="R697" i="1"/>
  <c r="Q697" i="1"/>
  <c r="U696" i="1"/>
  <c r="T696" i="1"/>
  <c r="S696" i="1"/>
  <c r="R696" i="1"/>
  <c r="Q696" i="1"/>
  <c r="U695" i="1"/>
  <c r="T695" i="1"/>
  <c r="S695" i="1"/>
  <c r="R695" i="1"/>
  <c r="Q695" i="1"/>
  <c r="U694" i="1"/>
  <c r="T694" i="1"/>
  <c r="S694" i="1"/>
  <c r="R694" i="1"/>
  <c r="Q694" i="1"/>
  <c r="U693" i="1"/>
  <c r="T693" i="1"/>
  <c r="S693" i="1"/>
  <c r="R693" i="1"/>
  <c r="Q693" i="1"/>
  <c r="U692" i="1"/>
  <c r="T692" i="1"/>
  <c r="S692" i="1"/>
  <c r="R692" i="1"/>
  <c r="Q692" i="1"/>
  <c r="U691" i="1"/>
  <c r="T691" i="1"/>
  <c r="S691" i="1"/>
  <c r="R691" i="1"/>
  <c r="Q691" i="1"/>
  <c r="U690" i="1"/>
  <c r="T690" i="1"/>
  <c r="S690" i="1"/>
  <c r="R690" i="1"/>
  <c r="Q690" i="1"/>
  <c r="U689" i="1"/>
  <c r="T689" i="1"/>
  <c r="S689" i="1"/>
  <c r="R689" i="1"/>
  <c r="Q689" i="1"/>
  <c r="U688" i="1"/>
  <c r="T688" i="1"/>
  <c r="S688" i="1"/>
  <c r="R688" i="1"/>
  <c r="Q688" i="1"/>
  <c r="U687" i="1"/>
  <c r="T687" i="1"/>
  <c r="S687" i="1"/>
  <c r="R687" i="1"/>
  <c r="Q687" i="1"/>
  <c r="U686" i="1"/>
  <c r="T686" i="1"/>
  <c r="S686" i="1"/>
  <c r="R686" i="1"/>
  <c r="Q686" i="1"/>
  <c r="U685" i="1"/>
  <c r="T685" i="1"/>
  <c r="S685" i="1"/>
  <c r="R685" i="1"/>
  <c r="Q685" i="1"/>
  <c r="U684" i="1"/>
  <c r="T684" i="1"/>
  <c r="S684" i="1"/>
  <c r="R684" i="1"/>
  <c r="Q684" i="1"/>
  <c r="U683" i="1"/>
  <c r="T683" i="1"/>
  <c r="S683" i="1"/>
  <c r="R683" i="1"/>
  <c r="Q683" i="1"/>
  <c r="U682" i="1"/>
  <c r="T682" i="1"/>
  <c r="S682" i="1"/>
  <c r="R682" i="1"/>
  <c r="Q682" i="1"/>
  <c r="U681" i="1"/>
  <c r="T681" i="1"/>
  <c r="S681" i="1"/>
  <c r="R681" i="1"/>
  <c r="Q681" i="1"/>
  <c r="U680" i="1"/>
  <c r="T680" i="1"/>
  <c r="S680" i="1"/>
  <c r="R680" i="1"/>
  <c r="Q680" i="1"/>
  <c r="U679" i="1"/>
  <c r="T679" i="1"/>
  <c r="S679" i="1"/>
  <c r="R679" i="1"/>
  <c r="Q679" i="1"/>
  <c r="U678" i="1"/>
  <c r="T678" i="1"/>
  <c r="S678" i="1"/>
  <c r="R678" i="1"/>
  <c r="Q678" i="1"/>
  <c r="U677" i="1"/>
  <c r="T677" i="1"/>
  <c r="S677" i="1"/>
  <c r="R677" i="1"/>
  <c r="Q677" i="1"/>
  <c r="U676" i="1"/>
  <c r="T676" i="1"/>
  <c r="S676" i="1"/>
  <c r="R676" i="1"/>
  <c r="Q676" i="1"/>
  <c r="U675" i="1"/>
  <c r="T675" i="1"/>
  <c r="S675" i="1"/>
  <c r="R675" i="1"/>
  <c r="Q675" i="1"/>
  <c r="U674" i="1"/>
  <c r="T674" i="1"/>
  <c r="S674" i="1"/>
  <c r="R674" i="1"/>
  <c r="Q674" i="1"/>
  <c r="U673" i="1"/>
  <c r="T673" i="1"/>
  <c r="S673" i="1"/>
  <c r="R673" i="1"/>
  <c r="Q673" i="1"/>
  <c r="U672" i="1"/>
  <c r="T672" i="1"/>
  <c r="S672" i="1"/>
  <c r="R672" i="1"/>
  <c r="Q672" i="1"/>
  <c r="U671" i="1"/>
  <c r="T671" i="1"/>
  <c r="S671" i="1"/>
  <c r="R671" i="1"/>
  <c r="Q671" i="1"/>
  <c r="U670" i="1"/>
  <c r="T670" i="1"/>
  <c r="S670" i="1"/>
  <c r="R670" i="1"/>
  <c r="Q670" i="1"/>
  <c r="U669" i="1"/>
  <c r="T669" i="1"/>
  <c r="S669" i="1"/>
  <c r="R669" i="1"/>
  <c r="Q669" i="1"/>
  <c r="U668" i="1"/>
  <c r="T668" i="1"/>
  <c r="S668" i="1"/>
  <c r="R668" i="1"/>
  <c r="Q668" i="1"/>
  <c r="U667" i="1"/>
  <c r="T667" i="1"/>
  <c r="S667" i="1"/>
  <c r="R667" i="1"/>
  <c r="Q667" i="1"/>
  <c r="U666" i="1"/>
  <c r="T666" i="1"/>
  <c r="S666" i="1"/>
  <c r="R666" i="1"/>
  <c r="Q666" i="1"/>
  <c r="U665" i="1"/>
  <c r="T665" i="1"/>
  <c r="S665" i="1"/>
  <c r="R665" i="1"/>
  <c r="Q665" i="1"/>
  <c r="U664" i="1"/>
  <c r="T664" i="1"/>
  <c r="S664" i="1"/>
  <c r="R664" i="1"/>
  <c r="Q664" i="1"/>
  <c r="U663" i="1"/>
  <c r="T663" i="1"/>
  <c r="S663" i="1"/>
  <c r="R663" i="1"/>
  <c r="Q663" i="1"/>
  <c r="U662" i="1"/>
  <c r="T662" i="1"/>
  <c r="S662" i="1"/>
  <c r="R662" i="1"/>
  <c r="Q662" i="1"/>
  <c r="U661" i="1"/>
  <c r="T661" i="1"/>
  <c r="S661" i="1"/>
  <c r="R661" i="1"/>
  <c r="Q661" i="1"/>
  <c r="U660" i="1"/>
  <c r="T660" i="1"/>
  <c r="S660" i="1"/>
  <c r="R660" i="1"/>
  <c r="Q660" i="1"/>
  <c r="U659" i="1"/>
  <c r="T659" i="1"/>
  <c r="S659" i="1"/>
  <c r="R659" i="1"/>
  <c r="Q659" i="1"/>
  <c r="U658" i="1"/>
  <c r="T658" i="1"/>
  <c r="S658" i="1"/>
  <c r="R658" i="1"/>
  <c r="Q658" i="1"/>
  <c r="U657" i="1"/>
  <c r="T657" i="1"/>
  <c r="S657" i="1"/>
  <c r="R657" i="1"/>
  <c r="Q657" i="1"/>
  <c r="U656" i="1"/>
  <c r="T656" i="1"/>
  <c r="S656" i="1"/>
  <c r="R656" i="1"/>
  <c r="Q656" i="1"/>
  <c r="U655" i="1"/>
  <c r="T655" i="1"/>
  <c r="S655" i="1"/>
  <c r="R655" i="1"/>
  <c r="Q655" i="1"/>
  <c r="U654" i="1"/>
  <c r="T654" i="1"/>
  <c r="S654" i="1"/>
  <c r="R654" i="1"/>
  <c r="Q654" i="1"/>
  <c r="U653" i="1"/>
  <c r="T653" i="1"/>
  <c r="S653" i="1"/>
  <c r="R653" i="1"/>
  <c r="Q653" i="1"/>
  <c r="U652" i="1"/>
  <c r="T652" i="1"/>
  <c r="S652" i="1"/>
  <c r="R652" i="1"/>
  <c r="Q652" i="1"/>
  <c r="U651" i="1"/>
  <c r="T651" i="1"/>
  <c r="S651" i="1"/>
  <c r="R651" i="1"/>
  <c r="Q651" i="1"/>
  <c r="U650" i="1"/>
  <c r="T650" i="1"/>
  <c r="S650" i="1"/>
  <c r="R650" i="1"/>
  <c r="Q650" i="1"/>
  <c r="U649" i="1"/>
  <c r="T649" i="1"/>
  <c r="S649" i="1"/>
  <c r="R649" i="1"/>
  <c r="Q649" i="1"/>
  <c r="U648" i="1"/>
  <c r="T648" i="1"/>
  <c r="S648" i="1"/>
  <c r="R648" i="1"/>
  <c r="Q648" i="1"/>
  <c r="U647" i="1"/>
  <c r="T647" i="1"/>
  <c r="S647" i="1"/>
  <c r="R647" i="1"/>
  <c r="Q647" i="1"/>
  <c r="U646" i="1"/>
  <c r="T646" i="1"/>
  <c r="S646" i="1"/>
  <c r="R646" i="1"/>
  <c r="Q646" i="1"/>
  <c r="U645" i="1"/>
  <c r="T645" i="1"/>
  <c r="S645" i="1"/>
  <c r="R645" i="1"/>
  <c r="Q645" i="1"/>
  <c r="U644" i="1"/>
  <c r="T644" i="1"/>
  <c r="S644" i="1"/>
  <c r="R644" i="1"/>
  <c r="Q644" i="1"/>
  <c r="U643" i="1"/>
  <c r="T643" i="1"/>
  <c r="S643" i="1"/>
  <c r="R643" i="1"/>
  <c r="Q643" i="1"/>
  <c r="U642" i="1"/>
  <c r="T642" i="1"/>
  <c r="S642" i="1"/>
  <c r="R642" i="1"/>
  <c r="Q642" i="1"/>
  <c r="U641" i="1"/>
  <c r="T641" i="1"/>
  <c r="S641" i="1"/>
  <c r="R641" i="1"/>
  <c r="Q641" i="1"/>
  <c r="U640" i="1"/>
  <c r="T640" i="1"/>
  <c r="S640" i="1"/>
  <c r="R640" i="1"/>
  <c r="Q640" i="1"/>
  <c r="U639" i="1"/>
  <c r="T639" i="1"/>
  <c r="S639" i="1"/>
  <c r="R639" i="1"/>
  <c r="Q639" i="1"/>
  <c r="U638" i="1"/>
  <c r="T638" i="1"/>
  <c r="S638" i="1"/>
  <c r="R638" i="1"/>
  <c r="Q638" i="1"/>
  <c r="U637" i="1"/>
  <c r="T637" i="1"/>
  <c r="S637" i="1"/>
  <c r="R637" i="1"/>
  <c r="Q637" i="1"/>
  <c r="U636" i="1"/>
  <c r="T636" i="1"/>
  <c r="S636" i="1"/>
  <c r="R636" i="1"/>
  <c r="Q636" i="1"/>
  <c r="U635" i="1"/>
  <c r="T635" i="1"/>
  <c r="S635" i="1"/>
  <c r="R635" i="1"/>
  <c r="Q635" i="1"/>
  <c r="U634" i="1"/>
  <c r="T634" i="1"/>
  <c r="S634" i="1"/>
  <c r="R634" i="1"/>
  <c r="Q634" i="1"/>
  <c r="U633" i="1"/>
  <c r="T633" i="1"/>
  <c r="S633" i="1"/>
  <c r="R633" i="1"/>
  <c r="Q633" i="1"/>
  <c r="U632" i="1"/>
  <c r="T632" i="1"/>
  <c r="S632" i="1"/>
  <c r="R632" i="1"/>
  <c r="Q632" i="1"/>
  <c r="U631" i="1"/>
  <c r="T631" i="1"/>
  <c r="S631" i="1"/>
  <c r="R631" i="1"/>
  <c r="Q631" i="1"/>
  <c r="U630" i="1"/>
  <c r="T630" i="1"/>
  <c r="S630" i="1"/>
  <c r="R630" i="1"/>
  <c r="Q630" i="1"/>
  <c r="U629" i="1"/>
  <c r="T629" i="1"/>
  <c r="S629" i="1"/>
  <c r="R629" i="1"/>
  <c r="Q629" i="1"/>
  <c r="U628" i="1"/>
  <c r="T628" i="1"/>
  <c r="S628" i="1"/>
  <c r="R628" i="1"/>
  <c r="Q628" i="1"/>
  <c r="U627" i="1"/>
  <c r="T627" i="1"/>
  <c r="S627" i="1"/>
  <c r="R627" i="1"/>
  <c r="Q627" i="1"/>
  <c r="U626" i="1"/>
  <c r="T626" i="1"/>
  <c r="S626" i="1"/>
  <c r="R626" i="1"/>
  <c r="Q626" i="1"/>
  <c r="U625" i="1"/>
  <c r="T625" i="1"/>
  <c r="S625" i="1"/>
  <c r="R625" i="1"/>
  <c r="Q625" i="1"/>
  <c r="U624" i="1"/>
  <c r="T624" i="1"/>
  <c r="S624" i="1"/>
  <c r="R624" i="1"/>
  <c r="Q624" i="1"/>
  <c r="U623" i="1"/>
  <c r="T623" i="1"/>
  <c r="S623" i="1"/>
  <c r="R623" i="1"/>
  <c r="Q623" i="1"/>
  <c r="U622" i="1"/>
  <c r="T622" i="1"/>
  <c r="S622" i="1"/>
  <c r="R622" i="1"/>
  <c r="Q622" i="1"/>
  <c r="U621" i="1"/>
  <c r="T621" i="1"/>
  <c r="S621" i="1"/>
  <c r="R621" i="1"/>
  <c r="Q621" i="1"/>
  <c r="U620" i="1"/>
  <c r="T620" i="1"/>
  <c r="S620" i="1"/>
  <c r="R620" i="1"/>
  <c r="Q620" i="1"/>
  <c r="U619" i="1"/>
  <c r="T619" i="1"/>
  <c r="S619" i="1"/>
  <c r="R619" i="1"/>
  <c r="Q619" i="1"/>
  <c r="U618" i="1"/>
  <c r="T618" i="1"/>
  <c r="S618" i="1"/>
  <c r="R618" i="1"/>
  <c r="Q618" i="1"/>
  <c r="U617" i="1"/>
  <c r="T617" i="1"/>
  <c r="S617" i="1"/>
  <c r="R617" i="1"/>
  <c r="Q617" i="1"/>
  <c r="U616" i="1"/>
  <c r="T616" i="1"/>
  <c r="S616" i="1"/>
  <c r="R616" i="1"/>
  <c r="Q616" i="1"/>
  <c r="U615" i="1"/>
  <c r="T615" i="1"/>
  <c r="S615" i="1"/>
  <c r="R615" i="1"/>
  <c r="Q615" i="1"/>
  <c r="U614" i="1"/>
  <c r="T614" i="1"/>
  <c r="S614" i="1"/>
  <c r="R614" i="1"/>
  <c r="Q614" i="1"/>
  <c r="U613" i="1"/>
  <c r="T613" i="1"/>
  <c r="S613" i="1"/>
  <c r="R613" i="1"/>
  <c r="Q613" i="1"/>
  <c r="U612" i="1"/>
  <c r="T612" i="1"/>
  <c r="S612" i="1"/>
  <c r="R612" i="1"/>
  <c r="Q612" i="1"/>
  <c r="U611" i="1"/>
  <c r="T611" i="1"/>
  <c r="S611" i="1"/>
  <c r="R611" i="1"/>
  <c r="Q611" i="1"/>
  <c r="U610" i="1"/>
  <c r="T610" i="1"/>
  <c r="S610" i="1"/>
  <c r="R610" i="1"/>
  <c r="Q610" i="1"/>
  <c r="U609" i="1"/>
  <c r="T609" i="1"/>
  <c r="S609" i="1"/>
  <c r="R609" i="1"/>
  <c r="Q609" i="1"/>
  <c r="U608" i="1"/>
  <c r="T608" i="1"/>
  <c r="S608" i="1"/>
  <c r="R608" i="1"/>
  <c r="Q608" i="1"/>
  <c r="U607" i="1"/>
  <c r="T607" i="1"/>
  <c r="S607" i="1"/>
  <c r="R607" i="1"/>
  <c r="Q607" i="1"/>
  <c r="U606" i="1"/>
  <c r="T606" i="1"/>
  <c r="S606" i="1"/>
  <c r="R606" i="1"/>
  <c r="Q606" i="1"/>
  <c r="U605" i="1"/>
  <c r="T605" i="1"/>
  <c r="S605" i="1"/>
  <c r="R605" i="1"/>
  <c r="Q605" i="1"/>
  <c r="U604" i="1"/>
  <c r="T604" i="1"/>
  <c r="S604" i="1"/>
  <c r="R604" i="1"/>
  <c r="Q604" i="1"/>
  <c r="U603" i="1"/>
  <c r="T603" i="1"/>
  <c r="S603" i="1"/>
  <c r="R603" i="1"/>
  <c r="Q603" i="1"/>
  <c r="U602" i="1"/>
  <c r="T602" i="1"/>
  <c r="S602" i="1"/>
  <c r="R602" i="1"/>
  <c r="Q602" i="1"/>
  <c r="U601" i="1"/>
  <c r="T601" i="1"/>
  <c r="S601" i="1"/>
  <c r="R601" i="1"/>
  <c r="Q601" i="1"/>
  <c r="U600" i="1"/>
  <c r="T600" i="1"/>
  <c r="S600" i="1"/>
  <c r="R600" i="1"/>
  <c r="Q600" i="1"/>
  <c r="U599" i="1"/>
  <c r="T599" i="1"/>
  <c r="S599" i="1"/>
  <c r="R599" i="1"/>
  <c r="Q599" i="1"/>
  <c r="U598" i="1"/>
  <c r="T598" i="1"/>
  <c r="S598" i="1"/>
  <c r="R598" i="1"/>
  <c r="Q598" i="1"/>
  <c r="U597" i="1"/>
  <c r="T597" i="1"/>
  <c r="S597" i="1"/>
  <c r="R597" i="1"/>
  <c r="Q597" i="1"/>
  <c r="U596" i="1"/>
  <c r="T596" i="1"/>
  <c r="S596" i="1"/>
  <c r="R596" i="1"/>
  <c r="Q596" i="1"/>
  <c r="U595" i="1"/>
  <c r="T595" i="1"/>
  <c r="S595" i="1"/>
  <c r="R595" i="1"/>
  <c r="Q595" i="1"/>
  <c r="U594" i="1"/>
  <c r="T594" i="1"/>
  <c r="S594" i="1"/>
  <c r="R594" i="1"/>
  <c r="Q594" i="1"/>
  <c r="U593" i="1"/>
  <c r="T593" i="1"/>
  <c r="S593" i="1"/>
  <c r="R593" i="1"/>
  <c r="Q593" i="1"/>
  <c r="U592" i="1"/>
  <c r="T592" i="1"/>
  <c r="S592" i="1"/>
  <c r="R592" i="1"/>
  <c r="Q592" i="1"/>
  <c r="U591" i="1"/>
  <c r="T591" i="1"/>
  <c r="S591" i="1"/>
  <c r="R591" i="1"/>
  <c r="Q591" i="1"/>
  <c r="U590" i="1"/>
  <c r="T590" i="1"/>
  <c r="S590" i="1"/>
  <c r="R590" i="1"/>
  <c r="Q590" i="1"/>
  <c r="U589" i="1"/>
  <c r="T589" i="1"/>
  <c r="S589" i="1"/>
  <c r="R589" i="1"/>
  <c r="Q589" i="1"/>
  <c r="U588" i="1"/>
  <c r="T588" i="1"/>
  <c r="S588" i="1"/>
  <c r="R588" i="1"/>
  <c r="Q588" i="1"/>
  <c r="U587" i="1"/>
  <c r="T587" i="1"/>
  <c r="S587" i="1"/>
  <c r="R587" i="1"/>
  <c r="Q587" i="1"/>
  <c r="U586" i="1"/>
  <c r="T586" i="1"/>
  <c r="S586" i="1"/>
  <c r="R586" i="1"/>
  <c r="Q586" i="1"/>
  <c r="U585" i="1"/>
  <c r="T585" i="1"/>
  <c r="S585" i="1"/>
  <c r="R585" i="1"/>
  <c r="Q585" i="1"/>
  <c r="U584" i="1"/>
  <c r="T584" i="1"/>
  <c r="S584" i="1"/>
  <c r="R584" i="1"/>
  <c r="Q584" i="1"/>
  <c r="U583" i="1"/>
  <c r="T583" i="1"/>
  <c r="S583" i="1"/>
  <c r="R583" i="1"/>
  <c r="Q583" i="1"/>
  <c r="U582" i="1"/>
  <c r="T582" i="1"/>
  <c r="S582" i="1"/>
  <c r="R582" i="1"/>
  <c r="Q582" i="1"/>
  <c r="U581" i="1"/>
  <c r="T581" i="1"/>
  <c r="S581" i="1"/>
  <c r="R581" i="1"/>
  <c r="Q581" i="1"/>
  <c r="U580" i="1"/>
  <c r="T580" i="1"/>
  <c r="S580" i="1"/>
  <c r="R580" i="1"/>
  <c r="Q580" i="1"/>
  <c r="U579" i="1"/>
  <c r="T579" i="1"/>
  <c r="S579" i="1"/>
  <c r="R579" i="1"/>
  <c r="Q579" i="1"/>
  <c r="U578" i="1"/>
  <c r="T578" i="1"/>
  <c r="S578" i="1"/>
  <c r="R578" i="1"/>
  <c r="Q578" i="1"/>
  <c r="U577" i="1"/>
  <c r="T577" i="1"/>
  <c r="S577" i="1"/>
  <c r="R577" i="1"/>
  <c r="Q577" i="1"/>
  <c r="U576" i="1"/>
  <c r="T576" i="1"/>
  <c r="S576" i="1"/>
  <c r="R576" i="1"/>
  <c r="Q576" i="1"/>
  <c r="U575" i="1"/>
  <c r="T575" i="1"/>
  <c r="S575" i="1"/>
  <c r="R575" i="1"/>
  <c r="Q575" i="1"/>
  <c r="U574" i="1"/>
  <c r="T574" i="1"/>
  <c r="S574" i="1"/>
  <c r="R574" i="1"/>
  <c r="Q574" i="1"/>
  <c r="U573" i="1"/>
  <c r="T573" i="1"/>
  <c r="S573" i="1"/>
  <c r="R573" i="1"/>
  <c r="Q573" i="1"/>
  <c r="U572" i="1"/>
  <c r="T572" i="1"/>
  <c r="S572" i="1"/>
  <c r="R572" i="1"/>
  <c r="Q572" i="1"/>
  <c r="U571" i="1"/>
  <c r="T571" i="1"/>
  <c r="S571" i="1"/>
  <c r="R571" i="1"/>
  <c r="Q571" i="1"/>
  <c r="U570" i="1"/>
  <c r="T570" i="1"/>
  <c r="S570" i="1"/>
  <c r="R570" i="1"/>
  <c r="Q570" i="1"/>
  <c r="U569" i="1"/>
  <c r="T569" i="1"/>
  <c r="S569" i="1"/>
  <c r="R569" i="1"/>
  <c r="Q569" i="1"/>
  <c r="U568" i="1"/>
  <c r="T568" i="1"/>
  <c r="S568" i="1"/>
  <c r="R568" i="1"/>
  <c r="Q568" i="1"/>
  <c r="U567" i="1"/>
  <c r="T567" i="1"/>
  <c r="S567" i="1"/>
  <c r="R567" i="1"/>
  <c r="Q567" i="1"/>
  <c r="U566" i="1"/>
  <c r="T566" i="1"/>
  <c r="S566" i="1"/>
  <c r="R566" i="1"/>
  <c r="Q566" i="1"/>
  <c r="U565" i="1"/>
  <c r="T565" i="1"/>
  <c r="S565" i="1"/>
  <c r="R565" i="1"/>
  <c r="Q565" i="1"/>
  <c r="U564" i="1"/>
  <c r="T564" i="1"/>
  <c r="S564" i="1"/>
  <c r="R564" i="1"/>
  <c r="Q564" i="1"/>
  <c r="U563" i="1"/>
  <c r="T563" i="1"/>
  <c r="S563" i="1"/>
  <c r="R563" i="1"/>
  <c r="Q563" i="1"/>
  <c r="U562" i="1"/>
  <c r="T562" i="1"/>
  <c r="S562" i="1"/>
  <c r="R562" i="1"/>
  <c r="Q562" i="1"/>
  <c r="U561" i="1"/>
  <c r="T561" i="1"/>
  <c r="S561" i="1"/>
  <c r="R561" i="1"/>
  <c r="Q561" i="1"/>
  <c r="U560" i="1"/>
  <c r="T560" i="1"/>
  <c r="S560" i="1"/>
  <c r="R560" i="1"/>
  <c r="Q560" i="1"/>
  <c r="U559" i="1"/>
  <c r="T559" i="1"/>
  <c r="S559" i="1"/>
  <c r="R559" i="1"/>
  <c r="Q559" i="1"/>
  <c r="U558" i="1"/>
  <c r="T558" i="1"/>
  <c r="S558" i="1"/>
  <c r="R558" i="1"/>
  <c r="Q558" i="1"/>
  <c r="U557" i="1"/>
  <c r="T557" i="1"/>
  <c r="S557" i="1"/>
  <c r="R557" i="1"/>
  <c r="Q557" i="1"/>
  <c r="U556" i="1"/>
  <c r="T556" i="1"/>
  <c r="S556" i="1"/>
  <c r="R556" i="1"/>
  <c r="Q556" i="1"/>
  <c r="U555" i="1"/>
  <c r="T555" i="1"/>
  <c r="S555" i="1"/>
  <c r="R555" i="1"/>
  <c r="Q555" i="1"/>
  <c r="U554" i="1"/>
  <c r="T554" i="1"/>
  <c r="S554" i="1"/>
  <c r="R554" i="1"/>
  <c r="Q554" i="1"/>
  <c r="U553" i="1"/>
  <c r="T553" i="1"/>
  <c r="S553" i="1"/>
  <c r="R553" i="1"/>
  <c r="Q553" i="1"/>
  <c r="U552" i="1"/>
  <c r="T552" i="1"/>
  <c r="S552" i="1"/>
  <c r="R552" i="1"/>
  <c r="Q552" i="1"/>
  <c r="U551" i="1"/>
  <c r="T551" i="1"/>
  <c r="S551" i="1"/>
  <c r="R551" i="1"/>
  <c r="Q551" i="1"/>
  <c r="U550" i="1"/>
  <c r="T550" i="1"/>
  <c r="S550" i="1"/>
  <c r="R550" i="1"/>
  <c r="Q550" i="1"/>
  <c r="U549" i="1"/>
  <c r="T549" i="1"/>
  <c r="S549" i="1"/>
  <c r="R549" i="1"/>
  <c r="Q549" i="1"/>
  <c r="U548" i="1"/>
  <c r="T548" i="1"/>
  <c r="S548" i="1"/>
  <c r="R548" i="1"/>
  <c r="Q548" i="1"/>
  <c r="U547" i="1"/>
  <c r="T547" i="1"/>
  <c r="S547" i="1"/>
  <c r="R547" i="1"/>
  <c r="Q547" i="1"/>
  <c r="U546" i="1"/>
  <c r="T546" i="1"/>
  <c r="S546" i="1"/>
  <c r="R546" i="1"/>
  <c r="Q546" i="1"/>
  <c r="U545" i="1"/>
  <c r="T545" i="1"/>
  <c r="S545" i="1"/>
  <c r="R545" i="1"/>
  <c r="Q545" i="1"/>
  <c r="U544" i="1"/>
  <c r="T544" i="1"/>
  <c r="S544" i="1"/>
  <c r="R544" i="1"/>
  <c r="Q544" i="1"/>
  <c r="U543" i="1"/>
  <c r="T543" i="1"/>
  <c r="S543" i="1"/>
  <c r="R543" i="1"/>
  <c r="Q543" i="1"/>
  <c r="U542" i="1"/>
  <c r="T542" i="1"/>
  <c r="S542" i="1"/>
  <c r="R542" i="1"/>
  <c r="Q542" i="1"/>
  <c r="U541" i="1"/>
  <c r="T541" i="1"/>
  <c r="S541" i="1"/>
  <c r="R541" i="1"/>
  <c r="Q541" i="1"/>
  <c r="U540" i="1"/>
  <c r="T540" i="1"/>
  <c r="S540" i="1"/>
  <c r="R540" i="1"/>
  <c r="Q540" i="1"/>
  <c r="U539" i="1"/>
  <c r="T539" i="1"/>
  <c r="S539" i="1"/>
  <c r="R539" i="1"/>
  <c r="Q539" i="1"/>
  <c r="U538" i="1"/>
  <c r="T538" i="1"/>
  <c r="S538" i="1"/>
  <c r="R538" i="1"/>
  <c r="Q538" i="1"/>
  <c r="U537" i="1"/>
  <c r="T537" i="1"/>
  <c r="S537" i="1"/>
  <c r="R537" i="1"/>
  <c r="Q537" i="1"/>
  <c r="U536" i="1"/>
  <c r="T536" i="1"/>
  <c r="S536" i="1"/>
  <c r="R536" i="1"/>
  <c r="Q536" i="1"/>
  <c r="U535" i="1"/>
  <c r="T535" i="1"/>
  <c r="S535" i="1"/>
  <c r="R535" i="1"/>
  <c r="Q535" i="1"/>
  <c r="U534" i="1"/>
  <c r="T534" i="1"/>
  <c r="S534" i="1"/>
  <c r="R534" i="1"/>
  <c r="Q534" i="1"/>
  <c r="U533" i="1"/>
  <c r="T533" i="1"/>
  <c r="S533" i="1"/>
  <c r="R533" i="1"/>
  <c r="Q533" i="1"/>
  <c r="U532" i="1"/>
  <c r="T532" i="1"/>
  <c r="S532" i="1"/>
  <c r="R532" i="1"/>
  <c r="Q532" i="1"/>
  <c r="U531" i="1"/>
  <c r="T531" i="1"/>
  <c r="S531" i="1"/>
  <c r="R531" i="1"/>
  <c r="Q531" i="1"/>
  <c r="U530" i="1"/>
  <c r="T530" i="1"/>
  <c r="S530" i="1"/>
  <c r="R530" i="1"/>
  <c r="Q530" i="1"/>
  <c r="U529" i="1"/>
  <c r="T529" i="1"/>
  <c r="S529" i="1"/>
  <c r="R529" i="1"/>
  <c r="Q529" i="1"/>
  <c r="U528" i="1"/>
  <c r="T528" i="1"/>
  <c r="S528" i="1"/>
  <c r="R528" i="1"/>
  <c r="Q528" i="1"/>
  <c r="U527" i="1"/>
  <c r="T527" i="1"/>
  <c r="S527" i="1"/>
  <c r="R527" i="1"/>
  <c r="Q527" i="1"/>
  <c r="U526" i="1"/>
  <c r="T526" i="1"/>
  <c r="S526" i="1"/>
  <c r="R526" i="1"/>
  <c r="Q526" i="1"/>
  <c r="U525" i="1"/>
  <c r="T525" i="1"/>
  <c r="S525" i="1"/>
  <c r="R525" i="1"/>
  <c r="Q525" i="1"/>
  <c r="U524" i="1"/>
  <c r="T524" i="1"/>
  <c r="S524" i="1"/>
  <c r="R524" i="1"/>
  <c r="Q524" i="1"/>
  <c r="U523" i="1"/>
  <c r="T523" i="1"/>
  <c r="S523" i="1"/>
  <c r="R523" i="1"/>
  <c r="Q523" i="1"/>
  <c r="U522" i="1"/>
  <c r="T522" i="1"/>
  <c r="S522" i="1"/>
  <c r="R522" i="1"/>
  <c r="Q522" i="1"/>
  <c r="U521" i="1"/>
  <c r="T521" i="1"/>
  <c r="S521" i="1"/>
  <c r="R521" i="1"/>
  <c r="Q521" i="1"/>
  <c r="U520" i="1"/>
  <c r="T520" i="1"/>
  <c r="S520" i="1"/>
  <c r="R520" i="1"/>
  <c r="Q520" i="1"/>
  <c r="U519" i="1"/>
  <c r="T519" i="1"/>
  <c r="S519" i="1"/>
  <c r="R519" i="1"/>
  <c r="Q519" i="1"/>
  <c r="U518" i="1"/>
  <c r="T518" i="1"/>
  <c r="S518" i="1"/>
  <c r="R518" i="1"/>
  <c r="Q518" i="1"/>
  <c r="U517" i="1"/>
  <c r="T517" i="1"/>
  <c r="S517" i="1"/>
  <c r="R517" i="1"/>
  <c r="Q517" i="1"/>
  <c r="U516" i="1"/>
  <c r="T516" i="1"/>
  <c r="S516" i="1"/>
  <c r="R516" i="1"/>
  <c r="Q516" i="1"/>
  <c r="U515" i="1"/>
  <c r="T515" i="1"/>
  <c r="S515" i="1"/>
  <c r="R515" i="1"/>
  <c r="Q515" i="1"/>
  <c r="U514" i="1"/>
  <c r="T514" i="1"/>
  <c r="S514" i="1"/>
  <c r="R514" i="1"/>
  <c r="Q514" i="1"/>
  <c r="U513" i="1"/>
  <c r="T513" i="1"/>
  <c r="S513" i="1"/>
  <c r="R513" i="1"/>
  <c r="Q513" i="1"/>
  <c r="U512" i="1"/>
  <c r="T512" i="1"/>
  <c r="S512" i="1"/>
  <c r="R512" i="1"/>
  <c r="Q512" i="1"/>
  <c r="U511" i="1"/>
  <c r="T511" i="1"/>
  <c r="S511" i="1"/>
  <c r="R511" i="1"/>
  <c r="Q511" i="1"/>
  <c r="U510" i="1"/>
  <c r="T510" i="1"/>
  <c r="S510" i="1"/>
  <c r="R510" i="1"/>
  <c r="Q510" i="1"/>
  <c r="U509" i="1"/>
  <c r="T509" i="1"/>
  <c r="S509" i="1"/>
  <c r="R509" i="1"/>
  <c r="Q509" i="1"/>
  <c r="U508" i="1"/>
  <c r="T508" i="1"/>
  <c r="S508" i="1"/>
  <c r="R508" i="1"/>
  <c r="Q508" i="1"/>
  <c r="U507" i="1"/>
  <c r="T507" i="1"/>
  <c r="S507" i="1"/>
  <c r="R507" i="1"/>
  <c r="Q507" i="1"/>
  <c r="U506" i="1"/>
  <c r="T506" i="1"/>
  <c r="S506" i="1"/>
  <c r="R506" i="1"/>
  <c r="Q506" i="1"/>
  <c r="U505" i="1"/>
  <c r="T505" i="1"/>
  <c r="S505" i="1"/>
  <c r="R505" i="1"/>
  <c r="Q505" i="1"/>
  <c r="U504" i="1"/>
  <c r="T504" i="1"/>
  <c r="S504" i="1"/>
  <c r="R504" i="1"/>
  <c r="Q504" i="1"/>
  <c r="U503" i="1"/>
  <c r="T503" i="1"/>
  <c r="S503" i="1"/>
  <c r="R503" i="1"/>
  <c r="Q503" i="1"/>
  <c r="U502" i="1"/>
  <c r="T502" i="1"/>
  <c r="S502" i="1"/>
  <c r="R502" i="1"/>
  <c r="Q502" i="1"/>
  <c r="U501" i="1"/>
  <c r="T501" i="1"/>
  <c r="S501" i="1"/>
  <c r="R501" i="1"/>
  <c r="Q501" i="1"/>
  <c r="U500" i="1"/>
  <c r="T500" i="1"/>
  <c r="S500" i="1"/>
  <c r="R500" i="1"/>
  <c r="Q500" i="1"/>
  <c r="U499" i="1"/>
  <c r="T499" i="1"/>
  <c r="S499" i="1"/>
  <c r="R499" i="1"/>
  <c r="Q499" i="1"/>
  <c r="U498" i="1"/>
  <c r="T498" i="1"/>
  <c r="S498" i="1"/>
  <c r="R498" i="1"/>
  <c r="Q498" i="1"/>
  <c r="U497" i="1"/>
  <c r="T497" i="1"/>
  <c r="S497" i="1"/>
  <c r="R497" i="1"/>
  <c r="Q497" i="1"/>
  <c r="U496" i="1"/>
  <c r="T496" i="1"/>
  <c r="S496" i="1"/>
  <c r="R496" i="1"/>
  <c r="Q496" i="1"/>
  <c r="U495" i="1"/>
  <c r="T495" i="1"/>
  <c r="S495" i="1"/>
  <c r="R495" i="1"/>
  <c r="Q495" i="1"/>
  <c r="U494" i="1"/>
  <c r="T494" i="1"/>
  <c r="S494" i="1"/>
  <c r="R494" i="1"/>
  <c r="Q494" i="1"/>
  <c r="U493" i="1"/>
  <c r="T493" i="1"/>
  <c r="S493" i="1"/>
  <c r="R493" i="1"/>
  <c r="Q493" i="1"/>
  <c r="U492" i="1"/>
  <c r="T492" i="1"/>
  <c r="S492" i="1"/>
  <c r="R492" i="1"/>
  <c r="Q492" i="1"/>
  <c r="U491" i="1"/>
  <c r="T491" i="1"/>
  <c r="S491" i="1"/>
  <c r="R491" i="1"/>
  <c r="Q491" i="1"/>
  <c r="U490" i="1"/>
  <c r="T490" i="1"/>
  <c r="S490" i="1"/>
  <c r="R490" i="1"/>
  <c r="Q490" i="1"/>
  <c r="U489" i="1"/>
  <c r="T489" i="1"/>
  <c r="S489" i="1"/>
  <c r="R489" i="1"/>
  <c r="Q489" i="1"/>
  <c r="U488" i="1"/>
  <c r="T488" i="1"/>
  <c r="S488" i="1"/>
  <c r="R488" i="1"/>
  <c r="Q488" i="1"/>
  <c r="U487" i="1"/>
  <c r="T487" i="1"/>
  <c r="S487" i="1"/>
  <c r="R487" i="1"/>
  <c r="Q487" i="1"/>
  <c r="U486" i="1"/>
  <c r="T486" i="1"/>
  <c r="S486" i="1"/>
  <c r="R486" i="1"/>
  <c r="Q486" i="1"/>
  <c r="U485" i="1"/>
  <c r="T485" i="1"/>
  <c r="S485" i="1"/>
  <c r="R485" i="1"/>
  <c r="Q485" i="1"/>
  <c r="U484" i="1"/>
  <c r="T484" i="1"/>
  <c r="S484" i="1"/>
  <c r="R484" i="1"/>
  <c r="Q484" i="1"/>
  <c r="U483" i="1"/>
  <c r="T483" i="1"/>
  <c r="S483" i="1"/>
  <c r="R483" i="1"/>
  <c r="Q483" i="1"/>
  <c r="U482" i="1"/>
  <c r="T482" i="1"/>
  <c r="S482" i="1"/>
  <c r="R482" i="1"/>
  <c r="Q482" i="1"/>
  <c r="U481" i="1"/>
  <c r="T481" i="1"/>
  <c r="S481" i="1"/>
  <c r="R481" i="1"/>
  <c r="Q481" i="1"/>
  <c r="U480" i="1"/>
  <c r="T480" i="1"/>
  <c r="S480" i="1"/>
  <c r="R480" i="1"/>
  <c r="Q480" i="1"/>
  <c r="U479" i="1"/>
  <c r="T479" i="1"/>
  <c r="S479" i="1"/>
  <c r="R479" i="1"/>
  <c r="Q479" i="1"/>
  <c r="U478" i="1"/>
  <c r="T478" i="1"/>
  <c r="S478" i="1"/>
  <c r="R478" i="1"/>
  <c r="Q478" i="1"/>
  <c r="U477" i="1"/>
  <c r="T477" i="1"/>
  <c r="S477" i="1"/>
  <c r="R477" i="1"/>
  <c r="Q477" i="1"/>
  <c r="U476" i="1"/>
  <c r="T476" i="1"/>
  <c r="S476" i="1"/>
  <c r="R476" i="1"/>
  <c r="Q476" i="1"/>
  <c r="U475" i="1"/>
  <c r="T475" i="1"/>
  <c r="S475" i="1"/>
  <c r="R475" i="1"/>
  <c r="Q475" i="1"/>
  <c r="U474" i="1"/>
  <c r="T474" i="1"/>
  <c r="S474" i="1"/>
  <c r="R474" i="1"/>
  <c r="Q474" i="1"/>
  <c r="U473" i="1"/>
  <c r="T473" i="1"/>
  <c r="S473" i="1"/>
  <c r="R473" i="1"/>
  <c r="Q473" i="1"/>
  <c r="U472" i="1"/>
  <c r="T472" i="1"/>
  <c r="S472" i="1"/>
  <c r="R472" i="1"/>
  <c r="Q472" i="1"/>
  <c r="U471" i="1"/>
  <c r="T471" i="1"/>
  <c r="S471" i="1"/>
  <c r="R471" i="1"/>
  <c r="Q471" i="1"/>
  <c r="U470" i="1"/>
  <c r="T470" i="1"/>
  <c r="S470" i="1"/>
  <c r="R470" i="1"/>
  <c r="Q470" i="1"/>
  <c r="U469" i="1"/>
  <c r="T469" i="1"/>
  <c r="S469" i="1"/>
  <c r="R469" i="1"/>
  <c r="Q469" i="1"/>
  <c r="U468" i="1"/>
  <c r="T468" i="1"/>
  <c r="S468" i="1"/>
  <c r="R468" i="1"/>
  <c r="Q468" i="1"/>
  <c r="U467" i="1"/>
  <c r="T467" i="1"/>
  <c r="S467" i="1"/>
  <c r="R467" i="1"/>
  <c r="Q467" i="1"/>
  <c r="U466" i="1"/>
  <c r="T466" i="1"/>
  <c r="S466" i="1"/>
  <c r="R466" i="1"/>
  <c r="Q466" i="1"/>
  <c r="U465" i="1"/>
  <c r="T465" i="1"/>
  <c r="S465" i="1"/>
  <c r="R465" i="1"/>
  <c r="Q465" i="1"/>
  <c r="U464" i="1"/>
  <c r="T464" i="1"/>
  <c r="S464" i="1"/>
  <c r="R464" i="1"/>
  <c r="Q464" i="1"/>
  <c r="U463" i="1"/>
  <c r="T463" i="1"/>
  <c r="S463" i="1"/>
  <c r="R463" i="1"/>
  <c r="Q463" i="1"/>
  <c r="U462" i="1"/>
  <c r="T462" i="1"/>
  <c r="S462" i="1"/>
  <c r="R462" i="1"/>
  <c r="Q462" i="1"/>
  <c r="U461" i="1"/>
  <c r="T461" i="1"/>
  <c r="S461" i="1"/>
  <c r="R461" i="1"/>
  <c r="Q461" i="1"/>
  <c r="U460" i="1"/>
  <c r="T460" i="1"/>
  <c r="S460" i="1"/>
  <c r="R460" i="1"/>
  <c r="Q460" i="1"/>
  <c r="U459" i="1"/>
  <c r="T459" i="1"/>
  <c r="S459" i="1"/>
  <c r="R459" i="1"/>
  <c r="Q459" i="1"/>
  <c r="U458" i="1"/>
  <c r="T458" i="1"/>
  <c r="S458" i="1"/>
  <c r="R458" i="1"/>
  <c r="Q458" i="1"/>
  <c r="U457" i="1"/>
  <c r="T457" i="1"/>
  <c r="S457" i="1"/>
  <c r="R457" i="1"/>
  <c r="Q457" i="1"/>
  <c r="U456" i="1"/>
  <c r="T456" i="1"/>
  <c r="S456" i="1"/>
  <c r="R456" i="1"/>
  <c r="Q456" i="1"/>
  <c r="U455" i="1"/>
  <c r="T455" i="1"/>
  <c r="S455" i="1"/>
  <c r="R455" i="1"/>
  <c r="Q455" i="1"/>
  <c r="U454" i="1"/>
  <c r="T454" i="1"/>
  <c r="S454" i="1"/>
  <c r="R454" i="1"/>
  <c r="Q454" i="1"/>
  <c r="U453" i="1"/>
  <c r="T453" i="1"/>
  <c r="S453" i="1"/>
  <c r="R453" i="1"/>
  <c r="Q453" i="1"/>
  <c r="U452" i="1"/>
  <c r="T452" i="1"/>
  <c r="S452" i="1"/>
  <c r="R452" i="1"/>
  <c r="Q452" i="1"/>
  <c r="U451" i="1"/>
  <c r="T451" i="1"/>
  <c r="S451" i="1"/>
  <c r="R451" i="1"/>
  <c r="Q451" i="1"/>
  <c r="U450" i="1"/>
  <c r="T450" i="1"/>
  <c r="S450" i="1"/>
  <c r="R450" i="1"/>
  <c r="Q450" i="1"/>
  <c r="U449" i="1"/>
  <c r="T449" i="1"/>
  <c r="S449" i="1"/>
  <c r="R449" i="1"/>
  <c r="Q449" i="1"/>
  <c r="U448" i="1"/>
  <c r="T448" i="1"/>
  <c r="S448" i="1"/>
  <c r="R448" i="1"/>
  <c r="Q448" i="1"/>
  <c r="U447" i="1"/>
  <c r="T447" i="1"/>
  <c r="S447" i="1"/>
  <c r="R447" i="1"/>
  <c r="Q447" i="1"/>
  <c r="U446" i="1"/>
  <c r="T446" i="1"/>
  <c r="S446" i="1"/>
  <c r="R446" i="1"/>
  <c r="Q446" i="1"/>
  <c r="U445" i="1"/>
  <c r="T445" i="1"/>
  <c r="S445" i="1"/>
  <c r="R445" i="1"/>
  <c r="Q445" i="1"/>
  <c r="U444" i="1"/>
  <c r="T444" i="1"/>
  <c r="S444" i="1"/>
  <c r="R444" i="1"/>
  <c r="Q444" i="1"/>
  <c r="U443" i="1"/>
  <c r="T443" i="1"/>
  <c r="S443" i="1"/>
  <c r="R443" i="1"/>
  <c r="Q443" i="1"/>
  <c r="U442" i="1"/>
  <c r="T442" i="1"/>
  <c r="S442" i="1"/>
  <c r="R442" i="1"/>
  <c r="Q442" i="1"/>
  <c r="U441" i="1"/>
  <c r="T441" i="1"/>
  <c r="S441" i="1"/>
  <c r="R441" i="1"/>
  <c r="Q441" i="1"/>
  <c r="U440" i="1"/>
  <c r="T440" i="1"/>
  <c r="S440" i="1"/>
  <c r="R440" i="1"/>
  <c r="Q440" i="1"/>
  <c r="U439" i="1"/>
  <c r="T439" i="1"/>
  <c r="S439" i="1"/>
  <c r="R439" i="1"/>
  <c r="Q439" i="1"/>
  <c r="U438" i="1"/>
  <c r="T438" i="1"/>
  <c r="S438" i="1"/>
  <c r="R438" i="1"/>
  <c r="Q438" i="1"/>
  <c r="U437" i="1"/>
  <c r="T437" i="1"/>
  <c r="S437" i="1"/>
  <c r="R437" i="1"/>
  <c r="Q437" i="1"/>
  <c r="U436" i="1"/>
  <c r="T436" i="1"/>
  <c r="S436" i="1"/>
  <c r="R436" i="1"/>
  <c r="Q436" i="1"/>
  <c r="U435" i="1"/>
  <c r="T435" i="1"/>
  <c r="S435" i="1"/>
  <c r="R435" i="1"/>
  <c r="Q435" i="1"/>
  <c r="U434" i="1"/>
  <c r="T434" i="1"/>
  <c r="S434" i="1"/>
  <c r="R434" i="1"/>
  <c r="Q434" i="1"/>
  <c r="U433" i="1"/>
  <c r="T433" i="1"/>
  <c r="S433" i="1"/>
  <c r="R433" i="1"/>
  <c r="Q433" i="1"/>
  <c r="U432" i="1"/>
  <c r="T432" i="1"/>
  <c r="S432" i="1"/>
  <c r="R432" i="1"/>
  <c r="Q432" i="1"/>
  <c r="U431" i="1"/>
  <c r="T431" i="1"/>
  <c r="S431" i="1"/>
  <c r="R431" i="1"/>
  <c r="Q431" i="1"/>
  <c r="U430" i="1"/>
  <c r="T430" i="1"/>
  <c r="S430" i="1"/>
  <c r="R430" i="1"/>
  <c r="Q430" i="1"/>
  <c r="U429" i="1"/>
  <c r="T429" i="1"/>
  <c r="S429" i="1"/>
  <c r="R429" i="1"/>
  <c r="Q429" i="1"/>
  <c r="U428" i="1"/>
  <c r="T428" i="1"/>
  <c r="S428" i="1"/>
  <c r="R428" i="1"/>
  <c r="Q428" i="1"/>
  <c r="U427" i="1"/>
  <c r="T427" i="1"/>
  <c r="S427" i="1"/>
  <c r="R427" i="1"/>
  <c r="Q427" i="1"/>
  <c r="U426" i="1"/>
  <c r="T426" i="1"/>
  <c r="S426" i="1"/>
  <c r="R426" i="1"/>
  <c r="Q426" i="1"/>
  <c r="U425" i="1"/>
  <c r="T425" i="1"/>
  <c r="S425" i="1"/>
  <c r="R425" i="1"/>
  <c r="Q425" i="1"/>
  <c r="U424" i="1"/>
  <c r="T424" i="1"/>
  <c r="S424" i="1"/>
  <c r="R424" i="1"/>
  <c r="Q424" i="1"/>
  <c r="U423" i="1"/>
  <c r="T423" i="1"/>
  <c r="S423" i="1"/>
  <c r="R423" i="1"/>
  <c r="Q423" i="1"/>
  <c r="U422" i="1"/>
  <c r="T422" i="1"/>
  <c r="S422" i="1"/>
  <c r="R422" i="1"/>
  <c r="Q422" i="1"/>
  <c r="U421" i="1"/>
  <c r="T421" i="1"/>
  <c r="S421" i="1"/>
  <c r="R421" i="1"/>
  <c r="Q421" i="1"/>
  <c r="U420" i="1"/>
  <c r="T420" i="1"/>
  <c r="S420" i="1"/>
  <c r="R420" i="1"/>
  <c r="Q420" i="1"/>
  <c r="U419" i="1"/>
  <c r="T419" i="1"/>
  <c r="S419" i="1"/>
  <c r="R419" i="1"/>
  <c r="Q419" i="1"/>
  <c r="U418" i="1"/>
  <c r="T418" i="1"/>
  <c r="S418" i="1"/>
  <c r="R418" i="1"/>
  <c r="Q418" i="1"/>
  <c r="U417" i="1"/>
  <c r="T417" i="1"/>
  <c r="S417" i="1"/>
  <c r="R417" i="1"/>
  <c r="Q417" i="1"/>
  <c r="U416" i="1"/>
  <c r="T416" i="1"/>
  <c r="S416" i="1"/>
  <c r="R416" i="1"/>
  <c r="Q416" i="1"/>
  <c r="U415" i="1"/>
  <c r="T415" i="1"/>
  <c r="S415" i="1"/>
  <c r="R415" i="1"/>
  <c r="Q415" i="1"/>
  <c r="U414" i="1"/>
  <c r="T414" i="1"/>
  <c r="S414" i="1"/>
  <c r="R414" i="1"/>
  <c r="Q414" i="1"/>
  <c r="U413" i="1"/>
  <c r="T413" i="1"/>
  <c r="S413" i="1"/>
  <c r="R413" i="1"/>
  <c r="Q413" i="1"/>
  <c r="U412" i="1"/>
  <c r="T412" i="1"/>
  <c r="S412" i="1"/>
  <c r="R412" i="1"/>
  <c r="Q412" i="1"/>
  <c r="U411" i="1"/>
  <c r="T411" i="1"/>
  <c r="S411" i="1"/>
  <c r="R411" i="1"/>
  <c r="Q411" i="1"/>
  <c r="U410" i="1"/>
  <c r="T410" i="1"/>
  <c r="S410" i="1"/>
  <c r="R410" i="1"/>
  <c r="Q410" i="1"/>
  <c r="U409" i="1"/>
  <c r="T409" i="1"/>
  <c r="S409" i="1"/>
  <c r="R409" i="1"/>
  <c r="Q409" i="1"/>
  <c r="U408" i="1"/>
  <c r="T408" i="1"/>
  <c r="S408" i="1"/>
  <c r="R408" i="1"/>
  <c r="Q408" i="1"/>
  <c r="U407" i="1"/>
  <c r="T407" i="1"/>
  <c r="S407" i="1"/>
  <c r="R407" i="1"/>
  <c r="Q407" i="1"/>
  <c r="U406" i="1"/>
  <c r="T406" i="1"/>
  <c r="S406" i="1"/>
  <c r="R406" i="1"/>
  <c r="Q406" i="1"/>
  <c r="U405" i="1"/>
  <c r="T405" i="1"/>
  <c r="S405" i="1"/>
  <c r="R405" i="1"/>
  <c r="Q405" i="1"/>
  <c r="U404" i="1"/>
  <c r="T404" i="1"/>
  <c r="S404" i="1"/>
  <c r="R404" i="1"/>
  <c r="Q404" i="1"/>
  <c r="U403" i="1"/>
  <c r="T403" i="1"/>
  <c r="S403" i="1"/>
  <c r="R403" i="1"/>
  <c r="Q403" i="1"/>
  <c r="U402" i="1"/>
  <c r="T402" i="1"/>
  <c r="S402" i="1"/>
  <c r="R402" i="1"/>
  <c r="Q402" i="1"/>
  <c r="U401" i="1"/>
  <c r="T401" i="1"/>
  <c r="S401" i="1"/>
  <c r="R401" i="1"/>
  <c r="Q401" i="1"/>
  <c r="U400" i="1"/>
  <c r="T400" i="1"/>
  <c r="S400" i="1"/>
  <c r="R400" i="1"/>
  <c r="Q400" i="1"/>
  <c r="U399" i="1"/>
  <c r="T399" i="1"/>
  <c r="S399" i="1"/>
  <c r="R399" i="1"/>
  <c r="Q399" i="1"/>
  <c r="U398" i="1"/>
  <c r="T398" i="1"/>
  <c r="S398" i="1"/>
  <c r="R398" i="1"/>
  <c r="Q398" i="1"/>
  <c r="U397" i="1"/>
  <c r="T397" i="1"/>
  <c r="S397" i="1"/>
  <c r="R397" i="1"/>
  <c r="Q397" i="1"/>
  <c r="U396" i="1"/>
  <c r="T396" i="1"/>
  <c r="S396" i="1"/>
  <c r="R396" i="1"/>
  <c r="Q396" i="1"/>
  <c r="U395" i="1"/>
  <c r="T395" i="1"/>
  <c r="S395" i="1"/>
  <c r="R395" i="1"/>
  <c r="Q395" i="1"/>
  <c r="U394" i="1"/>
  <c r="T394" i="1"/>
  <c r="S394" i="1"/>
  <c r="R394" i="1"/>
  <c r="Q394" i="1"/>
  <c r="U393" i="1"/>
  <c r="T393" i="1"/>
  <c r="S393" i="1"/>
  <c r="R393" i="1"/>
  <c r="Q393" i="1"/>
  <c r="U392" i="1"/>
  <c r="T392" i="1"/>
  <c r="S392" i="1"/>
  <c r="R392" i="1"/>
  <c r="Q392" i="1"/>
  <c r="U391" i="1"/>
  <c r="T391" i="1"/>
  <c r="S391" i="1"/>
  <c r="R391" i="1"/>
  <c r="Q391" i="1"/>
  <c r="U390" i="1"/>
  <c r="T390" i="1"/>
  <c r="S390" i="1"/>
  <c r="R390" i="1"/>
  <c r="Q390" i="1"/>
  <c r="U389" i="1"/>
  <c r="T389" i="1"/>
  <c r="S389" i="1"/>
  <c r="R389" i="1"/>
  <c r="Q389" i="1"/>
  <c r="U388" i="1"/>
  <c r="T388" i="1"/>
  <c r="S388" i="1"/>
  <c r="R388" i="1"/>
  <c r="Q388" i="1"/>
  <c r="U387" i="1"/>
  <c r="T387" i="1"/>
  <c r="S387" i="1"/>
  <c r="R387" i="1"/>
  <c r="Q387" i="1"/>
  <c r="U386" i="1"/>
  <c r="T386" i="1"/>
  <c r="S386" i="1"/>
  <c r="R386" i="1"/>
  <c r="Q386" i="1"/>
  <c r="U385" i="1"/>
  <c r="T385" i="1"/>
  <c r="S385" i="1"/>
  <c r="R385" i="1"/>
  <c r="Q385" i="1"/>
  <c r="U384" i="1"/>
  <c r="T384" i="1"/>
  <c r="S384" i="1"/>
  <c r="R384" i="1"/>
  <c r="Q384" i="1"/>
  <c r="U383" i="1"/>
  <c r="T383" i="1"/>
  <c r="S383" i="1"/>
  <c r="R383" i="1"/>
  <c r="Q383" i="1"/>
  <c r="U382" i="1"/>
  <c r="T382" i="1"/>
  <c r="S382" i="1"/>
  <c r="R382" i="1"/>
  <c r="Q382" i="1"/>
  <c r="U381" i="1"/>
  <c r="T381" i="1"/>
  <c r="S381" i="1"/>
  <c r="R381" i="1"/>
  <c r="Q381" i="1"/>
  <c r="U380" i="1"/>
  <c r="T380" i="1"/>
  <c r="S380" i="1"/>
  <c r="R380" i="1"/>
  <c r="Q380" i="1"/>
  <c r="U379" i="1"/>
  <c r="T379" i="1"/>
  <c r="S379" i="1"/>
  <c r="R379" i="1"/>
  <c r="Q379" i="1"/>
  <c r="U378" i="1"/>
  <c r="T378" i="1"/>
  <c r="S378" i="1"/>
  <c r="R378" i="1"/>
  <c r="Q378" i="1"/>
  <c r="U377" i="1"/>
  <c r="T377" i="1"/>
  <c r="S377" i="1"/>
  <c r="R377" i="1"/>
  <c r="Q377" i="1"/>
  <c r="U376" i="1"/>
  <c r="T376" i="1"/>
  <c r="S376" i="1"/>
  <c r="R376" i="1"/>
  <c r="Q376" i="1"/>
  <c r="U375" i="1"/>
  <c r="T375" i="1"/>
  <c r="S375" i="1"/>
  <c r="R375" i="1"/>
  <c r="Q375" i="1"/>
  <c r="U374" i="1"/>
  <c r="T374" i="1"/>
  <c r="S374" i="1"/>
  <c r="R374" i="1"/>
  <c r="Q374" i="1"/>
  <c r="U373" i="1"/>
  <c r="T373" i="1"/>
  <c r="S373" i="1"/>
  <c r="R373" i="1"/>
  <c r="Q373" i="1"/>
  <c r="U372" i="1"/>
  <c r="T372" i="1"/>
  <c r="S372" i="1"/>
  <c r="R372" i="1"/>
  <c r="Q372" i="1"/>
  <c r="U371" i="1"/>
  <c r="T371" i="1"/>
  <c r="S371" i="1"/>
  <c r="R371" i="1"/>
  <c r="Q371" i="1"/>
  <c r="U370" i="1"/>
  <c r="T370" i="1"/>
  <c r="S370" i="1"/>
  <c r="R370" i="1"/>
  <c r="Q370" i="1"/>
  <c r="U369" i="1"/>
  <c r="T369" i="1"/>
  <c r="S369" i="1"/>
  <c r="R369" i="1"/>
  <c r="Q369" i="1"/>
  <c r="U368" i="1"/>
  <c r="T368" i="1"/>
  <c r="S368" i="1"/>
  <c r="R368" i="1"/>
  <c r="Q368" i="1"/>
  <c r="U367" i="1"/>
  <c r="T367" i="1"/>
  <c r="S367" i="1"/>
  <c r="R367" i="1"/>
  <c r="Q367" i="1"/>
  <c r="U366" i="1"/>
  <c r="T366" i="1"/>
  <c r="S366" i="1"/>
  <c r="R366" i="1"/>
  <c r="Q366" i="1"/>
  <c r="U365" i="1"/>
  <c r="T365" i="1"/>
  <c r="S365" i="1"/>
  <c r="R365" i="1"/>
  <c r="Q365" i="1"/>
  <c r="U364" i="1"/>
  <c r="T364" i="1"/>
  <c r="S364" i="1"/>
  <c r="R364" i="1"/>
  <c r="Q364" i="1"/>
  <c r="U363" i="1"/>
  <c r="T363" i="1"/>
  <c r="S363" i="1"/>
  <c r="R363" i="1"/>
  <c r="Q363" i="1"/>
  <c r="U362" i="1"/>
  <c r="T362" i="1"/>
  <c r="S362" i="1"/>
  <c r="R362" i="1"/>
  <c r="Q362" i="1"/>
  <c r="U361" i="1"/>
  <c r="T361" i="1"/>
  <c r="S361" i="1"/>
  <c r="R361" i="1"/>
  <c r="Q361" i="1"/>
  <c r="U360" i="1"/>
  <c r="T360" i="1"/>
  <c r="S360" i="1"/>
  <c r="R360" i="1"/>
  <c r="Q360" i="1"/>
  <c r="U359" i="1"/>
  <c r="T359" i="1"/>
  <c r="S359" i="1"/>
  <c r="R359" i="1"/>
  <c r="Q359" i="1"/>
  <c r="U358" i="1"/>
  <c r="T358" i="1"/>
  <c r="S358" i="1"/>
  <c r="R358" i="1"/>
  <c r="Q358" i="1"/>
  <c r="U357" i="1"/>
  <c r="T357" i="1"/>
  <c r="S357" i="1"/>
  <c r="R357" i="1"/>
  <c r="Q357" i="1"/>
  <c r="U356" i="1"/>
  <c r="T356" i="1"/>
  <c r="S356" i="1"/>
  <c r="R356" i="1"/>
  <c r="Q356" i="1"/>
  <c r="U355" i="1"/>
  <c r="T355" i="1"/>
  <c r="S355" i="1"/>
  <c r="R355" i="1"/>
  <c r="Q355" i="1"/>
  <c r="U354" i="1"/>
  <c r="T354" i="1"/>
  <c r="S354" i="1"/>
  <c r="R354" i="1"/>
  <c r="Q354" i="1"/>
  <c r="U353" i="1"/>
  <c r="T353" i="1"/>
  <c r="S353" i="1"/>
  <c r="R353" i="1"/>
  <c r="Q353" i="1"/>
  <c r="U352" i="1"/>
  <c r="T352" i="1"/>
  <c r="S352" i="1"/>
  <c r="R352" i="1"/>
  <c r="Q352" i="1"/>
  <c r="U351" i="1"/>
  <c r="T351" i="1"/>
  <c r="S351" i="1"/>
  <c r="R351" i="1"/>
  <c r="Q351" i="1"/>
  <c r="U350" i="1"/>
  <c r="T350" i="1"/>
  <c r="S350" i="1"/>
  <c r="R350" i="1"/>
  <c r="Q350" i="1"/>
  <c r="U349" i="1"/>
  <c r="T349" i="1"/>
  <c r="S349" i="1"/>
  <c r="R349" i="1"/>
  <c r="Q349" i="1"/>
  <c r="U348" i="1"/>
  <c r="T348" i="1"/>
  <c r="S348" i="1"/>
  <c r="R348" i="1"/>
  <c r="Q348" i="1"/>
  <c r="U347" i="1"/>
  <c r="T347" i="1"/>
  <c r="S347" i="1"/>
  <c r="R347" i="1"/>
  <c r="Q347" i="1"/>
  <c r="U346" i="1"/>
  <c r="T346" i="1"/>
  <c r="S346" i="1"/>
  <c r="R346" i="1"/>
  <c r="Q346" i="1"/>
  <c r="U345" i="1"/>
  <c r="T345" i="1"/>
  <c r="S345" i="1"/>
  <c r="R345" i="1"/>
  <c r="Q345" i="1"/>
  <c r="U344" i="1"/>
  <c r="T344" i="1"/>
  <c r="S344" i="1"/>
  <c r="R344" i="1"/>
  <c r="Q344" i="1"/>
  <c r="U343" i="1"/>
  <c r="T343" i="1"/>
  <c r="S343" i="1"/>
  <c r="R343" i="1"/>
  <c r="Q343" i="1"/>
  <c r="U342" i="1"/>
  <c r="T342" i="1"/>
  <c r="S342" i="1"/>
  <c r="R342" i="1"/>
  <c r="Q342" i="1"/>
  <c r="U341" i="1"/>
  <c r="T341" i="1"/>
  <c r="S341" i="1"/>
  <c r="R341" i="1"/>
  <c r="Q341" i="1"/>
  <c r="U340" i="1"/>
  <c r="T340" i="1"/>
  <c r="S340" i="1"/>
  <c r="R340" i="1"/>
  <c r="Q340" i="1"/>
  <c r="U339" i="1"/>
  <c r="T339" i="1"/>
  <c r="S339" i="1"/>
  <c r="R339" i="1"/>
  <c r="Q339" i="1"/>
  <c r="U338" i="1"/>
  <c r="T338" i="1"/>
  <c r="S338" i="1"/>
  <c r="R338" i="1"/>
  <c r="Q338" i="1"/>
  <c r="U337" i="1"/>
  <c r="T337" i="1"/>
  <c r="S337" i="1"/>
  <c r="R337" i="1"/>
  <c r="Q337" i="1"/>
  <c r="U336" i="1"/>
  <c r="T336" i="1"/>
  <c r="S336" i="1"/>
  <c r="R336" i="1"/>
  <c r="Q336" i="1"/>
  <c r="U335" i="1"/>
  <c r="T335" i="1"/>
  <c r="S335" i="1"/>
  <c r="R335" i="1"/>
  <c r="Q335" i="1"/>
  <c r="U334" i="1"/>
  <c r="T334" i="1"/>
  <c r="S334" i="1"/>
  <c r="R334" i="1"/>
  <c r="Q334" i="1"/>
  <c r="U333" i="1"/>
  <c r="T333" i="1"/>
  <c r="S333" i="1"/>
  <c r="R333" i="1"/>
  <c r="Q333" i="1"/>
  <c r="U332" i="1"/>
  <c r="T332" i="1"/>
  <c r="S332" i="1"/>
  <c r="R332" i="1"/>
  <c r="Q332" i="1"/>
  <c r="U331" i="1"/>
  <c r="T331" i="1"/>
  <c r="S331" i="1"/>
  <c r="R331" i="1"/>
  <c r="Q331" i="1"/>
  <c r="U330" i="1"/>
  <c r="T330" i="1"/>
  <c r="S330" i="1"/>
  <c r="R330" i="1"/>
  <c r="Q330" i="1"/>
  <c r="U329" i="1"/>
  <c r="T329" i="1"/>
  <c r="S329" i="1"/>
  <c r="R329" i="1"/>
  <c r="Q329" i="1"/>
  <c r="U328" i="1"/>
  <c r="T328" i="1"/>
  <c r="S328" i="1"/>
  <c r="R328" i="1"/>
  <c r="Q328" i="1"/>
  <c r="U327" i="1"/>
  <c r="T327" i="1"/>
  <c r="S327" i="1"/>
  <c r="R327" i="1"/>
  <c r="Q327" i="1"/>
  <c r="U326" i="1"/>
  <c r="T326" i="1"/>
  <c r="S326" i="1"/>
  <c r="R326" i="1"/>
  <c r="Q326" i="1"/>
  <c r="U325" i="1"/>
  <c r="T325" i="1"/>
  <c r="S325" i="1"/>
  <c r="R325" i="1"/>
  <c r="Q325" i="1"/>
  <c r="U324" i="1"/>
  <c r="T324" i="1"/>
  <c r="S324" i="1"/>
  <c r="R324" i="1"/>
  <c r="Q324" i="1"/>
  <c r="U323" i="1"/>
  <c r="T323" i="1"/>
  <c r="S323" i="1"/>
  <c r="R323" i="1"/>
  <c r="Q323" i="1"/>
  <c r="U322" i="1"/>
  <c r="T322" i="1"/>
  <c r="S322" i="1"/>
  <c r="R322" i="1"/>
  <c r="Q322" i="1"/>
  <c r="U321" i="1"/>
  <c r="T321" i="1"/>
  <c r="S321" i="1"/>
  <c r="R321" i="1"/>
  <c r="Q321" i="1"/>
  <c r="U320" i="1"/>
  <c r="T320" i="1"/>
  <c r="S320" i="1"/>
  <c r="R320" i="1"/>
  <c r="Q320" i="1"/>
  <c r="U319" i="1"/>
  <c r="T319" i="1"/>
  <c r="S319" i="1"/>
  <c r="R319" i="1"/>
  <c r="Q319" i="1"/>
  <c r="U318" i="1"/>
  <c r="T318" i="1"/>
  <c r="S318" i="1"/>
  <c r="R318" i="1"/>
  <c r="Q318" i="1"/>
  <c r="U317" i="1"/>
  <c r="T317" i="1"/>
  <c r="S317" i="1"/>
  <c r="R317" i="1"/>
  <c r="Q317" i="1"/>
  <c r="U316" i="1"/>
  <c r="T316" i="1"/>
  <c r="S316" i="1"/>
  <c r="R316" i="1"/>
  <c r="Q316" i="1"/>
  <c r="U315" i="1"/>
  <c r="T315" i="1"/>
  <c r="S315" i="1"/>
  <c r="R315" i="1"/>
  <c r="Q315" i="1"/>
  <c r="U314" i="1"/>
  <c r="T314" i="1"/>
  <c r="S314" i="1"/>
  <c r="R314" i="1"/>
  <c r="Q314" i="1"/>
  <c r="U313" i="1"/>
  <c r="T313" i="1"/>
  <c r="S313" i="1"/>
  <c r="R313" i="1"/>
  <c r="Q313" i="1"/>
  <c r="U312" i="1"/>
  <c r="T312" i="1"/>
  <c r="S312" i="1"/>
  <c r="R312" i="1"/>
  <c r="Q312" i="1"/>
  <c r="U311" i="1"/>
  <c r="T311" i="1"/>
  <c r="S311" i="1"/>
  <c r="R311" i="1"/>
  <c r="Q311" i="1"/>
  <c r="U310" i="1"/>
  <c r="T310" i="1"/>
  <c r="S310" i="1"/>
  <c r="R310" i="1"/>
  <c r="Q310" i="1"/>
  <c r="U309" i="1"/>
  <c r="T309" i="1"/>
  <c r="S309" i="1"/>
  <c r="R309" i="1"/>
  <c r="Q309" i="1"/>
  <c r="U308" i="1"/>
  <c r="T308" i="1"/>
  <c r="S308" i="1"/>
  <c r="R308" i="1"/>
  <c r="Q308" i="1"/>
  <c r="U307" i="1"/>
  <c r="T307" i="1"/>
  <c r="S307" i="1"/>
  <c r="R307" i="1"/>
  <c r="Q307" i="1"/>
  <c r="U306" i="1"/>
  <c r="T306" i="1"/>
  <c r="S306" i="1"/>
  <c r="R306" i="1"/>
  <c r="Q306" i="1"/>
  <c r="U305" i="1"/>
  <c r="T305" i="1"/>
  <c r="S305" i="1"/>
  <c r="R305" i="1"/>
  <c r="Q305" i="1"/>
  <c r="U304" i="1"/>
  <c r="T304" i="1"/>
  <c r="S304" i="1"/>
  <c r="R304" i="1"/>
  <c r="Q304" i="1"/>
  <c r="U303" i="1"/>
  <c r="T303" i="1"/>
  <c r="S303" i="1"/>
  <c r="R303" i="1"/>
  <c r="Q303" i="1"/>
  <c r="U302" i="1"/>
  <c r="T302" i="1"/>
  <c r="S302" i="1"/>
  <c r="R302" i="1"/>
  <c r="Q302" i="1"/>
  <c r="U301" i="1"/>
  <c r="T301" i="1"/>
  <c r="S301" i="1"/>
  <c r="R301" i="1"/>
  <c r="Q301" i="1"/>
  <c r="U300" i="1"/>
  <c r="T300" i="1"/>
  <c r="S300" i="1"/>
  <c r="R300" i="1"/>
  <c r="Q300" i="1"/>
  <c r="U299" i="1"/>
  <c r="T299" i="1"/>
  <c r="S299" i="1"/>
  <c r="R299" i="1"/>
  <c r="Q299" i="1"/>
  <c r="U298" i="1"/>
  <c r="T298" i="1"/>
  <c r="S298" i="1"/>
  <c r="R298" i="1"/>
  <c r="Q298" i="1"/>
  <c r="U297" i="1"/>
  <c r="T297" i="1"/>
  <c r="S297" i="1"/>
  <c r="R297" i="1"/>
  <c r="Q297" i="1"/>
  <c r="U296" i="1"/>
  <c r="T296" i="1"/>
  <c r="S296" i="1"/>
  <c r="R296" i="1"/>
  <c r="Q296" i="1"/>
  <c r="U295" i="1"/>
  <c r="T295" i="1"/>
  <c r="S295" i="1"/>
  <c r="R295" i="1"/>
  <c r="Q295" i="1"/>
  <c r="U294" i="1"/>
  <c r="T294" i="1"/>
  <c r="S294" i="1"/>
  <c r="R294" i="1"/>
  <c r="Q294" i="1"/>
  <c r="U293" i="1"/>
  <c r="T293" i="1"/>
  <c r="S293" i="1"/>
  <c r="R293" i="1"/>
  <c r="Q293" i="1"/>
  <c r="U292" i="1"/>
  <c r="T292" i="1"/>
  <c r="S292" i="1"/>
  <c r="R292" i="1"/>
  <c r="Q292" i="1"/>
  <c r="U291" i="1"/>
  <c r="T291" i="1"/>
  <c r="S291" i="1"/>
  <c r="R291" i="1"/>
  <c r="Q291" i="1"/>
  <c r="U290" i="1"/>
  <c r="T290" i="1"/>
  <c r="S290" i="1"/>
  <c r="R290" i="1"/>
  <c r="Q290" i="1"/>
  <c r="U289" i="1"/>
  <c r="T289" i="1"/>
  <c r="S289" i="1"/>
  <c r="R289" i="1"/>
  <c r="Q289" i="1"/>
  <c r="U288" i="1"/>
  <c r="T288" i="1"/>
  <c r="S288" i="1"/>
  <c r="R288" i="1"/>
  <c r="Q288" i="1"/>
  <c r="U287" i="1"/>
  <c r="T287" i="1"/>
  <c r="S287" i="1"/>
  <c r="R287" i="1"/>
  <c r="Q287" i="1"/>
  <c r="U286" i="1"/>
  <c r="T286" i="1"/>
  <c r="S286" i="1"/>
  <c r="R286" i="1"/>
  <c r="Q286" i="1"/>
  <c r="U285" i="1"/>
  <c r="T285" i="1"/>
  <c r="S285" i="1"/>
  <c r="R285" i="1"/>
  <c r="Q285" i="1"/>
  <c r="U284" i="1"/>
  <c r="T284" i="1"/>
  <c r="S284" i="1"/>
  <c r="R284" i="1"/>
  <c r="Q284" i="1"/>
  <c r="U283" i="1"/>
  <c r="T283" i="1"/>
  <c r="S283" i="1"/>
  <c r="R283" i="1"/>
  <c r="Q283" i="1"/>
  <c r="U282" i="1"/>
  <c r="T282" i="1"/>
  <c r="S282" i="1"/>
  <c r="R282" i="1"/>
  <c r="Q282" i="1"/>
  <c r="U281" i="1"/>
  <c r="T281" i="1"/>
  <c r="S281" i="1"/>
  <c r="R281" i="1"/>
  <c r="Q281" i="1"/>
  <c r="U280" i="1"/>
  <c r="T280" i="1"/>
  <c r="S280" i="1"/>
  <c r="R280" i="1"/>
  <c r="Q280" i="1"/>
  <c r="U279" i="1"/>
  <c r="T279" i="1"/>
  <c r="S279" i="1"/>
  <c r="R279" i="1"/>
  <c r="Q279" i="1"/>
  <c r="U278" i="1"/>
  <c r="T278" i="1"/>
  <c r="S278" i="1"/>
  <c r="R278" i="1"/>
  <c r="Q278" i="1"/>
  <c r="U277" i="1"/>
  <c r="T277" i="1"/>
  <c r="S277" i="1"/>
  <c r="R277" i="1"/>
  <c r="Q277" i="1"/>
  <c r="U276" i="1"/>
  <c r="T276" i="1"/>
  <c r="S276" i="1"/>
  <c r="R276" i="1"/>
  <c r="Q276" i="1"/>
  <c r="U275" i="1"/>
  <c r="T275" i="1"/>
  <c r="S275" i="1"/>
  <c r="R275" i="1"/>
  <c r="Q275" i="1"/>
  <c r="U274" i="1"/>
  <c r="T274" i="1"/>
  <c r="S274" i="1"/>
  <c r="R274" i="1"/>
  <c r="Q274" i="1"/>
  <c r="U273" i="1"/>
  <c r="T273" i="1"/>
  <c r="S273" i="1"/>
  <c r="R273" i="1"/>
  <c r="Q273" i="1"/>
  <c r="U272" i="1"/>
  <c r="T272" i="1"/>
  <c r="S272" i="1"/>
  <c r="R272" i="1"/>
  <c r="Q272" i="1"/>
  <c r="U271" i="1"/>
  <c r="T271" i="1"/>
  <c r="S271" i="1"/>
  <c r="R271" i="1"/>
  <c r="Q271" i="1"/>
  <c r="U270" i="1"/>
  <c r="T270" i="1"/>
  <c r="S270" i="1"/>
  <c r="R270" i="1"/>
  <c r="Q270" i="1"/>
  <c r="U269" i="1"/>
  <c r="T269" i="1"/>
  <c r="S269" i="1"/>
  <c r="R269" i="1"/>
  <c r="Q269" i="1"/>
  <c r="U268" i="1"/>
  <c r="T268" i="1"/>
  <c r="S268" i="1"/>
  <c r="R268" i="1"/>
  <c r="Q268" i="1"/>
  <c r="U267" i="1"/>
  <c r="T267" i="1"/>
  <c r="S267" i="1"/>
  <c r="R267" i="1"/>
  <c r="Q267" i="1"/>
  <c r="U266" i="1"/>
  <c r="T266" i="1"/>
  <c r="S266" i="1"/>
  <c r="R266" i="1"/>
  <c r="Q266" i="1"/>
  <c r="U265" i="1"/>
  <c r="T265" i="1"/>
  <c r="S265" i="1"/>
  <c r="R265" i="1"/>
  <c r="Q265" i="1"/>
  <c r="U264" i="1"/>
  <c r="T264" i="1"/>
  <c r="S264" i="1"/>
  <c r="R264" i="1"/>
  <c r="Q264" i="1"/>
  <c r="U263" i="1"/>
  <c r="T263" i="1"/>
  <c r="S263" i="1"/>
  <c r="R263" i="1"/>
  <c r="Q263" i="1"/>
  <c r="U262" i="1"/>
  <c r="T262" i="1"/>
  <c r="S262" i="1"/>
  <c r="R262" i="1"/>
  <c r="Q262" i="1"/>
  <c r="U261" i="1"/>
  <c r="T261" i="1"/>
  <c r="S261" i="1"/>
  <c r="R261" i="1"/>
  <c r="Q261" i="1"/>
  <c r="U260" i="1"/>
  <c r="T260" i="1"/>
  <c r="S260" i="1"/>
  <c r="R260" i="1"/>
  <c r="Q260" i="1"/>
  <c r="U259" i="1"/>
  <c r="T259" i="1"/>
  <c r="S259" i="1"/>
  <c r="R259" i="1"/>
  <c r="Q259" i="1"/>
  <c r="U258" i="1"/>
  <c r="T258" i="1"/>
  <c r="S258" i="1"/>
  <c r="R258" i="1"/>
  <c r="Q258" i="1"/>
  <c r="U257" i="1"/>
  <c r="T257" i="1"/>
  <c r="S257" i="1"/>
  <c r="R257" i="1"/>
  <c r="Q257" i="1"/>
  <c r="U256" i="1"/>
  <c r="T256" i="1"/>
  <c r="S256" i="1"/>
  <c r="R256" i="1"/>
  <c r="Q256" i="1"/>
  <c r="U255" i="1"/>
  <c r="T255" i="1"/>
  <c r="S255" i="1"/>
  <c r="R255" i="1"/>
  <c r="Q255" i="1"/>
  <c r="U254" i="1"/>
  <c r="T254" i="1"/>
  <c r="S254" i="1"/>
  <c r="R254" i="1"/>
  <c r="Q254" i="1"/>
  <c r="U253" i="1"/>
  <c r="T253" i="1"/>
  <c r="S253" i="1"/>
  <c r="R253" i="1"/>
  <c r="Q253" i="1"/>
  <c r="U252" i="1"/>
  <c r="T252" i="1"/>
  <c r="S252" i="1"/>
  <c r="R252" i="1"/>
  <c r="Q252" i="1"/>
  <c r="U251" i="1"/>
  <c r="T251" i="1"/>
  <c r="S251" i="1"/>
  <c r="R251" i="1"/>
  <c r="Q251" i="1"/>
  <c r="U250" i="1"/>
  <c r="T250" i="1"/>
  <c r="S250" i="1"/>
  <c r="R250" i="1"/>
  <c r="Q250" i="1"/>
  <c r="U249" i="1"/>
  <c r="T249" i="1"/>
  <c r="S249" i="1"/>
  <c r="R249" i="1"/>
  <c r="Q249" i="1"/>
  <c r="U248" i="1"/>
  <c r="T248" i="1"/>
  <c r="S248" i="1"/>
  <c r="R248" i="1"/>
  <c r="Q248" i="1"/>
  <c r="U247" i="1"/>
  <c r="T247" i="1"/>
  <c r="S247" i="1"/>
  <c r="R247" i="1"/>
  <c r="Q247" i="1"/>
  <c r="U246" i="1"/>
  <c r="T246" i="1"/>
  <c r="S246" i="1"/>
  <c r="R246" i="1"/>
  <c r="Q246" i="1"/>
  <c r="U245" i="1"/>
  <c r="T245" i="1"/>
  <c r="S245" i="1"/>
  <c r="R245" i="1"/>
  <c r="Q245" i="1"/>
  <c r="U244" i="1"/>
  <c r="T244" i="1"/>
  <c r="S244" i="1"/>
  <c r="R244" i="1"/>
  <c r="Q244" i="1"/>
  <c r="U243" i="1"/>
  <c r="T243" i="1"/>
  <c r="S243" i="1"/>
  <c r="R243" i="1"/>
  <c r="Q243" i="1"/>
  <c r="U242" i="1"/>
  <c r="T242" i="1"/>
  <c r="S242" i="1"/>
  <c r="R242" i="1"/>
  <c r="Q242" i="1"/>
  <c r="U241" i="1"/>
  <c r="T241" i="1"/>
  <c r="S241" i="1"/>
  <c r="R241" i="1"/>
  <c r="Q241" i="1"/>
  <c r="U240" i="1"/>
  <c r="T240" i="1"/>
  <c r="S240" i="1"/>
  <c r="R240" i="1"/>
  <c r="Q240" i="1"/>
  <c r="U239" i="1"/>
  <c r="T239" i="1"/>
  <c r="S239" i="1"/>
  <c r="R239" i="1"/>
  <c r="Q239" i="1"/>
  <c r="U238" i="1"/>
  <c r="T238" i="1"/>
  <c r="S238" i="1"/>
  <c r="R238" i="1"/>
  <c r="Q238" i="1"/>
  <c r="U237" i="1"/>
  <c r="T237" i="1"/>
  <c r="S237" i="1"/>
  <c r="R237" i="1"/>
  <c r="Q237" i="1"/>
  <c r="U236" i="1"/>
  <c r="T236" i="1"/>
  <c r="S236" i="1"/>
  <c r="R236" i="1"/>
  <c r="Q236" i="1"/>
  <c r="U235" i="1"/>
  <c r="T235" i="1"/>
  <c r="S235" i="1"/>
  <c r="R235" i="1"/>
  <c r="Q235" i="1"/>
  <c r="U234" i="1"/>
  <c r="T234" i="1"/>
  <c r="S234" i="1"/>
  <c r="R234" i="1"/>
  <c r="Q234" i="1"/>
  <c r="U233" i="1"/>
  <c r="T233" i="1"/>
  <c r="S233" i="1"/>
  <c r="R233" i="1"/>
  <c r="Q233" i="1"/>
  <c r="U232" i="1"/>
  <c r="T232" i="1"/>
  <c r="S232" i="1"/>
  <c r="R232" i="1"/>
  <c r="Q232" i="1"/>
  <c r="U231" i="1"/>
  <c r="T231" i="1"/>
  <c r="S231" i="1"/>
  <c r="R231" i="1"/>
  <c r="Q231" i="1"/>
  <c r="U230" i="1"/>
  <c r="T230" i="1"/>
  <c r="S230" i="1"/>
  <c r="R230" i="1"/>
  <c r="Q230" i="1"/>
  <c r="U229" i="1"/>
  <c r="T229" i="1"/>
  <c r="S229" i="1"/>
  <c r="R229" i="1"/>
  <c r="Q229" i="1"/>
  <c r="U228" i="1"/>
  <c r="T228" i="1"/>
  <c r="S228" i="1"/>
  <c r="R228" i="1"/>
  <c r="Q228" i="1"/>
  <c r="U227" i="1"/>
  <c r="T227" i="1"/>
  <c r="S227" i="1"/>
  <c r="R227" i="1"/>
  <c r="Q227" i="1"/>
  <c r="U226" i="1"/>
  <c r="T226" i="1"/>
  <c r="S226" i="1"/>
  <c r="R226" i="1"/>
  <c r="Q226" i="1"/>
  <c r="U225" i="1"/>
  <c r="T225" i="1"/>
  <c r="S225" i="1"/>
  <c r="R225" i="1"/>
  <c r="Q225" i="1"/>
  <c r="U224" i="1"/>
  <c r="T224" i="1"/>
  <c r="S224" i="1"/>
  <c r="R224" i="1"/>
  <c r="Q224" i="1"/>
  <c r="U223" i="1"/>
  <c r="T223" i="1"/>
  <c r="S223" i="1"/>
  <c r="R223" i="1"/>
  <c r="Q223" i="1"/>
  <c r="U222" i="1"/>
  <c r="T222" i="1"/>
  <c r="S222" i="1"/>
  <c r="R222" i="1"/>
  <c r="Q222" i="1"/>
  <c r="U221" i="1"/>
  <c r="T221" i="1"/>
  <c r="S221" i="1"/>
  <c r="R221" i="1"/>
  <c r="Q221" i="1"/>
  <c r="U220" i="1"/>
  <c r="T220" i="1"/>
  <c r="S220" i="1"/>
  <c r="R220" i="1"/>
  <c r="Q220" i="1"/>
  <c r="U219" i="1"/>
  <c r="T219" i="1"/>
  <c r="S219" i="1"/>
  <c r="R219" i="1"/>
  <c r="Q219" i="1"/>
  <c r="U218" i="1"/>
  <c r="T218" i="1"/>
  <c r="S218" i="1"/>
  <c r="R218" i="1"/>
  <c r="Q218" i="1"/>
  <c r="U217" i="1"/>
  <c r="T217" i="1"/>
  <c r="S217" i="1"/>
  <c r="R217" i="1"/>
  <c r="Q217" i="1"/>
  <c r="U216" i="1"/>
  <c r="T216" i="1"/>
  <c r="S216" i="1"/>
  <c r="R216" i="1"/>
  <c r="Q216" i="1"/>
  <c r="U215" i="1"/>
  <c r="T215" i="1"/>
  <c r="S215" i="1"/>
  <c r="R215" i="1"/>
  <c r="Q215" i="1"/>
  <c r="U214" i="1"/>
  <c r="T214" i="1"/>
  <c r="S214" i="1"/>
  <c r="R214" i="1"/>
  <c r="Q214" i="1"/>
  <c r="U213" i="1"/>
  <c r="T213" i="1"/>
  <c r="S213" i="1"/>
  <c r="R213" i="1"/>
  <c r="Q213" i="1"/>
  <c r="U212" i="1"/>
  <c r="T212" i="1"/>
  <c r="S212" i="1"/>
  <c r="R212" i="1"/>
  <c r="Q212" i="1"/>
  <c r="U211" i="1"/>
  <c r="T211" i="1"/>
  <c r="S211" i="1"/>
  <c r="R211" i="1"/>
  <c r="Q211" i="1"/>
  <c r="U210" i="1"/>
  <c r="T210" i="1"/>
  <c r="S210" i="1"/>
  <c r="R210" i="1"/>
  <c r="Q210" i="1"/>
  <c r="U209" i="1"/>
  <c r="T209" i="1"/>
  <c r="S209" i="1"/>
  <c r="R209" i="1"/>
  <c r="Q209" i="1"/>
  <c r="U208" i="1"/>
  <c r="T208" i="1"/>
  <c r="S208" i="1"/>
  <c r="R208" i="1"/>
  <c r="Q208" i="1"/>
  <c r="U207" i="1"/>
  <c r="T207" i="1"/>
  <c r="S207" i="1"/>
  <c r="R207" i="1"/>
  <c r="Q207" i="1"/>
  <c r="U206" i="1"/>
  <c r="T206" i="1"/>
  <c r="S206" i="1"/>
  <c r="R206" i="1"/>
  <c r="Q206" i="1"/>
  <c r="U205" i="1"/>
  <c r="T205" i="1"/>
  <c r="S205" i="1"/>
  <c r="R205" i="1"/>
  <c r="Q205" i="1"/>
  <c r="U204" i="1"/>
  <c r="T204" i="1"/>
  <c r="S204" i="1"/>
  <c r="R204" i="1"/>
  <c r="Q204" i="1"/>
  <c r="U203" i="1"/>
  <c r="T203" i="1"/>
  <c r="S203" i="1"/>
  <c r="R203" i="1"/>
  <c r="Q203" i="1"/>
  <c r="U202" i="1"/>
  <c r="T202" i="1"/>
  <c r="S202" i="1"/>
  <c r="R202" i="1"/>
  <c r="Q202" i="1"/>
  <c r="U201" i="1"/>
  <c r="T201" i="1"/>
  <c r="S201" i="1"/>
  <c r="R201" i="1"/>
  <c r="Q201" i="1"/>
  <c r="U200" i="1"/>
  <c r="T200" i="1"/>
  <c r="S200" i="1"/>
  <c r="R200" i="1"/>
  <c r="Q200" i="1"/>
  <c r="U199" i="1"/>
  <c r="T199" i="1"/>
  <c r="S199" i="1"/>
  <c r="R199" i="1"/>
  <c r="Q199" i="1"/>
  <c r="U198" i="1"/>
  <c r="T198" i="1"/>
  <c r="S198" i="1"/>
  <c r="R198" i="1"/>
  <c r="Q198" i="1"/>
  <c r="U197" i="1"/>
  <c r="T197" i="1"/>
  <c r="S197" i="1"/>
  <c r="R197" i="1"/>
  <c r="Q197" i="1"/>
  <c r="U196" i="1"/>
  <c r="T196" i="1"/>
  <c r="S196" i="1"/>
  <c r="R196" i="1"/>
  <c r="Q196" i="1"/>
  <c r="U195" i="1"/>
  <c r="T195" i="1"/>
  <c r="S195" i="1"/>
  <c r="R195" i="1"/>
  <c r="Q195" i="1"/>
  <c r="U194" i="1"/>
  <c r="T194" i="1"/>
  <c r="S194" i="1"/>
  <c r="R194" i="1"/>
  <c r="Q194" i="1"/>
  <c r="U193" i="1"/>
  <c r="T193" i="1"/>
  <c r="S193" i="1"/>
  <c r="R193" i="1"/>
  <c r="Q193" i="1"/>
  <c r="U192" i="1"/>
  <c r="T192" i="1"/>
  <c r="S192" i="1"/>
  <c r="R192" i="1"/>
  <c r="Q192" i="1"/>
  <c r="U191" i="1"/>
  <c r="T191" i="1"/>
  <c r="S191" i="1"/>
  <c r="R191" i="1"/>
  <c r="Q191" i="1"/>
  <c r="U190" i="1"/>
  <c r="T190" i="1"/>
  <c r="S190" i="1"/>
  <c r="R190" i="1"/>
  <c r="Q190" i="1"/>
  <c r="U189" i="1"/>
  <c r="T189" i="1"/>
  <c r="S189" i="1"/>
  <c r="R189" i="1"/>
  <c r="Q189" i="1"/>
  <c r="U188" i="1"/>
  <c r="T188" i="1"/>
  <c r="S188" i="1"/>
  <c r="R188" i="1"/>
  <c r="Q188" i="1"/>
  <c r="U187" i="1"/>
  <c r="T187" i="1"/>
  <c r="S187" i="1"/>
  <c r="R187" i="1"/>
  <c r="Q187" i="1"/>
  <c r="U186" i="1"/>
  <c r="T186" i="1"/>
  <c r="S186" i="1"/>
  <c r="R186" i="1"/>
  <c r="Q186" i="1"/>
  <c r="U185" i="1"/>
  <c r="T185" i="1"/>
  <c r="S185" i="1"/>
  <c r="R185" i="1"/>
  <c r="Q185" i="1"/>
  <c r="U184" i="1"/>
  <c r="T184" i="1"/>
  <c r="S184" i="1"/>
  <c r="R184" i="1"/>
  <c r="Q184" i="1"/>
  <c r="U183" i="1"/>
  <c r="T183" i="1"/>
  <c r="S183" i="1"/>
  <c r="R183" i="1"/>
  <c r="Q183" i="1"/>
  <c r="U182" i="1"/>
  <c r="T182" i="1"/>
  <c r="S182" i="1"/>
  <c r="R182" i="1"/>
  <c r="Q182" i="1"/>
  <c r="U181" i="1"/>
  <c r="T181" i="1"/>
  <c r="S181" i="1"/>
  <c r="R181" i="1"/>
  <c r="Q181" i="1"/>
  <c r="U180" i="1"/>
  <c r="T180" i="1"/>
  <c r="S180" i="1"/>
  <c r="R180" i="1"/>
  <c r="Q180" i="1"/>
  <c r="U179" i="1"/>
  <c r="T179" i="1"/>
  <c r="S179" i="1"/>
  <c r="R179" i="1"/>
  <c r="Q179" i="1"/>
  <c r="U178" i="1"/>
  <c r="T178" i="1"/>
  <c r="S178" i="1"/>
  <c r="R178" i="1"/>
  <c r="Q178" i="1"/>
  <c r="U177" i="1"/>
  <c r="T177" i="1"/>
  <c r="S177" i="1"/>
  <c r="R177" i="1"/>
  <c r="Q177" i="1"/>
  <c r="U176" i="1"/>
  <c r="T176" i="1"/>
  <c r="S176" i="1"/>
  <c r="R176" i="1"/>
  <c r="Q176" i="1"/>
  <c r="U175" i="1"/>
  <c r="T175" i="1"/>
  <c r="S175" i="1"/>
  <c r="R175" i="1"/>
  <c r="Q175" i="1"/>
  <c r="U174" i="1"/>
  <c r="T174" i="1"/>
  <c r="S174" i="1"/>
  <c r="R174" i="1"/>
  <c r="Q174" i="1"/>
  <c r="U173" i="1"/>
  <c r="T173" i="1"/>
  <c r="S173" i="1"/>
  <c r="R173" i="1"/>
  <c r="Q173" i="1"/>
  <c r="U172" i="1"/>
  <c r="T172" i="1"/>
  <c r="S172" i="1"/>
  <c r="R172" i="1"/>
  <c r="Q172" i="1"/>
  <c r="U171" i="1"/>
  <c r="T171" i="1"/>
  <c r="S171" i="1"/>
  <c r="R171" i="1"/>
  <c r="Q171" i="1"/>
  <c r="U170" i="1"/>
  <c r="T170" i="1"/>
  <c r="S170" i="1"/>
  <c r="R170" i="1"/>
  <c r="Q170" i="1"/>
  <c r="U169" i="1"/>
  <c r="T169" i="1"/>
  <c r="S169" i="1"/>
  <c r="R169" i="1"/>
  <c r="Q169" i="1"/>
  <c r="U168" i="1"/>
  <c r="T168" i="1"/>
  <c r="S168" i="1"/>
  <c r="R168" i="1"/>
  <c r="Q168" i="1"/>
  <c r="U167" i="1"/>
  <c r="T167" i="1"/>
  <c r="S167" i="1"/>
  <c r="R167" i="1"/>
  <c r="Q167" i="1"/>
  <c r="U166" i="1"/>
  <c r="T166" i="1"/>
  <c r="S166" i="1"/>
  <c r="R166" i="1"/>
  <c r="Q166" i="1"/>
  <c r="U165" i="1"/>
  <c r="T165" i="1"/>
  <c r="S165" i="1"/>
  <c r="R165" i="1"/>
  <c r="Q165" i="1"/>
  <c r="U164" i="1"/>
  <c r="T164" i="1"/>
  <c r="S164" i="1"/>
  <c r="R164" i="1"/>
  <c r="Q164" i="1"/>
  <c r="U163" i="1"/>
  <c r="T163" i="1"/>
  <c r="S163" i="1"/>
  <c r="R163" i="1"/>
  <c r="Q163" i="1"/>
  <c r="U162" i="1"/>
  <c r="T162" i="1"/>
  <c r="S162" i="1"/>
  <c r="R162" i="1"/>
  <c r="Q162" i="1"/>
  <c r="U161" i="1"/>
  <c r="T161" i="1"/>
  <c r="S161" i="1"/>
  <c r="R161" i="1"/>
  <c r="Q161" i="1"/>
  <c r="U160" i="1"/>
  <c r="T160" i="1"/>
  <c r="S160" i="1"/>
  <c r="R160" i="1"/>
  <c r="Q160" i="1"/>
  <c r="U159" i="1"/>
  <c r="T159" i="1"/>
  <c r="S159" i="1"/>
  <c r="R159" i="1"/>
  <c r="Q159" i="1"/>
  <c r="U158" i="1"/>
  <c r="T158" i="1"/>
  <c r="S158" i="1"/>
  <c r="R158" i="1"/>
  <c r="Q158" i="1"/>
  <c r="U157" i="1"/>
  <c r="T157" i="1"/>
  <c r="S157" i="1"/>
  <c r="R157" i="1"/>
  <c r="Q157" i="1"/>
  <c r="U156" i="1"/>
  <c r="T156" i="1"/>
  <c r="S156" i="1"/>
  <c r="R156" i="1"/>
  <c r="Q156" i="1"/>
  <c r="U155" i="1"/>
  <c r="T155" i="1"/>
  <c r="S155" i="1"/>
  <c r="R155" i="1"/>
  <c r="Q155" i="1"/>
  <c r="U154" i="1"/>
  <c r="T154" i="1"/>
  <c r="S154" i="1"/>
  <c r="R154" i="1"/>
  <c r="Q154" i="1"/>
  <c r="U153" i="1"/>
  <c r="T153" i="1"/>
  <c r="S153" i="1"/>
  <c r="R153" i="1"/>
  <c r="Q153" i="1"/>
  <c r="U152" i="1"/>
  <c r="T152" i="1"/>
  <c r="S152" i="1"/>
  <c r="R152" i="1"/>
  <c r="Q152" i="1"/>
  <c r="U151" i="1"/>
  <c r="T151" i="1"/>
  <c r="S151" i="1"/>
  <c r="R151" i="1"/>
  <c r="Q151" i="1"/>
  <c r="U150" i="1"/>
  <c r="T150" i="1"/>
  <c r="S150" i="1"/>
  <c r="R150" i="1"/>
  <c r="Q150" i="1"/>
  <c r="U149" i="1"/>
  <c r="T149" i="1"/>
  <c r="S149" i="1"/>
  <c r="R149" i="1"/>
  <c r="Q149" i="1"/>
  <c r="U148" i="1"/>
  <c r="T148" i="1"/>
  <c r="S148" i="1"/>
  <c r="R148" i="1"/>
  <c r="Q148" i="1"/>
  <c r="U147" i="1"/>
  <c r="T147" i="1"/>
  <c r="S147" i="1"/>
  <c r="R147" i="1"/>
  <c r="Q147" i="1"/>
  <c r="U146" i="1"/>
  <c r="T146" i="1"/>
  <c r="S146" i="1"/>
  <c r="R146" i="1"/>
  <c r="Q146" i="1"/>
  <c r="U145" i="1"/>
  <c r="T145" i="1"/>
  <c r="S145" i="1"/>
  <c r="R145" i="1"/>
  <c r="Q145" i="1"/>
  <c r="U144" i="1"/>
  <c r="T144" i="1"/>
  <c r="S144" i="1"/>
  <c r="R144" i="1"/>
  <c r="Q144" i="1"/>
  <c r="U143" i="1"/>
  <c r="T143" i="1"/>
  <c r="S143" i="1"/>
  <c r="R143" i="1"/>
  <c r="Q143" i="1"/>
  <c r="U142" i="1"/>
  <c r="T142" i="1"/>
  <c r="S142" i="1"/>
  <c r="R142" i="1"/>
  <c r="Q142" i="1"/>
  <c r="U141" i="1"/>
  <c r="T141" i="1"/>
  <c r="S141" i="1"/>
  <c r="R141" i="1"/>
  <c r="Q141" i="1"/>
  <c r="U140" i="1"/>
  <c r="T140" i="1"/>
  <c r="S140" i="1"/>
  <c r="R140" i="1"/>
  <c r="Q140" i="1"/>
  <c r="U139" i="1"/>
  <c r="T139" i="1"/>
  <c r="S139" i="1"/>
  <c r="R139" i="1"/>
  <c r="Q139" i="1"/>
  <c r="U138" i="1"/>
  <c r="T138" i="1"/>
  <c r="S138" i="1"/>
  <c r="R138" i="1"/>
  <c r="Q138" i="1"/>
  <c r="U137" i="1"/>
  <c r="T137" i="1"/>
  <c r="S137" i="1"/>
  <c r="R137" i="1"/>
  <c r="Q137" i="1"/>
  <c r="U136" i="1"/>
  <c r="T136" i="1"/>
  <c r="S136" i="1"/>
  <c r="R136" i="1"/>
  <c r="Q136" i="1"/>
  <c r="U135" i="1"/>
  <c r="T135" i="1"/>
  <c r="S135" i="1"/>
  <c r="R135" i="1"/>
  <c r="Q135" i="1"/>
  <c r="U134" i="1"/>
  <c r="T134" i="1"/>
  <c r="S134" i="1"/>
  <c r="R134" i="1"/>
  <c r="Q134" i="1"/>
  <c r="U133" i="1"/>
  <c r="T133" i="1"/>
  <c r="S133" i="1"/>
  <c r="R133" i="1"/>
  <c r="Q133" i="1"/>
  <c r="U132" i="1"/>
  <c r="T132" i="1"/>
  <c r="S132" i="1"/>
  <c r="R132" i="1"/>
  <c r="Q132" i="1"/>
  <c r="U131" i="1"/>
  <c r="T131" i="1"/>
  <c r="S131" i="1"/>
  <c r="R131" i="1"/>
  <c r="Q131" i="1"/>
  <c r="U130" i="1"/>
  <c r="T130" i="1"/>
  <c r="S130" i="1"/>
  <c r="R130" i="1"/>
  <c r="Q130" i="1"/>
  <c r="U129" i="1"/>
  <c r="T129" i="1"/>
  <c r="S129" i="1"/>
  <c r="R129" i="1"/>
  <c r="Q129" i="1"/>
  <c r="U128" i="1"/>
  <c r="T128" i="1"/>
  <c r="S128" i="1"/>
  <c r="R128" i="1"/>
  <c r="Q128" i="1"/>
  <c r="U127" i="1"/>
  <c r="T127" i="1"/>
  <c r="S127" i="1"/>
  <c r="R127" i="1"/>
  <c r="Q127" i="1"/>
  <c r="U126" i="1"/>
  <c r="T126" i="1"/>
  <c r="S126" i="1"/>
  <c r="R126" i="1"/>
  <c r="Q126" i="1"/>
  <c r="U125" i="1"/>
  <c r="T125" i="1"/>
  <c r="S125" i="1"/>
  <c r="R125" i="1"/>
  <c r="Q125" i="1"/>
  <c r="U124" i="1"/>
  <c r="T124" i="1"/>
  <c r="S124" i="1"/>
  <c r="R124" i="1"/>
  <c r="Q124" i="1"/>
  <c r="U123" i="1"/>
  <c r="T123" i="1"/>
  <c r="S123" i="1"/>
  <c r="R123" i="1"/>
  <c r="Q123" i="1"/>
  <c r="U122" i="1"/>
  <c r="T122" i="1"/>
  <c r="S122" i="1"/>
  <c r="R122" i="1"/>
  <c r="Q122" i="1"/>
  <c r="U121" i="1"/>
  <c r="T121" i="1"/>
  <c r="S121" i="1"/>
  <c r="R121" i="1"/>
  <c r="Q121" i="1"/>
  <c r="U120" i="1"/>
  <c r="T120" i="1"/>
  <c r="S120" i="1"/>
  <c r="R120" i="1"/>
  <c r="Q120" i="1"/>
  <c r="U119" i="1"/>
  <c r="T119" i="1"/>
  <c r="S119" i="1"/>
  <c r="R119" i="1"/>
  <c r="Q119" i="1"/>
  <c r="U118" i="1"/>
  <c r="T118" i="1"/>
  <c r="S118" i="1"/>
  <c r="R118" i="1"/>
  <c r="Q118" i="1"/>
  <c r="U117" i="1"/>
  <c r="T117" i="1"/>
  <c r="S117" i="1"/>
  <c r="R117" i="1"/>
  <c r="Q117" i="1"/>
  <c r="U116" i="1"/>
  <c r="T116" i="1"/>
  <c r="S116" i="1"/>
  <c r="R116" i="1"/>
  <c r="Q116" i="1"/>
  <c r="U115" i="1"/>
  <c r="T115" i="1"/>
  <c r="S115" i="1"/>
  <c r="R115" i="1"/>
  <c r="Q115" i="1"/>
  <c r="U114" i="1"/>
  <c r="T114" i="1"/>
  <c r="S114" i="1"/>
  <c r="R114" i="1"/>
  <c r="Q114" i="1"/>
  <c r="U113" i="1"/>
  <c r="T113" i="1"/>
  <c r="S113" i="1"/>
  <c r="R113" i="1"/>
  <c r="Q113" i="1"/>
  <c r="U112" i="1"/>
  <c r="T112" i="1"/>
  <c r="S112" i="1"/>
  <c r="R112" i="1"/>
  <c r="Q112" i="1"/>
  <c r="U111" i="1"/>
  <c r="T111" i="1"/>
  <c r="S111" i="1"/>
  <c r="R111" i="1"/>
  <c r="Q111" i="1"/>
  <c r="U110" i="1"/>
  <c r="T110" i="1"/>
  <c r="S110" i="1"/>
  <c r="R110" i="1"/>
  <c r="Q110" i="1"/>
  <c r="U109" i="1"/>
  <c r="T109" i="1"/>
  <c r="S109" i="1"/>
  <c r="R109" i="1"/>
  <c r="Q109" i="1"/>
  <c r="U108" i="1"/>
  <c r="T108" i="1"/>
  <c r="S108" i="1"/>
  <c r="R108" i="1"/>
  <c r="Q108" i="1"/>
  <c r="U107" i="1"/>
  <c r="T107" i="1"/>
  <c r="S107" i="1"/>
  <c r="R107" i="1"/>
  <c r="Q107" i="1"/>
  <c r="U106" i="1"/>
  <c r="T106" i="1"/>
  <c r="S106" i="1"/>
  <c r="R106" i="1"/>
  <c r="Q106" i="1"/>
  <c r="U105" i="1"/>
  <c r="T105" i="1"/>
  <c r="S105" i="1"/>
  <c r="R105" i="1"/>
  <c r="Q105" i="1"/>
  <c r="U104" i="1"/>
  <c r="T104" i="1"/>
  <c r="S104" i="1"/>
  <c r="R104" i="1"/>
  <c r="Q104" i="1"/>
  <c r="U103" i="1"/>
  <c r="T103" i="1"/>
  <c r="S103" i="1"/>
  <c r="R103" i="1"/>
  <c r="Q103" i="1"/>
  <c r="U102" i="1"/>
  <c r="T102" i="1"/>
  <c r="S102" i="1"/>
  <c r="R102" i="1"/>
  <c r="Q102" i="1"/>
  <c r="U101" i="1"/>
  <c r="T101" i="1"/>
  <c r="S101" i="1"/>
  <c r="R101" i="1"/>
  <c r="Q101" i="1"/>
  <c r="U100" i="1"/>
  <c r="T100" i="1"/>
  <c r="S100" i="1"/>
  <c r="R100" i="1"/>
  <c r="Q100" i="1"/>
  <c r="U99" i="1"/>
  <c r="T99" i="1"/>
  <c r="S99" i="1"/>
  <c r="R99" i="1"/>
  <c r="Q99" i="1"/>
  <c r="U98" i="1"/>
  <c r="T98" i="1"/>
  <c r="S98" i="1"/>
  <c r="R98" i="1"/>
  <c r="Q98" i="1"/>
  <c r="U97" i="1"/>
  <c r="T97" i="1"/>
  <c r="S97" i="1"/>
  <c r="R97" i="1"/>
  <c r="Q97" i="1"/>
  <c r="U96" i="1"/>
  <c r="T96" i="1"/>
  <c r="S96" i="1"/>
  <c r="R96" i="1"/>
  <c r="Q96" i="1"/>
  <c r="U95" i="1"/>
  <c r="T95" i="1"/>
  <c r="S95" i="1"/>
  <c r="R95" i="1"/>
  <c r="Q95" i="1"/>
  <c r="U94" i="1"/>
  <c r="T94" i="1"/>
  <c r="S94" i="1"/>
  <c r="R94" i="1"/>
  <c r="Q94" i="1"/>
  <c r="U93" i="1"/>
  <c r="T93" i="1"/>
  <c r="S93" i="1"/>
  <c r="R93" i="1"/>
  <c r="Q93" i="1"/>
  <c r="U92" i="1"/>
  <c r="T92" i="1"/>
  <c r="S92" i="1"/>
  <c r="R92" i="1"/>
  <c r="Q92" i="1"/>
  <c r="U91" i="1"/>
  <c r="T91" i="1"/>
  <c r="S91" i="1"/>
  <c r="R91" i="1"/>
  <c r="Q91" i="1"/>
  <c r="U90" i="1"/>
  <c r="T90" i="1"/>
  <c r="S90" i="1"/>
  <c r="R90" i="1"/>
  <c r="Q90" i="1"/>
  <c r="U89" i="1"/>
  <c r="T89" i="1"/>
  <c r="S89" i="1"/>
  <c r="R89" i="1"/>
  <c r="Q89" i="1"/>
  <c r="U88" i="1"/>
  <c r="T88" i="1"/>
  <c r="S88" i="1"/>
  <c r="R88" i="1"/>
  <c r="Q88" i="1"/>
  <c r="U87" i="1"/>
  <c r="T87" i="1"/>
  <c r="S87" i="1"/>
  <c r="R87" i="1"/>
  <c r="Q87" i="1"/>
  <c r="U86" i="1"/>
  <c r="T86" i="1"/>
  <c r="S86" i="1"/>
  <c r="R86" i="1"/>
  <c r="Q86" i="1"/>
  <c r="U85" i="1"/>
  <c r="T85" i="1"/>
  <c r="S85" i="1"/>
  <c r="R85" i="1"/>
  <c r="Q85" i="1"/>
  <c r="U84" i="1"/>
  <c r="T84" i="1"/>
  <c r="S84" i="1"/>
  <c r="R84" i="1"/>
  <c r="Q84" i="1"/>
  <c r="U83" i="1"/>
  <c r="T83" i="1"/>
  <c r="S83" i="1"/>
  <c r="R83" i="1"/>
  <c r="Q83" i="1"/>
  <c r="U82" i="1"/>
  <c r="T82" i="1"/>
  <c r="S82" i="1"/>
  <c r="R82" i="1"/>
  <c r="Q82" i="1"/>
  <c r="U81" i="1"/>
  <c r="T81" i="1"/>
  <c r="S81" i="1"/>
  <c r="R81" i="1"/>
  <c r="Q81" i="1"/>
  <c r="U80" i="1"/>
  <c r="T80" i="1"/>
  <c r="S80" i="1"/>
  <c r="R80" i="1"/>
  <c r="Q80" i="1"/>
  <c r="U79" i="1"/>
  <c r="T79" i="1"/>
  <c r="S79" i="1"/>
  <c r="R79" i="1"/>
  <c r="Q79" i="1"/>
  <c r="U78" i="1"/>
  <c r="T78" i="1"/>
  <c r="S78" i="1"/>
  <c r="R78" i="1"/>
  <c r="Q78" i="1"/>
  <c r="U77" i="1"/>
  <c r="T77" i="1"/>
  <c r="S77" i="1"/>
  <c r="R77" i="1"/>
  <c r="Q77" i="1"/>
  <c r="U76" i="1"/>
  <c r="T76" i="1"/>
  <c r="S76" i="1"/>
  <c r="R76" i="1"/>
  <c r="Q76" i="1"/>
  <c r="U75" i="1"/>
  <c r="T75" i="1"/>
  <c r="S75" i="1"/>
  <c r="R75" i="1"/>
  <c r="Q75" i="1"/>
  <c r="U74" i="1"/>
  <c r="T74" i="1"/>
  <c r="S74" i="1"/>
  <c r="R74" i="1"/>
  <c r="Q74" i="1"/>
  <c r="U73" i="1"/>
  <c r="T73" i="1"/>
  <c r="S73" i="1"/>
  <c r="R73" i="1"/>
  <c r="Q73" i="1"/>
  <c r="U72" i="1"/>
  <c r="T72" i="1"/>
  <c r="S72" i="1"/>
  <c r="R72" i="1"/>
  <c r="Q72" i="1"/>
  <c r="U71" i="1"/>
  <c r="T71" i="1"/>
  <c r="S71" i="1"/>
  <c r="R71" i="1"/>
  <c r="Q71" i="1"/>
  <c r="U70" i="1"/>
  <c r="T70" i="1"/>
  <c r="S70" i="1"/>
  <c r="R70" i="1"/>
  <c r="Q70" i="1"/>
  <c r="U69" i="1"/>
  <c r="T69" i="1"/>
  <c r="S69" i="1"/>
  <c r="R69" i="1"/>
  <c r="Q69" i="1"/>
  <c r="U68" i="1"/>
  <c r="T68" i="1"/>
  <c r="S68" i="1"/>
  <c r="R68" i="1"/>
  <c r="Q68" i="1"/>
  <c r="U67" i="1"/>
  <c r="T67" i="1"/>
  <c r="S67" i="1"/>
  <c r="R67" i="1"/>
  <c r="Q67" i="1"/>
  <c r="U66" i="1"/>
  <c r="T66" i="1"/>
  <c r="S66" i="1"/>
  <c r="R66" i="1"/>
  <c r="Q66" i="1"/>
  <c r="U65" i="1"/>
  <c r="T65" i="1"/>
  <c r="S65" i="1"/>
  <c r="R65" i="1"/>
  <c r="Q65" i="1"/>
  <c r="U64" i="1"/>
  <c r="T64" i="1"/>
  <c r="S64" i="1"/>
  <c r="R64" i="1"/>
  <c r="Q64" i="1"/>
  <c r="U63" i="1"/>
  <c r="T63" i="1"/>
  <c r="S63" i="1"/>
  <c r="R63" i="1"/>
  <c r="Q63" i="1"/>
  <c r="U62" i="1"/>
  <c r="T62" i="1"/>
  <c r="S62" i="1"/>
  <c r="R62" i="1"/>
  <c r="Q62" i="1"/>
  <c r="U61" i="1"/>
  <c r="T61" i="1"/>
  <c r="S61" i="1"/>
  <c r="R61" i="1"/>
  <c r="Q61" i="1"/>
  <c r="U60" i="1"/>
  <c r="T60" i="1"/>
  <c r="S60" i="1"/>
  <c r="R60" i="1"/>
  <c r="Q60" i="1"/>
  <c r="U59" i="1"/>
  <c r="T59" i="1"/>
  <c r="S59" i="1"/>
  <c r="R59" i="1"/>
  <c r="Q59" i="1"/>
  <c r="U58" i="1"/>
  <c r="T58" i="1"/>
  <c r="S58" i="1"/>
  <c r="R58" i="1"/>
  <c r="Q58" i="1"/>
  <c r="U57" i="1"/>
  <c r="T57" i="1"/>
  <c r="S57" i="1"/>
  <c r="R57" i="1"/>
  <c r="Q57" i="1"/>
  <c r="U56" i="1"/>
  <c r="T56" i="1"/>
  <c r="S56" i="1"/>
  <c r="R56" i="1"/>
  <c r="Q56" i="1"/>
  <c r="U55" i="1"/>
  <c r="T55" i="1"/>
  <c r="S55" i="1"/>
  <c r="R55" i="1"/>
  <c r="Q55" i="1"/>
  <c r="U54" i="1"/>
  <c r="T54" i="1"/>
  <c r="S54" i="1"/>
  <c r="R54" i="1"/>
  <c r="Q54" i="1"/>
  <c r="U53" i="1"/>
  <c r="T53" i="1"/>
  <c r="S53" i="1"/>
  <c r="R53" i="1"/>
  <c r="Q53" i="1"/>
  <c r="U52" i="1"/>
  <c r="T52" i="1"/>
  <c r="S52" i="1"/>
  <c r="R52" i="1"/>
  <c r="Q52" i="1"/>
  <c r="U51" i="1"/>
  <c r="T51" i="1"/>
  <c r="S51" i="1"/>
  <c r="R51" i="1"/>
  <c r="Q51" i="1"/>
  <c r="U50" i="1"/>
  <c r="T50" i="1"/>
  <c r="S50" i="1"/>
  <c r="R50" i="1"/>
  <c r="Q50" i="1"/>
  <c r="U49" i="1"/>
  <c r="T49" i="1"/>
  <c r="S49" i="1"/>
  <c r="R49" i="1"/>
  <c r="Q49" i="1"/>
  <c r="U48" i="1"/>
  <c r="T48" i="1"/>
  <c r="S48" i="1"/>
  <c r="R48" i="1"/>
  <c r="Q48" i="1"/>
  <c r="U47" i="1"/>
  <c r="T47" i="1"/>
  <c r="S47" i="1"/>
  <c r="R47" i="1"/>
  <c r="Q47" i="1"/>
  <c r="U46" i="1"/>
  <c r="T46" i="1"/>
  <c r="S46" i="1"/>
  <c r="R46" i="1"/>
  <c r="Q46" i="1"/>
  <c r="U45" i="1"/>
  <c r="T45" i="1"/>
  <c r="S45" i="1"/>
  <c r="R45" i="1"/>
  <c r="Q45" i="1"/>
  <c r="U44" i="1"/>
  <c r="T44" i="1"/>
  <c r="S44" i="1"/>
  <c r="R44" i="1"/>
  <c r="Q44" i="1"/>
  <c r="U43" i="1"/>
  <c r="T43" i="1"/>
  <c r="S43" i="1"/>
  <c r="R43" i="1"/>
  <c r="Q43" i="1"/>
  <c r="U42" i="1"/>
  <c r="T42" i="1"/>
  <c r="S42" i="1"/>
  <c r="R42" i="1"/>
  <c r="Q42" i="1"/>
  <c r="U41" i="1"/>
  <c r="T41" i="1"/>
  <c r="S41" i="1"/>
  <c r="R41" i="1"/>
  <c r="Q41" i="1"/>
  <c r="U40" i="1"/>
  <c r="T40" i="1"/>
  <c r="S40" i="1"/>
  <c r="R40" i="1"/>
  <c r="Q40" i="1"/>
  <c r="U39" i="1"/>
  <c r="T39" i="1"/>
  <c r="S39" i="1"/>
  <c r="R39" i="1"/>
  <c r="Q39" i="1"/>
  <c r="U38" i="1"/>
  <c r="T38" i="1"/>
  <c r="S38" i="1"/>
  <c r="R38" i="1"/>
  <c r="Q38" i="1"/>
  <c r="U37" i="1"/>
  <c r="T37" i="1"/>
  <c r="S37" i="1"/>
  <c r="R37" i="1"/>
  <c r="Q37" i="1"/>
  <c r="U36" i="1"/>
  <c r="T36" i="1"/>
  <c r="S36" i="1"/>
  <c r="R36" i="1"/>
  <c r="Q36" i="1"/>
  <c r="U35" i="1"/>
  <c r="T35" i="1"/>
  <c r="S35" i="1"/>
  <c r="R35" i="1"/>
  <c r="Q35" i="1"/>
  <c r="U34" i="1"/>
  <c r="T34" i="1"/>
  <c r="S34" i="1"/>
  <c r="R34" i="1"/>
  <c r="Q34" i="1"/>
  <c r="U33" i="1"/>
  <c r="T33" i="1"/>
  <c r="S33" i="1"/>
  <c r="R33" i="1"/>
  <c r="Q33" i="1"/>
  <c r="U32" i="1"/>
  <c r="T32" i="1"/>
  <c r="S32" i="1"/>
  <c r="R32" i="1"/>
  <c r="Q32" i="1"/>
  <c r="U31" i="1"/>
  <c r="T31" i="1"/>
  <c r="S31" i="1"/>
  <c r="R31" i="1"/>
  <c r="Q31" i="1"/>
  <c r="U30" i="1"/>
  <c r="T30" i="1"/>
  <c r="S30" i="1"/>
  <c r="R30" i="1"/>
  <c r="Q30" i="1"/>
  <c r="U29" i="1"/>
  <c r="T29" i="1"/>
  <c r="S29" i="1"/>
  <c r="R29" i="1"/>
  <c r="Q29" i="1"/>
  <c r="U28" i="1"/>
  <c r="T28" i="1"/>
  <c r="S28" i="1"/>
  <c r="R28" i="1"/>
  <c r="Q28" i="1"/>
  <c r="U27" i="1"/>
  <c r="T27" i="1"/>
  <c r="S27" i="1"/>
  <c r="R27" i="1"/>
  <c r="Q27" i="1"/>
  <c r="U26" i="1"/>
  <c r="T26" i="1"/>
  <c r="S26" i="1"/>
  <c r="R26" i="1"/>
  <c r="Q26" i="1"/>
  <c r="U25" i="1"/>
  <c r="T25" i="1"/>
  <c r="S25" i="1"/>
  <c r="R25" i="1"/>
  <c r="Q25" i="1"/>
  <c r="U24" i="1"/>
  <c r="T24" i="1"/>
  <c r="S24" i="1"/>
  <c r="R24" i="1"/>
  <c r="Q24" i="1"/>
  <c r="U23" i="1"/>
  <c r="T23" i="1"/>
  <c r="S23" i="1"/>
  <c r="R23" i="1"/>
  <c r="Q23" i="1"/>
  <c r="U22" i="1"/>
  <c r="T22" i="1"/>
  <c r="S22" i="1"/>
  <c r="R22" i="1"/>
  <c r="Q22" i="1"/>
  <c r="U21" i="1"/>
  <c r="T21" i="1"/>
  <c r="S21" i="1"/>
  <c r="R21" i="1"/>
  <c r="Q21" i="1"/>
  <c r="U20" i="1"/>
  <c r="T20" i="1"/>
  <c r="S20" i="1"/>
  <c r="R20" i="1"/>
  <c r="Q20" i="1"/>
  <c r="U19" i="1"/>
  <c r="T19" i="1"/>
  <c r="S19" i="1"/>
  <c r="R19" i="1"/>
  <c r="Q19" i="1"/>
  <c r="U18" i="1"/>
  <c r="T18" i="1"/>
  <c r="S18" i="1"/>
  <c r="R18" i="1"/>
  <c r="Q18" i="1"/>
  <c r="U17" i="1"/>
  <c r="T17" i="1"/>
  <c r="S17" i="1"/>
  <c r="R17" i="1"/>
  <c r="Q17" i="1"/>
  <c r="U16" i="1"/>
  <c r="T16" i="1"/>
  <c r="S16" i="1"/>
  <c r="R16" i="1"/>
  <c r="Q16" i="1"/>
  <c r="U15" i="1"/>
  <c r="T15" i="1"/>
  <c r="S15" i="1"/>
  <c r="R15" i="1"/>
  <c r="Q15" i="1"/>
  <c r="U14" i="1"/>
  <c r="T14" i="1"/>
  <c r="S14" i="1"/>
  <c r="R14" i="1"/>
  <c r="Q14" i="1"/>
  <c r="U13" i="1"/>
  <c r="T13" i="1"/>
  <c r="S13" i="1"/>
  <c r="R13" i="1"/>
  <c r="Q13" i="1"/>
  <c r="U12" i="1"/>
  <c r="T12" i="1"/>
  <c r="S12" i="1"/>
  <c r="R12" i="1"/>
  <c r="Q12" i="1"/>
  <c r="U11" i="1"/>
  <c r="T11" i="1"/>
  <c r="S11" i="1"/>
  <c r="R11" i="1"/>
  <c r="Q11" i="1"/>
  <c r="U10" i="1"/>
  <c r="T10" i="1"/>
  <c r="S10" i="1"/>
  <c r="R10" i="1"/>
  <c r="Q10" i="1"/>
  <c r="U9" i="1"/>
  <c r="T9" i="1"/>
  <c r="S9" i="1"/>
  <c r="R9" i="1"/>
  <c r="Q9" i="1"/>
  <c r="U8" i="1"/>
  <c r="T8" i="1"/>
  <c r="S8" i="1"/>
  <c r="R8" i="1"/>
  <c r="Q8" i="1"/>
  <c r="U7" i="1"/>
  <c r="T7" i="1"/>
  <c r="S7" i="1"/>
  <c r="R7" i="1"/>
  <c r="Q7" i="1"/>
  <c r="U6" i="1"/>
  <c r="T6" i="1"/>
  <c r="S6" i="1"/>
  <c r="R6" i="1"/>
  <c r="Q6" i="1"/>
  <c r="U5" i="1"/>
  <c r="T5" i="1"/>
  <c r="S5" i="1"/>
  <c r="R5" i="1"/>
  <c r="Q5" i="1"/>
  <c r="U4" i="1"/>
  <c r="T4" i="1"/>
  <c r="S4" i="1"/>
  <c r="R4" i="1"/>
  <c r="Q4" i="1"/>
  <c r="U3" i="1"/>
  <c r="T3" i="1"/>
  <c r="S3" i="1"/>
  <c r="R3" i="1"/>
  <c r="Q3" i="1"/>
  <c r="U2" i="1"/>
  <c r="T2" i="1"/>
  <c r="S2" i="1"/>
  <c r="R2" i="1"/>
  <c r="Q2" i="1"/>
  <c r="C93" i="7"/>
  <c r="C85" i="7"/>
  <c r="C77" i="7"/>
  <c r="C69" i="7"/>
  <c r="C61" i="7"/>
  <c r="C53" i="7"/>
  <c r="C78" i="7"/>
  <c r="C70" i="7"/>
  <c r="C62" i="7"/>
  <c r="C91" i="7"/>
  <c r="C75" i="7"/>
  <c r="C67" i="7"/>
  <c r="C59" i="7"/>
  <c r="C51" i="7"/>
  <c r="C72" i="7"/>
  <c r="C64" i="7"/>
  <c r="C56" i="7"/>
  <c r="C48" i="7"/>
  <c r="C90" i="7"/>
  <c r="C82" i="7"/>
  <c r="C74" i="7"/>
  <c r="C66" i="7"/>
  <c r="C58" i="7"/>
  <c r="C50" i="7"/>
  <c r="C86" i="7"/>
  <c r="C83" i="7"/>
  <c r="C95" i="7"/>
  <c r="C87" i="7"/>
  <c r="C79" i="7"/>
  <c r="C71" i="7"/>
  <c r="C63" i="7"/>
  <c r="C55" i="7"/>
  <c r="C47" i="7"/>
  <c r="C92" i="7"/>
  <c r="C84" i="7"/>
  <c r="C76" i="7"/>
  <c r="C68" i="7"/>
  <c r="C60" i="7"/>
  <c r="C52" i="7"/>
  <c r="C88" i="7"/>
  <c r="C89" i="7"/>
  <c r="C81" i="7"/>
  <c r="C73" i="7"/>
  <c r="C65" i="7"/>
  <c r="C57" i="7"/>
  <c r="C49" i="7"/>
  <c r="C94" i="7"/>
  <c r="C54" i="7"/>
  <c r="C46" i="7"/>
  <c r="C80" i="7"/>
  <c r="D85" i="7" l="1"/>
  <c r="E53" i="7"/>
  <c r="E79" i="7"/>
  <c r="E62" i="7"/>
  <c r="D57" i="7"/>
  <c r="D62" i="7"/>
  <c r="E46" i="7"/>
  <c r="E57" i="7"/>
  <c r="E47" i="7"/>
  <c r="E59" i="7"/>
  <c r="D89" i="7"/>
  <c r="D59" i="7"/>
  <c r="E54" i="7"/>
  <c r="E65" i="7"/>
  <c r="E88" i="7"/>
  <c r="E76" i="7"/>
  <c r="E55" i="7"/>
  <c r="E87" i="7"/>
  <c r="D50" i="7"/>
  <c r="D82" i="7"/>
  <c r="E64" i="7"/>
  <c r="E67" i="7"/>
  <c r="E70" i="7"/>
  <c r="D69" i="7"/>
  <c r="D55" i="7"/>
  <c r="E50" i="7"/>
  <c r="D64" i="7"/>
  <c r="D70" i="7"/>
  <c r="E69" i="7"/>
  <c r="E94" i="7"/>
  <c r="E52" i="7"/>
  <c r="E84" i="7"/>
  <c r="E95" i="7"/>
  <c r="D90" i="7"/>
  <c r="E75" i="7"/>
  <c r="D77" i="7"/>
  <c r="E66" i="7"/>
  <c r="E91" i="7"/>
  <c r="E68" i="7"/>
  <c r="E56" i="7"/>
  <c r="D93" i="7"/>
  <c r="D68" i="7"/>
  <c r="D86" i="7"/>
  <c r="E61" i="7"/>
  <c r="D54" i="7"/>
  <c r="D65" i="7"/>
  <c r="D88" i="7"/>
  <c r="D76" i="7"/>
  <c r="D87" i="7"/>
  <c r="E82" i="7"/>
  <c r="D67" i="7"/>
  <c r="E73" i="7"/>
  <c r="E63" i="7"/>
  <c r="D58" i="7"/>
  <c r="E72" i="7"/>
  <c r="E78" i="7"/>
  <c r="D48" i="7"/>
  <c r="E85" i="7"/>
  <c r="E86" i="7"/>
  <c r="D61" i="7"/>
  <c r="D47" i="7"/>
  <c r="D56" i="7"/>
  <c r="D94" i="7"/>
  <c r="D73" i="7"/>
  <c r="D52" i="7"/>
  <c r="D84" i="7"/>
  <c r="D63" i="7"/>
  <c r="D95" i="7"/>
  <c r="E58" i="7"/>
  <c r="E90" i="7"/>
  <c r="D72" i="7"/>
  <c r="D75" i="7"/>
  <c r="D78" i="7"/>
  <c r="E77" i="7"/>
  <c r="E80" i="7"/>
  <c r="E49" i="7"/>
  <c r="E81" i="7"/>
  <c r="E60" i="7"/>
  <c r="E92" i="7"/>
  <c r="E71" i="7"/>
  <c r="D83" i="7"/>
  <c r="D66" i="7"/>
  <c r="E48" i="7"/>
  <c r="D51" i="7"/>
  <c r="D91" i="7"/>
  <c r="D53" i="7"/>
  <c r="D80" i="7"/>
  <c r="D49" i="7"/>
  <c r="D81" i="7"/>
  <c r="D60" i="7"/>
  <c r="D92" i="7"/>
  <c r="D71" i="7"/>
  <c r="E83" i="7"/>
  <c r="E51" i="7"/>
  <c r="E89" i="7"/>
  <c r="D74" i="7"/>
  <c r="D46" i="7"/>
  <c r="D79" i="7"/>
  <c r="E74" i="7"/>
  <c r="E9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753B4A-38D9-48A5-BB5B-5A9B96BE9B1E}" keepAlive="1" name="Query - Bike_Sharing_Master (2)" description="Connection to the 'Bike_Sharing_Master (2)' query in the workbook." type="5" refreshedVersion="8" background="1" saveData="1">
    <dbPr connection="Provider=Microsoft.Mashup.OleDb.1;Data Source=$Workbook$;Location=&quot;Bike_Sharing_Master (2)&quot;;Extended Properties=&quot;&quot;" command="SELECT * FROM [Bike_Sharing_Master (2)]"/>
  </connection>
  <connection id="2" xr16:uid="{D8E521F1-35AC-4A5D-94BC-ED530C8FB9CE}" keepAlive="1" name="Query - Dataset_1" description="Connection to the 'Dataset_1' query in the workbook." type="5" refreshedVersion="0" background="1">
    <dbPr connection="Provider=Microsoft.Mashup.OleDb.1;Data Source=$Workbook$;Location=Dataset_1;Extended Properties=&quot;&quot;" command="SELECT * FROM [Dataset_1]"/>
  </connection>
  <connection id="3" xr16:uid="{48759424-E6D3-4244-8DFF-1C52A8291738}" keepAlive="1" name="Query - Dataset_2" description="Connection to the 'Dataset_2' query in the workbook." type="5" refreshedVersion="0" background="1">
    <dbPr connection="Provider=Microsoft.Mashup.OleDb.1;Data Source=$Workbook$;Location=Dataset_2;Extended Properties=&quot;&quot;" command="SELECT * FROM [Dataset_2]"/>
  </connection>
  <connection id="4" xr16:uid="{9D584F7A-D080-48A6-9C4F-5E6C3B050A37}" keepAlive="1" name="Query - Dataset_3" description="Connection to the 'Dataset_3' query in the workbook." type="5" refreshedVersion="0" background="1">
    <dbPr connection="Provider=Microsoft.Mashup.OleDb.1;Data Source=$Workbook$;Location=Dataset_3;Extended Properties=&quot;&quot;" command="SELECT * FROM [Dataset_3]"/>
  </connection>
</connections>
</file>

<file path=xl/sharedStrings.xml><?xml version="1.0" encoding="utf-8"?>
<sst xmlns="http://schemas.openxmlformats.org/spreadsheetml/2006/main" count="114" uniqueCount="95">
  <si>
    <t>Instant</t>
  </si>
  <si>
    <t>Dteday</t>
  </si>
  <si>
    <t>Season</t>
  </si>
  <si>
    <t>Year</t>
  </si>
  <si>
    <t>Month</t>
  </si>
  <si>
    <t>Hr</t>
  </si>
  <si>
    <t>Holiday</t>
  </si>
  <si>
    <t>Weekday</t>
  </si>
  <si>
    <t>Weathersit</t>
  </si>
  <si>
    <t>Temp</t>
  </si>
  <si>
    <t>Atemp</t>
  </si>
  <si>
    <t>Hum</t>
  </si>
  <si>
    <t>Windspeed</t>
  </si>
  <si>
    <t>Casual</t>
  </si>
  <si>
    <t>Registered</t>
  </si>
  <si>
    <t>Cnt</t>
  </si>
  <si>
    <t>Day Type</t>
  </si>
  <si>
    <t>Time Slot</t>
  </si>
  <si>
    <t>Holiday2</t>
  </si>
  <si>
    <t>Demand_Level</t>
  </si>
  <si>
    <t>Weather</t>
  </si>
  <si>
    <t>A</t>
  </si>
  <si>
    <t>B</t>
  </si>
  <si>
    <t>Clear</t>
  </si>
  <si>
    <t>Mist</t>
  </si>
  <si>
    <t>Light Rain</t>
  </si>
  <si>
    <t>Heavy Rain</t>
  </si>
  <si>
    <t>Sum of Cnt</t>
  </si>
  <si>
    <t>Column Labels</t>
  </si>
  <si>
    <t>Row Labels</t>
  </si>
  <si>
    <t>Weekend</t>
  </si>
  <si>
    <t>Grand Total</t>
  </si>
  <si>
    <t>Daytime</t>
  </si>
  <si>
    <t>Evening Peak</t>
  </si>
  <si>
    <t>Late Night</t>
  </si>
  <si>
    <t>Morning Peak</t>
  </si>
  <si>
    <t>Night</t>
  </si>
  <si>
    <t>Jan</t>
  </si>
  <si>
    <t>01-Jan</t>
  </si>
  <si>
    <t>02-Jan</t>
  </si>
  <si>
    <t>03-Jan</t>
  </si>
  <si>
    <t>04-Jan</t>
  </si>
  <si>
    <t>05-Jan</t>
  </si>
  <si>
    <t>06-Jan</t>
  </si>
  <si>
    <t>07-Jan</t>
  </si>
  <si>
    <t>08-Jan</t>
  </si>
  <si>
    <t>09-Jan</t>
  </si>
  <si>
    <t>10-Jan</t>
  </si>
  <si>
    <t>11-Jan</t>
  </si>
  <si>
    <t>12-Jan</t>
  </si>
  <si>
    <t>13-Jan</t>
  </si>
  <si>
    <t>14-Jan</t>
  </si>
  <si>
    <t>15-Jan</t>
  </si>
  <si>
    <t>16-Jan</t>
  </si>
  <si>
    <t>17-Jan</t>
  </si>
  <si>
    <t>19-Jan</t>
  </si>
  <si>
    <t>20-Jan</t>
  </si>
  <si>
    <t>21-Jan</t>
  </si>
  <si>
    <t>22-Jan</t>
  </si>
  <si>
    <t>23-Jan</t>
  </si>
  <si>
    <t>24-Jan</t>
  </si>
  <si>
    <t>25-Jan</t>
  </si>
  <si>
    <t>27-Jan</t>
  </si>
  <si>
    <t>28-Jan</t>
  </si>
  <si>
    <t>29-Jan</t>
  </si>
  <si>
    <t>30-Jan</t>
  </si>
  <si>
    <t>31-Jan</t>
  </si>
  <si>
    <t>Feb</t>
  </si>
  <si>
    <t>02-Feb</t>
  </si>
  <si>
    <t>03-Feb</t>
  </si>
  <si>
    <t>04-Feb</t>
  </si>
  <si>
    <t>05-Feb</t>
  </si>
  <si>
    <t>06-Feb</t>
  </si>
  <si>
    <t>07-Feb</t>
  </si>
  <si>
    <t>08-Feb</t>
  </si>
  <si>
    <t>09-Feb</t>
  </si>
  <si>
    <t>10-Feb</t>
  </si>
  <si>
    <t>11-Feb</t>
  </si>
  <si>
    <t>12-Feb</t>
  </si>
  <si>
    <t>13-Feb</t>
  </si>
  <si>
    <t>14-Feb</t>
  </si>
  <si>
    <t>18-Jan</t>
  </si>
  <si>
    <t>26-Jan</t>
  </si>
  <si>
    <t>01-Feb</t>
  </si>
  <si>
    <t>HeatMap</t>
  </si>
  <si>
    <t>High Demand Hours</t>
  </si>
  <si>
    <t>% of High Demand Hrs</t>
  </si>
  <si>
    <t>Rentals on Weekend</t>
  </si>
  <si>
    <t>% Of Weekend Orders</t>
  </si>
  <si>
    <t>Demand Volatility</t>
  </si>
  <si>
    <t>Weather VS Demand</t>
  </si>
  <si>
    <t>Bike Sharing Demand Intelligence Dashboard</t>
  </si>
  <si>
    <t>Total Rentals</t>
  </si>
  <si>
    <t>% Of High Demand Hours</t>
  </si>
  <si>
    <t>Avg Rentals Per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</si>
</sst>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6"/>
      <color theme="0"/>
      <name val="Calibri"/>
      <family val="2"/>
      <scheme val="minor"/>
    </font>
    <font>
      <sz val="18"/>
      <color theme="0"/>
      <name val="Calibri"/>
      <family val="2"/>
      <scheme val="minor"/>
    </font>
    <font>
      <sz val="18"/>
      <color theme="1"/>
      <name val="Calibri"/>
      <family val="2"/>
      <scheme val="minor"/>
    </font>
    <font>
      <b/>
      <sz val="16"/>
      <color theme="0"/>
      <name val="Calibri"/>
      <family val="2"/>
      <scheme val="minor"/>
    </font>
    <font>
      <sz val="11"/>
      <color rgb="FF000000"/>
      <name val="Aptos Narrow"/>
    </font>
    <font>
      <b/>
      <sz val="24"/>
      <color theme="0"/>
      <name val="Calibri"/>
      <family val="2"/>
      <scheme val="minor"/>
    </font>
    <font>
      <b/>
      <sz val="26"/>
      <color theme="0"/>
      <name val="Calibri"/>
      <family val="2"/>
      <scheme val="minor"/>
    </font>
    <font>
      <b/>
      <sz val="12"/>
      <color theme="0"/>
      <name val="Calibri"/>
      <family val="2"/>
      <scheme val="minor"/>
    </font>
    <font>
      <b/>
      <sz val="14"/>
      <color theme="0"/>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0070C0"/>
        <bgColor indexed="64"/>
      </patternFill>
    </fill>
    <fill>
      <patternFill patternType="solid">
        <fgColor theme="7" tint="0.59999389629810485"/>
        <bgColor indexed="64"/>
      </patternFill>
    </fill>
  </fills>
  <borders count="12">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42">
    <xf numFmtId="0" fontId="0" fillId="0" borderId="0" xfId="0"/>
    <xf numFmtId="1" fontId="0" fillId="0" borderId="0" xfId="0" applyNumberFormat="1"/>
    <xf numFmtId="2" fontId="0" fillId="0" borderId="0" xfId="0" applyNumberFormat="1"/>
    <xf numFmtId="14"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xf>
    <xf numFmtId="0" fontId="0" fillId="0" borderId="0" xfId="0" pivotButton="1"/>
    <xf numFmtId="0" fontId="0" fillId="0" borderId="0" xfId="0" applyAlignment="1">
      <alignment horizontal="left" indent="1"/>
    </xf>
    <xf numFmtId="0" fontId="4" fillId="3" borderId="0" xfId="0" applyFont="1" applyFill="1"/>
    <xf numFmtId="0" fontId="3" fillId="3" borderId="0" xfId="0" applyFont="1" applyFill="1"/>
    <xf numFmtId="1" fontId="5" fillId="3" borderId="0" xfId="0" applyNumberFormat="1" applyFont="1" applyFill="1"/>
    <xf numFmtId="0" fontId="4" fillId="3" borderId="0" xfId="0" applyFont="1" applyFill="1" applyAlignment="1">
      <alignment horizontal="left"/>
    </xf>
    <xf numFmtId="1" fontId="6" fillId="0" borderId="0" xfId="0" applyNumberFormat="1" applyFont="1"/>
    <xf numFmtId="0" fontId="3" fillId="3" borderId="0" xfId="0" pivotButton="1" applyFont="1" applyFill="1"/>
    <xf numFmtId="0" fontId="4" fillId="3" borderId="0" xfId="0" pivotButton="1" applyFont="1" applyFill="1"/>
    <xf numFmtId="14" fontId="0" fillId="2" borderId="1" xfId="0" applyNumberFormat="1" applyFill="1" applyBorder="1"/>
    <xf numFmtId="1" fontId="0" fillId="2" borderId="2" xfId="0" applyNumberFormat="1" applyFill="1" applyBorder="1"/>
    <xf numFmtId="0" fontId="0" fillId="2" borderId="2" xfId="0" applyFill="1" applyBorder="1"/>
    <xf numFmtId="0" fontId="0" fillId="2" borderId="3" xfId="0" applyFill="1" applyBorder="1"/>
    <xf numFmtId="14" fontId="0" fillId="0" borderId="1" xfId="0" applyNumberFormat="1" applyBorder="1"/>
    <xf numFmtId="1" fontId="0" fillId="0" borderId="2" xfId="0" applyNumberFormat="1" applyBorder="1"/>
    <xf numFmtId="0" fontId="0" fillId="0" borderId="2" xfId="0" applyBorder="1"/>
    <xf numFmtId="0" fontId="0" fillId="0" borderId="3" xfId="0" applyBorder="1"/>
    <xf numFmtId="1" fontId="0" fillId="2" borderId="3" xfId="0" applyNumberFormat="1" applyFill="1" applyBorder="1"/>
    <xf numFmtId="1" fontId="0" fillId="0" borderId="3" xfId="0" applyNumberFormat="1" applyBorder="1"/>
    <xf numFmtId="164" fontId="0" fillId="0" borderId="0" xfId="1" applyNumberFormat="1" applyFont="1"/>
    <xf numFmtId="0" fontId="0" fillId="4" borderId="0" xfId="0" applyFill="1"/>
    <xf numFmtId="0" fontId="9" fillId="3" borderId="4"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6"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0" xfId="0" applyFont="1" applyFill="1" applyAlignment="1">
      <alignment horizontal="center" vertical="center"/>
    </xf>
    <xf numFmtId="0" fontId="9" fillId="3" borderId="8" xfId="0" applyFont="1" applyFill="1" applyBorder="1" applyAlignment="1">
      <alignment horizontal="center" vertical="center"/>
    </xf>
    <xf numFmtId="0" fontId="9" fillId="3" borderId="9" xfId="0" applyFont="1" applyFill="1" applyBorder="1" applyAlignment="1">
      <alignment horizontal="center" vertical="center"/>
    </xf>
    <xf numFmtId="0" fontId="9" fillId="3" borderId="10" xfId="0" applyFont="1" applyFill="1" applyBorder="1" applyAlignment="1">
      <alignment horizontal="center" vertical="center"/>
    </xf>
    <xf numFmtId="0" fontId="9" fillId="3" borderId="11" xfId="0" applyFont="1" applyFill="1" applyBorder="1" applyAlignment="1">
      <alignment horizontal="center" vertical="center"/>
    </xf>
    <xf numFmtId="1" fontId="10" fillId="3" borderId="0" xfId="0" applyNumberFormat="1" applyFont="1" applyFill="1" applyAlignment="1">
      <alignment horizontal="center" vertical="center"/>
    </xf>
    <xf numFmtId="10" fontId="10" fillId="3" borderId="0" xfId="1" applyNumberFormat="1" applyFont="1" applyFill="1" applyAlignment="1">
      <alignment horizontal="center" vertical="center"/>
    </xf>
    <xf numFmtId="0" fontId="7" fillId="3" borderId="0" xfId="0" applyFont="1" applyFill="1" applyAlignment="1">
      <alignment horizontal="center" vertical="center"/>
    </xf>
    <xf numFmtId="0" fontId="11" fillId="3" borderId="0" xfId="0" applyFont="1" applyFill="1" applyAlignment="1">
      <alignment horizontal="center" vertical="center"/>
    </xf>
    <xf numFmtId="0" fontId="12" fillId="3" borderId="0" xfId="0" applyFont="1" applyFill="1" applyAlignment="1">
      <alignment horizontal="center" vertical="center"/>
    </xf>
  </cellXfs>
  <cellStyles count="2">
    <cellStyle name="Normal" xfId="0" builtinId="0"/>
    <cellStyle name="Percent" xfId="1" builtinId="5"/>
  </cellStyles>
  <dxfs count="85">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ont>
        <color theme="0"/>
      </font>
    </dxf>
    <dxf>
      <font>
        <color theme="0"/>
      </font>
    </dxf>
    <dxf>
      <font>
        <color theme="0"/>
      </font>
    </dxf>
    <dxf>
      <font>
        <color theme="0"/>
      </font>
    </dxf>
    <dxf>
      <font>
        <color theme="0"/>
      </font>
    </dxf>
    <dxf>
      <font>
        <color theme="0"/>
      </font>
    </dxf>
    <dxf>
      <fill>
        <patternFill>
          <bgColor rgb="FF0070C0"/>
        </patternFill>
      </fill>
    </dxf>
    <dxf>
      <fill>
        <patternFill>
          <bgColor rgb="FF0070C0"/>
        </patternFill>
      </fill>
    </dxf>
    <dxf>
      <fill>
        <patternFill>
          <bgColor rgb="FF0070C0"/>
        </patternFill>
      </fill>
    </dxf>
    <dxf>
      <font>
        <sz val="18"/>
      </font>
    </dxf>
    <dxf>
      <font>
        <sz val="18"/>
      </font>
    </dxf>
    <dxf>
      <font>
        <sz val="16"/>
      </font>
    </dxf>
    <dxf>
      <font>
        <sz val="16"/>
      </font>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ont>
        <color theme="0"/>
      </font>
    </dxf>
    <dxf>
      <font>
        <color theme="0"/>
      </font>
    </dxf>
    <dxf>
      <font>
        <color theme="0"/>
      </font>
    </dxf>
    <dxf>
      <font>
        <color theme="0"/>
      </font>
    </dxf>
    <dxf>
      <font>
        <color theme="0"/>
      </font>
    </dxf>
    <dxf>
      <font>
        <color theme="0"/>
      </font>
    </dxf>
    <dxf>
      <fill>
        <patternFill>
          <bgColor rgb="FF0070C0"/>
        </patternFill>
      </fill>
    </dxf>
    <dxf>
      <fill>
        <patternFill>
          <bgColor rgb="FF0070C0"/>
        </patternFill>
      </fill>
    </dxf>
    <dxf>
      <fill>
        <patternFill>
          <bgColor rgb="FF0070C0"/>
        </patternFill>
      </fill>
    </dxf>
    <dxf>
      <font>
        <sz val="18"/>
      </font>
    </dxf>
    <dxf>
      <font>
        <sz val="18"/>
      </font>
    </dxf>
    <dxf>
      <font>
        <sz val="16"/>
      </font>
    </dxf>
    <dxf>
      <font>
        <sz val="16"/>
      </font>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ont>
        <color theme="0"/>
      </font>
    </dxf>
    <dxf>
      <font>
        <color theme="0"/>
      </font>
    </dxf>
    <dxf>
      <font>
        <color theme="0"/>
      </font>
    </dxf>
    <dxf>
      <font>
        <color theme="0"/>
      </font>
    </dxf>
    <dxf>
      <font>
        <color theme="0"/>
      </font>
    </dxf>
    <dxf>
      <font>
        <color theme="0"/>
      </font>
    </dxf>
    <dxf>
      <fill>
        <patternFill>
          <bgColor rgb="FF0070C0"/>
        </patternFill>
      </fill>
    </dxf>
    <dxf>
      <fill>
        <patternFill>
          <bgColor rgb="FF0070C0"/>
        </patternFill>
      </fill>
    </dxf>
    <dxf>
      <fill>
        <patternFill>
          <bgColor rgb="FF0070C0"/>
        </patternFill>
      </fill>
    </dxf>
    <dxf>
      <font>
        <sz val="18"/>
      </font>
    </dxf>
    <dxf>
      <font>
        <sz val="18"/>
      </font>
    </dxf>
    <dxf>
      <font>
        <sz val="16"/>
      </font>
    </dxf>
    <dxf>
      <font>
        <sz val="16"/>
      </font>
    </dxf>
    <dxf>
      <font>
        <color rgb="FF9C5700"/>
      </font>
      <fill>
        <patternFill>
          <bgColor rgb="FFFFEB9C"/>
        </patternFill>
      </fill>
    </dxf>
    <dxf>
      <font>
        <color rgb="FF9C0006"/>
      </font>
      <fill>
        <patternFill>
          <bgColor rgb="FFFFC7CE"/>
        </patternFill>
      </fill>
    </dxf>
    <dxf>
      <font>
        <color rgb="FF006100"/>
      </font>
      <fill>
        <patternFill>
          <bgColor rgb="FFC6EFCE"/>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externalLink" Target="externalLinks/externalLink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Rentals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42"/>
              <c:pt idx="0">
                <c:v>Jan 01-Jan</c:v>
              </c:pt>
              <c:pt idx="1">
                <c:v>Jan 02-Jan</c:v>
              </c:pt>
              <c:pt idx="2">
                <c:v>Jan 03-Jan</c:v>
              </c:pt>
              <c:pt idx="3">
                <c:v>Jan 04-Jan</c:v>
              </c:pt>
              <c:pt idx="4">
                <c:v>Jan 05-Jan</c:v>
              </c:pt>
              <c:pt idx="5">
                <c:v>Jan 06-Jan</c:v>
              </c:pt>
              <c:pt idx="6">
                <c:v>Jan 07-Jan</c:v>
              </c:pt>
              <c:pt idx="7">
                <c:v>Jan 08-Jan</c:v>
              </c:pt>
              <c:pt idx="8">
                <c:v>Jan 09-Jan</c:v>
              </c:pt>
              <c:pt idx="9">
                <c:v>Jan 10-Jan</c:v>
              </c:pt>
              <c:pt idx="10">
                <c:v>Jan 11-Jan</c:v>
              </c:pt>
              <c:pt idx="11">
                <c:v>Jan 12-Jan</c:v>
              </c:pt>
              <c:pt idx="12">
                <c:v>Jan 13-Jan</c:v>
              </c:pt>
              <c:pt idx="13">
                <c:v>Jan 14-Jan</c:v>
              </c:pt>
              <c:pt idx="14">
                <c:v>Jan 15-Jan</c:v>
              </c:pt>
              <c:pt idx="15">
                <c:v>Jan 16-Jan</c:v>
              </c:pt>
              <c:pt idx="16">
                <c:v>Jan 17-Jan</c:v>
              </c:pt>
              <c:pt idx="17">
                <c:v>Jan 19-Jan</c:v>
              </c:pt>
              <c:pt idx="18">
                <c:v>Jan 20-Jan</c:v>
              </c:pt>
              <c:pt idx="19">
                <c:v>Jan 21-Jan</c:v>
              </c:pt>
              <c:pt idx="20">
                <c:v>Jan 22-Jan</c:v>
              </c:pt>
              <c:pt idx="21">
                <c:v>Jan 23-Jan</c:v>
              </c:pt>
              <c:pt idx="22">
                <c:v>Jan 24-Jan</c:v>
              </c:pt>
              <c:pt idx="23">
                <c:v>Jan 25-Jan</c:v>
              </c:pt>
              <c:pt idx="24">
                <c:v>Jan 27-Jan</c:v>
              </c:pt>
              <c:pt idx="25">
                <c:v>Jan 28-Jan</c:v>
              </c:pt>
              <c:pt idx="26">
                <c:v>Jan 29-Jan</c:v>
              </c:pt>
              <c:pt idx="27">
                <c:v>Jan 30-Jan</c:v>
              </c:pt>
              <c:pt idx="28">
                <c:v>Jan 31-Jan</c:v>
              </c:pt>
              <c:pt idx="29">
                <c:v>Feb 02-Feb</c:v>
              </c:pt>
              <c:pt idx="30">
                <c:v>Feb 03-Feb</c:v>
              </c:pt>
              <c:pt idx="31">
                <c:v>Feb 04-Feb</c:v>
              </c:pt>
              <c:pt idx="32">
                <c:v>Feb 05-Feb</c:v>
              </c:pt>
              <c:pt idx="33">
                <c:v>Feb 06-Feb</c:v>
              </c:pt>
              <c:pt idx="34">
                <c:v>Feb 07-Feb</c:v>
              </c:pt>
              <c:pt idx="35">
                <c:v>Feb 08-Feb</c:v>
              </c:pt>
              <c:pt idx="36">
                <c:v>Feb 09-Feb</c:v>
              </c:pt>
              <c:pt idx="37">
                <c:v>Feb 10-Feb</c:v>
              </c:pt>
              <c:pt idx="38">
                <c:v>Feb 11-Feb</c:v>
              </c:pt>
              <c:pt idx="39">
                <c:v>Feb 12-Feb</c:v>
              </c:pt>
              <c:pt idx="40">
                <c:v>Feb 13-Feb</c:v>
              </c:pt>
              <c:pt idx="41">
                <c:v>Feb 14-Feb</c:v>
              </c:pt>
            </c:strLit>
          </c:cat>
          <c:val>
            <c:numLit>
              <c:formatCode>General</c:formatCode>
              <c:ptCount val="42"/>
              <c:pt idx="0">
                <c:v>305</c:v>
              </c:pt>
              <c:pt idx="1">
                <c:v>165</c:v>
              </c:pt>
              <c:pt idx="2">
                <c:v>1349</c:v>
              </c:pt>
              <c:pt idx="3">
                <c:v>1520</c:v>
              </c:pt>
              <c:pt idx="4">
                <c:v>1600</c:v>
              </c:pt>
              <c:pt idx="5">
                <c:v>1225</c:v>
              </c:pt>
              <c:pt idx="6">
                <c:v>799</c:v>
              </c:pt>
              <c:pt idx="7">
                <c:v>622</c:v>
              </c:pt>
              <c:pt idx="8">
                <c:v>822</c:v>
              </c:pt>
              <c:pt idx="9">
                <c:v>780</c:v>
              </c:pt>
              <c:pt idx="10">
                <c:v>15</c:v>
              </c:pt>
              <c:pt idx="11">
                <c:v>1149</c:v>
              </c:pt>
              <c:pt idx="12">
                <c:v>1331</c:v>
              </c:pt>
              <c:pt idx="13">
                <c:v>1358</c:v>
              </c:pt>
              <c:pt idx="14">
                <c:v>581</c:v>
              </c:pt>
              <c:pt idx="15">
                <c:v>1159</c:v>
              </c:pt>
              <c:pt idx="16">
                <c:v>71</c:v>
              </c:pt>
              <c:pt idx="17">
                <c:v>1031</c:v>
              </c:pt>
              <c:pt idx="18">
                <c:v>622</c:v>
              </c:pt>
              <c:pt idx="19">
                <c:v>1512</c:v>
              </c:pt>
              <c:pt idx="20">
                <c:v>760</c:v>
              </c:pt>
              <c:pt idx="21">
                <c:v>982</c:v>
              </c:pt>
              <c:pt idx="22">
                <c:v>1189</c:v>
              </c:pt>
              <c:pt idx="23">
                <c:v>595</c:v>
              </c:pt>
              <c:pt idx="24">
                <c:v>431</c:v>
              </c:pt>
              <c:pt idx="25">
                <c:v>387</c:v>
              </c:pt>
              <c:pt idx="26">
                <c:v>679</c:v>
              </c:pt>
              <c:pt idx="27">
                <c:v>879</c:v>
              </c:pt>
              <c:pt idx="28">
                <c:v>168</c:v>
              </c:pt>
              <c:pt idx="29">
                <c:v>990</c:v>
              </c:pt>
              <c:pt idx="30">
                <c:v>1550</c:v>
              </c:pt>
              <c:pt idx="31">
                <c:v>371</c:v>
              </c:pt>
              <c:pt idx="32">
                <c:v>229</c:v>
              </c:pt>
              <c:pt idx="33">
                <c:v>1623</c:v>
              </c:pt>
              <c:pt idx="34">
                <c:v>496</c:v>
              </c:pt>
              <c:pt idx="35">
                <c:v>1463</c:v>
              </c:pt>
              <c:pt idx="36">
                <c:v>686</c:v>
              </c:pt>
              <c:pt idx="37">
                <c:v>1479</c:v>
              </c:pt>
              <c:pt idx="38">
                <c:v>1746</c:v>
              </c:pt>
              <c:pt idx="39">
                <c:v>1472</c:v>
              </c:pt>
              <c:pt idx="40">
                <c:v>1031</c:v>
              </c:pt>
              <c:pt idx="41">
                <c:v>151</c:v>
              </c:pt>
            </c:numLit>
          </c:val>
          <c:smooth val="0"/>
          <c:extLst>
            <c:ext xmlns:c16="http://schemas.microsoft.com/office/drawing/2014/chart" uri="{C3380CC4-5D6E-409C-BE32-E72D297353CC}">
              <c16:uniqueId val="{00000000-10DC-4972-A5F7-B017AD09B86C}"/>
            </c:ext>
          </c:extLst>
        </c:ser>
        <c:dLbls>
          <c:showLegendKey val="0"/>
          <c:showVal val="0"/>
          <c:showCatName val="0"/>
          <c:showSerName val="0"/>
          <c:showPercent val="0"/>
          <c:showBubbleSize val="0"/>
        </c:dLbls>
        <c:marker val="1"/>
        <c:smooth val="0"/>
        <c:axId val="79197615"/>
        <c:axId val="79183215"/>
      </c:lineChart>
      <c:catAx>
        <c:axId val="7919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9183215"/>
        <c:crosses val="autoZero"/>
        <c:auto val="1"/>
        <c:lblAlgn val="ctr"/>
        <c:lblOffset val="100"/>
        <c:noMultiLvlLbl val="0"/>
      </c:catAx>
      <c:valAx>
        <c:axId val="79183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919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70C0"/>
    </a:solidFill>
    <a:ln w="9525" cap="flat" cmpd="sng" algn="ctr">
      <a:solidFill>
        <a:srgbClr val="00B0F0"/>
      </a:solid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t>Time Slot vs Demand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Weekday</c:v>
          </c:tx>
          <c:spPr>
            <a:solidFill>
              <a:schemeClr val="accent2">
                <a:shade val="76000"/>
              </a:schemeClr>
            </a:solidFill>
            <a:ln>
              <a:noFill/>
            </a:ln>
            <a:effectLst/>
          </c:spPr>
          <c:invertIfNegative val="0"/>
          <c:cat>
            <c:strLit>
              <c:ptCount val="5"/>
              <c:pt idx="0">
                <c:v>Daytime</c:v>
              </c:pt>
              <c:pt idx="1">
                <c:v>Evening Peak</c:v>
              </c:pt>
              <c:pt idx="2">
                <c:v>Late Night</c:v>
              </c:pt>
              <c:pt idx="3">
                <c:v>Morning Peak</c:v>
              </c:pt>
              <c:pt idx="4">
                <c:v>Night</c:v>
              </c:pt>
            </c:strLit>
          </c:cat>
          <c:val>
            <c:numLit>
              <c:formatCode>General</c:formatCode>
              <c:ptCount val="5"/>
              <c:pt idx="0">
                <c:v>6694</c:v>
              </c:pt>
              <c:pt idx="1">
                <c:v>9637</c:v>
              </c:pt>
              <c:pt idx="2">
                <c:v>382</c:v>
              </c:pt>
              <c:pt idx="3">
                <c:v>7390</c:v>
              </c:pt>
              <c:pt idx="4">
                <c:v>1961</c:v>
              </c:pt>
            </c:numLit>
          </c:val>
          <c:extLst>
            <c:ext xmlns:c16="http://schemas.microsoft.com/office/drawing/2014/chart" uri="{C3380CC4-5D6E-409C-BE32-E72D297353CC}">
              <c16:uniqueId val="{00000000-C49F-434D-ADB6-1ABE1D84A62C}"/>
            </c:ext>
          </c:extLst>
        </c:ser>
        <c:ser>
          <c:idx val="1"/>
          <c:order val="1"/>
          <c:tx>
            <c:v>Weekend</c:v>
          </c:tx>
          <c:spPr>
            <a:solidFill>
              <a:schemeClr val="accent2">
                <a:tint val="77000"/>
              </a:schemeClr>
            </a:solidFill>
            <a:ln>
              <a:noFill/>
            </a:ln>
            <a:effectLst/>
          </c:spPr>
          <c:invertIfNegative val="0"/>
          <c:cat>
            <c:strLit>
              <c:ptCount val="5"/>
              <c:pt idx="0">
                <c:v>Daytime</c:v>
              </c:pt>
              <c:pt idx="1">
                <c:v>Evening Peak</c:v>
              </c:pt>
              <c:pt idx="2">
                <c:v>Late Night</c:v>
              </c:pt>
              <c:pt idx="3">
                <c:v>Morning Peak</c:v>
              </c:pt>
              <c:pt idx="4">
                <c:v>Night</c:v>
              </c:pt>
            </c:strLit>
          </c:cat>
          <c:val>
            <c:numLit>
              <c:formatCode>General</c:formatCode>
              <c:ptCount val="5"/>
              <c:pt idx="0">
                <c:v>6416</c:v>
              </c:pt>
              <c:pt idx="1">
                <c:v>2516</c:v>
              </c:pt>
              <c:pt idx="2">
                <c:v>775</c:v>
              </c:pt>
              <c:pt idx="3">
                <c:v>547</c:v>
              </c:pt>
              <c:pt idx="4">
                <c:v>1055</c:v>
              </c:pt>
            </c:numLit>
          </c:val>
          <c:extLst>
            <c:ext xmlns:c16="http://schemas.microsoft.com/office/drawing/2014/chart" uri="{C3380CC4-5D6E-409C-BE32-E72D297353CC}">
              <c16:uniqueId val="{00000001-C49F-434D-ADB6-1ABE1D84A62C}"/>
            </c:ext>
          </c:extLst>
        </c:ser>
        <c:dLbls>
          <c:showLegendKey val="0"/>
          <c:showVal val="0"/>
          <c:showCatName val="0"/>
          <c:showSerName val="0"/>
          <c:showPercent val="0"/>
          <c:showBubbleSize val="0"/>
        </c:dLbls>
        <c:gapWidth val="219"/>
        <c:overlap val="-27"/>
        <c:axId val="79164495"/>
        <c:axId val="79162095"/>
      </c:barChart>
      <c:catAx>
        <c:axId val="79164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9162095"/>
        <c:crosses val="autoZero"/>
        <c:auto val="1"/>
        <c:lblAlgn val="ctr"/>
        <c:lblOffset val="100"/>
        <c:noMultiLvlLbl val="0"/>
      </c:catAx>
      <c:valAx>
        <c:axId val="7916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916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70C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t>Weather Impact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2"/>
            </a:solidFill>
            <a:ln>
              <a:noFill/>
            </a:ln>
            <a:effectLst/>
            <a:sp3d/>
          </c:spPr>
          <c:invertIfNegative val="0"/>
          <c:cat>
            <c:strLit>
              <c:ptCount val="1"/>
              <c:pt idx="0">
                <c:v>Clear</c:v>
              </c:pt>
            </c:strLit>
          </c:cat>
          <c:val>
            <c:numLit>
              <c:formatCode>General</c:formatCode>
              <c:ptCount val="1"/>
              <c:pt idx="0">
                <c:v>37373</c:v>
              </c:pt>
            </c:numLit>
          </c:val>
          <c:extLst>
            <c:ext xmlns:c16="http://schemas.microsoft.com/office/drawing/2014/chart" uri="{C3380CC4-5D6E-409C-BE32-E72D297353CC}">
              <c16:uniqueId val="{00000000-EAF7-4434-8C3B-8C1FD8446EA2}"/>
            </c:ext>
          </c:extLst>
        </c:ser>
        <c:dLbls>
          <c:showLegendKey val="0"/>
          <c:showVal val="0"/>
          <c:showCatName val="0"/>
          <c:showSerName val="0"/>
          <c:showPercent val="0"/>
          <c:showBubbleSize val="0"/>
        </c:dLbls>
        <c:gapWidth val="150"/>
        <c:shape val="box"/>
        <c:axId val="1074246463"/>
        <c:axId val="1074254623"/>
        <c:axId val="0"/>
      </c:bar3DChart>
      <c:catAx>
        <c:axId val="1074246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4254623"/>
        <c:crosses val="autoZero"/>
        <c:auto val="1"/>
        <c:lblAlgn val="ctr"/>
        <c:lblOffset val="100"/>
        <c:noMultiLvlLbl val="0"/>
      </c:catAx>
      <c:valAx>
        <c:axId val="1074254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424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70C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a:t>Forecast for Upcoming 2 months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lotArea>
      <c:layout/>
      <c:lineChart>
        <c:grouping val="standard"/>
        <c:varyColors val="0"/>
        <c:ser>
          <c:idx val="0"/>
          <c:order val="0"/>
          <c:tx>
            <c:strRef>
              <c:f>[1]Forecast!$B$1</c:f>
              <c:strCache>
                <c:ptCount val="1"/>
                <c:pt idx="0">
                  <c:v>Cnt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[1]Forecast!$B$2:$B$96</c:f>
              <c:numCache>
                <c:formatCode>0</c:formatCode>
                <c:ptCount val="9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81EF-485A-8AFA-DB1DF60E7431}"/>
            </c:ext>
          </c:extLst>
        </c:ser>
        <c:ser>
          <c:idx val="1"/>
          <c:order val="1"/>
          <c:tx>
            <c:strRef>
              <c:f>[1]Forecast!$C$1</c:f>
              <c:strCache>
                <c:ptCount val="1"/>
                <c:pt idx="0">
                  <c:v>Forecast(Cnt)</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[1]Forecast!$A$2:$A$96</c:f>
              <c:numCache>
                <c:formatCode>m/d/yyyy</c:formatCode>
                <c:ptCount val="9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pt idx="75">
                  <c:v>40619</c:v>
                </c:pt>
                <c:pt idx="76">
                  <c:v>40620</c:v>
                </c:pt>
                <c:pt idx="77">
                  <c:v>40621</c:v>
                </c:pt>
                <c:pt idx="78">
                  <c:v>40622</c:v>
                </c:pt>
                <c:pt idx="79">
                  <c:v>40623</c:v>
                </c:pt>
                <c:pt idx="80">
                  <c:v>40624</c:v>
                </c:pt>
                <c:pt idx="81">
                  <c:v>40625</c:v>
                </c:pt>
                <c:pt idx="82">
                  <c:v>40626</c:v>
                </c:pt>
                <c:pt idx="83">
                  <c:v>40627</c:v>
                </c:pt>
                <c:pt idx="84">
                  <c:v>40628</c:v>
                </c:pt>
                <c:pt idx="85">
                  <c:v>40629</c:v>
                </c:pt>
                <c:pt idx="86">
                  <c:v>40630</c:v>
                </c:pt>
                <c:pt idx="87">
                  <c:v>40631</c:v>
                </c:pt>
                <c:pt idx="88">
                  <c:v>40632</c:v>
                </c:pt>
                <c:pt idx="89">
                  <c:v>40633</c:v>
                </c:pt>
                <c:pt idx="90">
                  <c:v>40634</c:v>
                </c:pt>
                <c:pt idx="91">
                  <c:v>40635</c:v>
                </c:pt>
                <c:pt idx="92">
                  <c:v>40636</c:v>
                </c:pt>
                <c:pt idx="93">
                  <c:v>40637</c:v>
                </c:pt>
                <c:pt idx="94">
                  <c:v>40638</c:v>
                </c:pt>
              </c:numCache>
            </c:numRef>
          </c:cat>
          <c:val>
            <c:numRef>
              <c:f>[1]Forecast!$C$2:$C$96</c:f>
              <c:numCache>
                <c:formatCode>General</c:formatCode>
                <c:ptCount val="95"/>
                <c:pt idx="44" formatCode="0">
                  <c:v>151</c:v>
                </c:pt>
                <c:pt idx="45" formatCode="0">
                  <c:v>1387.2167441635288</c:v>
                </c:pt>
                <c:pt idx="46" formatCode="0">
                  <c:v>1392.5597746183603</c:v>
                </c:pt>
                <c:pt idx="47" formatCode="0">
                  <c:v>1397.902805073192</c:v>
                </c:pt>
                <c:pt idx="48" formatCode="0">
                  <c:v>1403.2458355280237</c:v>
                </c:pt>
                <c:pt idx="49" formatCode="0">
                  <c:v>1408.5888659828554</c:v>
                </c:pt>
                <c:pt idx="50" formatCode="0">
                  <c:v>1413.9318964376871</c:v>
                </c:pt>
                <c:pt idx="51" formatCode="0">
                  <c:v>1419.2749268925186</c:v>
                </c:pt>
                <c:pt idx="52" formatCode="0">
                  <c:v>1424.6179573473503</c:v>
                </c:pt>
                <c:pt idx="53" formatCode="0">
                  <c:v>1429.960987802182</c:v>
                </c:pt>
                <c:pt idx="54" formatCode="0">
                  <c:v>1435.3040182570135</c:v>
                </c:pt>
                <c:pt idx="55" formatCode="0">
                  <c:v>1440.6470487118452</c:v>
                </c:pt>
                <c:pt idx="56" formatCode="0">
                  <c:v>1445.9900791666769</c:v>
                </c:pt>
                <c:pt idx="57" formatCode="0">
                  <c:v>1451.3331096215086</c:v>
                </c:pt>
                <c:pt idx="58" formatCode="0">
                  <c:v>1456.6761400763403</c:v>
                </c:pt>
                <c:pt idx="59" formatCode="0">
                  <c:v>1462.0191705311718</c:v>
                </c:pt>
                <c:pt idx="60" formatCode="0">
                  <c:v>1467.3622009860035</c:v>
                </c:pt>
                <c:pt idx="61" formatCode="0">
                  <c:v>1472.7052314408352</c:v>
                </c:pt>
                <c:pt idx="62" formatCode="0">
                  <c:v>1478.0482618956667</c:v>
                </c:pt>
                <c:pt idx="63" formatCode="0">
                  <c:v>1483.3912923504984</c:v>
                </c:pt>
                <c:pt idx="64" formatCode="0">
                  <c:v>1488.7343228053301</c:v>
                </c:pt>
                <c:pt idx="65" formatCode="0">
                  <c:v>1494.0773532601618</c:v>
                </c:pt>
                <c:pt idx="66" formatCode="0">
                  <c:v>1499.4203837149935</c:v>
                </c:pt>
                <c:pt idx="67" formatCode="0">
                  <c:v>1504.763414169825</c:v>
                </c:pt>
                <c:pt idx="68" formatCode="0">
                  <c:v>1510.1064446246567</c:v>
                </c:pt>
                <c:pt idx="69" formatCode="0">
                  <c:v>1515.4494750794884</c:v>
                </c:pt>
                <c:pt idx="70" formatCode="0">
                  <c:v>1520.7925055343198</c:v>
                </c:pt>
                <c:pt idx="71" formatCode="0">
                  <c:v>1526.1355359891515</c:v>
                </c:pt>
                <c:pt idx="72" formatCode="0">
                  <c:v>1531.4785664439833</c:v>
                </c:pt>
                <c:pt idx="73" formatCode="0">
                  <c:v>1536.821596898815</c:v>
                </c:pt>
                <c:pt idx="74" formatCode="0">
                  <c:v>1542.1646273536467</c:v>
                </c:pt>
                <c:pt idx="75" formatCode="0">
                  <c:v>1547.5076578084781</c:v>
                </c:pt>
                <c:pt idx="76" formatCode="0">
                  <c:v>1552.8506882633098</c:v>
                </c:pt>
                <c:pt idx="77" formatCode="0">
                  <c:v>1558.1937187181416</c:v>
                </c:pt>
                <c:pt idx="78" formatCode="0">
                  <c:v>1563.536749172973</c:v>
                </c:pt>
                <c:pt idx="79" formatCode="0">
                  <c:v>1568.8797796278047</c:v>
                </c:pt>
                <c:pt idx="80" formatCode="0">
                  <c:v>1574.2228100826364</c:v>
                </c:pt>
                <c:pt idx="81" formatCode="0">
                  <c:v>1579.5658405374681</c:v>
                </c:pt>
                <c:pt idx="82" formatCode="0">
                  <c:v>1584.9088709922999</c:v>
                </c:pt>
                <c:pt idx="83" formatCode="0">
                  <c:v>1590.2519014471313</c:v>
                </c:pt>
                <c:pt idx="84" formatCode="0">
                  <c:v>1595.594931901963</c:v>
                </c:pt>
                <c:pt idx="85" formatCode="0">
                  <c:v>1600.9379623567947</c:v>
                </c:pt>
                <c:pt idx="86" formatCode="0">
                  <c:v>1606.2809928116262</c:v>
                </c:pt>
                <c:pt idx="87" formatCode="0">
                  <c:v>1611.6240232664579</c:v>
                </c:pt>
                <c:pt idx="88" formatCode="0">
                  <c:v>1616.9670537212896</c:v>
                </c:pt>
                <c:pt idx="89" formatCode="0">
                  <c:v>1622.3100841761213</c:v>
                </c:pt>
                <c:pt idx="90" formatCode="0">
                  <c:v>1627.653114630953</c:v>
                </c:pt>
                <c:pt idx="91" formatCode="0">
                  <c:v>1632.9961450857845</c:v>
                </c:pt>
                <c:pt idx="92" formatCode="0">
                  <c:v>1638.3391755406162</c:v>
                </c:pt>
                <c:pt idx="93" formatCode="0">
                  <c:v>1643.6822059954479</c:v>
                </c:pt>
                <c:pt idx="94" formatCode="0">
                  <c:v>1649.0252364502794</c:v>
                </c:pt>
              </c:numCache>
            </c:numRef>
          </c:val>
          <c:smooth val="0"/>
          <c:extLst>
            <c:ext xmlns:c16="http://schemas.microsoft.com/office/drawing/2014/chart" uri="{C3380CC4-5D6E-409C-BE32-E72D297353CC}">
              <c16:uniqueId val="{00000001-81EF-485A-8AFA-DB1DF60E7431}"/>
            </c:ext>
          </c:extLst>
        </c:ser>
        <c:ser>
          <c:idx val="2"/>
          <c:order val="2"/>
          <c:tx>
            <c:strRef>
              <c:f>[1]Forecast!$D$1</c:f>
              <c:strCache>
                <c:ptCount val="1"/>
                <c:pt idx="0">
                  <c:v>Lower Confidence Bound(Cnt)</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numRef>
              <c:f>[1]Forecast!$A$2:$A$96</c:f>
              <c:numCache>
                <c:formatCode>m/d/yyyy</c:formatCode>
                <c:ptCount val="9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pt idx="75">
                  <c:v>40619</c:v>
                </c:pt>
                <c:pt idx="76">
                  <c:v>40620</c:v>
                </c:pt>
                <c:pt idx="77">
                  <c:v>40621</c:v>
                </c:pt>
                <c:pt idx="78">
                  <c:v>40622</c:v>
                </c:pt>
                <c:pt idx="79">
                  <c:v>40623</c:v>
                </c:pt>
                <c:pt idx="80">
                  <c:v>40624</c:v>
                </c:pt>
                <c:pt idx="81">
                  <c:v>40625</c:v>
                </c:pt>
                <c:pt idx="82">
                  <c:v>40626</c:v>
                </c:pt>
                <c:pt idx="83">
                  <c:v>40627</c:v>
                </c:pt>
                <c:pt idx="84">
                  <c:v>40628</c:v>
                </c:pt>
                <c:pt idx="85">
                  <c:v>40629</c:v>
                </c:pt>
                <c:pt idx="86">
                  <c:v>40630</c:v>
                </c:pt>
                <c:pt idx="87">
                  <c:v>40631</c:v>
                </c:pt>
                <c:pt idx="88">
                  <c:v>40632</c:v>
                </c:pt>
                <c:pt idx="89">
                  <c:v>40633</c:v>
                </c:pt>
                <c:pt idx="90">
                  <c:v>40634</c:v>
                </c:pt>
                <c:pt idx="91">
                  <c:v>40635</c:v>
                </c:pt>
                <c:pt idx="92">
                  <c:v>40636</c:v>
                </c:pt>
                <c:pt idx="93">
                  <c:v>40637</c:v>
                </c:pt>
                <c:pt idx="94">
                  <c:v>40638</c:v>
                </c:pt>
              </c:numCache>
            </c:numRef>
          </c:cat>
          <c:val>
            <c:numRef>
              <c:f>[1]Forecast!$D$2:$D$96</c:f>
              <c:numCache>
                <c:formatCode>General</c:formatCode>
                <c:ptCount val="95"/>
                <c:pt idx="44" formatCode="0">
                  <c:v>151</c:v>
                </c:pt>
                <c:pt idx="45" formatCode="0">
                  <c:v>585.50542669163815</c:v>
                </c:pt>
                <c:pt idx="46" formatCode="0">
                  <c:v>586.76970401902065</c:v>
                </c:pt>
                <c:pt idx="47" formatCode="0">
                  <c:v>587.97397139650093</c:v>
                </c:pt>
                <c:pt idx="48" formatCode="0">
                  <c:v>589.11835455358994</c:v>
                </c:pt>
                <c:pt idx="49" formatCode="0">
                  <c:v>590.2029898038752</c:v>
                </c:pt>
                <c:pt idx="50" formatCode="0">
                  <c:v>591.22802367584165</c:v>
                </c:pt>
                <c:pt idx="51" formatCode="0">
                  <c:v>592.19361254419198</c:v>
                </c:pt>
                <c:pt idx="52" formatCode="0">
                  <c:v>593.09992226226586</c:v>
                </c:pt>
                <c:pt idx="53" formatCode="0">
                  <c:v>593.94712779612632</c:v>
                </c:pt>
                <c:pt idx="54" formatCode="0">
                  <c:v>594.73541286086618</c:v>
                </c:pt>
                <c:pt idx="55" formatCode="0">
                  <c:v>595.46496955964824</c:v>
                </c:pt>
                <c:pt idx="56" formatCode="0">
                  <c:v>596.13599802596889</c:v>
                </c:pt>
                <c:pt idx="57" formatCode="0">
                  <c:v>596.74870606960815</c:v>
                </c:pt>
                <c:pt idx="58" formatCode="0">
                  <c:v>597.30330882669921</c:v>
                </c:pt>
                <c:pt idx="59" formatCode="0">
                  <c:v>597.80002841431804</c:v>
                </c:pt>
                <c:pt idx="60" formatCode="0">
                  <c:v>598.23909358997423</c:v>
                </c:pt>
                <c:pt idx="61" formatCode="0">
                  <c:v>598.62073941634264</c:v>
                </c:pt>
                <c:pt idx="62" formatCode="0">
                  <c:v>598.94520693156323</c:v>
                </c:pt>
                <c:pt idx="63" formatCode="0">
                  <c:v>599.21274282539491</c:v>
                </c:pt>
                <c:pt idx="64" formatCode="0">
                  <c:v>599.42359912148868</c:v>
                </c:pt>
                <c:pt idx="65" formatCode="0">
                  <c:v>599.578032866022</c:v>
                </c:pt>
                <c:pt idx="66" formatCode="0">
                  <c:v>599.67630582290224</c:v>
                </c:pt>
                <c:pt idx="67" formatCode="0">
                  <c:v>599.71868417572898</c:v>
                </c:pt>
                <c:pt idx="68" formatCode="0">
                  <c:v>599.70543823668027</c:v>
                </c:pt>
                <c:pt idx="69" formatCode="0">
                  <c:v>599.63684216245679</c:v>
                </c:pt>
                <c:pt idx="70" formatCode="0">
                  <c:v>599.51317367740955</c:v>
                </c:pt>
                <c:pt idx="71" formatCode="0">
                  <c:v>599.33471380394144</c:v>
                </c:pt>
                <c:pt idx="72" formatCode="0">
                  <c:v>599.10174660025814</c:v>
                </c:pt>
                <c:pt idx="73" formatCode="0">
                  <c:v>598.81455890552854</c:v>
                </c:pt>
                <c:pt idx="74" formatCode="0">
                  <c:v>598.47344009248798</c:v>
                </c:pt>
                <c:pt idx="75" formatCode="0">
                  <c:v>598.07868182750371</c:v>
                </c:pt>
                <c:pt idx="76" formatCode="0">
                  <c:v>597.63057783810996</c:v>
                </c:pt>
                <c:pt idx="77" formatCode="0">
                  <c:v>597.12942368799293</c:v>
                </c:pt>
                <c:pt idx="78" formatCode="0">
                  <c:v>596.57551655940495</c:v>
                </c:pt>
                <c:pt idx="79" formatCode="0">
                  <c:v>595.96915504296283</c:v>
                </c:pt>
                <c:pt idx="80" formatCode="0">
                  <c:v>595.3106389347754</c:v>
                </c:pt>
                <c:pt idx="81" formatCode="0">
                  <c:v>594.60026904083986</c:v>
                </c:pt>
                <c:pt idx="82" formatCode="0">
                  <c:v>593.8383469886237</c:v>
                </c:pt>
                <c:pt idx="83" formatCode="0">
                  <c:v>593.02517504574871</c:v>
                </c:pt>
                <c:pt idx="84" formatCode="0">
                  <c:v>592.16105594568342</c:v>
                </c:pt>
                <c:pt idx="85" formatCode="0">
                  <c:v>591.24629272033224</c:v>
                </c:pt>
                <c:pt idx="86" formatCode="0">
                  <c:v>590.28118853941726</c:v>
                </c:pt>
                <c:pt idx="87" formatCode="0">
                  <c:v>589.26604655653193</c:v>
                </c:pt>
                <c:pt idx="88" formatCode="0">
                  <c:v>588.20116976173676</c:v>
                </c:pt>
                <c:pt idx="89" formatCode="0">
                  <c:v>587.08686084057399</c:v>
                </c:pt>
                <c:pt idx="90" formatCode="0">
                  <c:v>585.92342203936346</c:v>
                </c:pt>
                <c:pt idx="91" formatCode="0">
                  <c:v>584.71115503664032</c:v>
                </c:pt>
                <c:pt idx="92" formatCode="0">
                  <c:v>583.45036082059391</c:v>
                </c:pt>
                <c:pt idx="93" formatCode="0">
                  <c:v>582.14133957236049</c:v>
                </c:pt>
                <c:pt idx="94" formatCode="0">
                  <c:v>580.78439055502758</c:v>
                </c:pt>
              </c:numCache>
            </c:numRef>
          </c:val>
          <c:smooth val="0"/>
          <c:extLst>
            <c:ext xmlns:c16="http://schemas.microsoft.com/office/drawing/2014/chart" uri="{C3380CC4-5D6E-409C-BE32-E72D297353CC}">
              <c16:uniqueId val="{00000002-81EF-485A-8AFA-DB1DF60E7431}"/>
            </c:ext>
          </c:extLst>
        </c:ser>
        <c:ser>
          <c:idx val="3"/>
          <c:order val="3"/>
          <c:tx>
            <c:strRef>
              <c:f>[1]Forecast!$E$1</c:f>
              <c:strCache>
                <c:ptCount val="1"/>
                <c:pt idx="0">
                  <c:v>Upper Confidence Bound(Cnt)</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none"/>
          </c:marker>
          <c:cat>
            <c:numRef>
              <c:f>[1]Forecast!$A$2:$A$96</c:f>
              <c:numCache>
                <c:formatCode>m/d/yyyy</c:formatCode>
                <c:ptCount val="9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pt idx="75">
                  <c:v>40619</c:v>
                </c:pt>
                <c:pt idx="76">
                  <c:v>40620</c:v>
                </c:pt>
                <c:pt idx="77">
                  <c:v>40621</c:v>
                </c:pt>
                <c:pt idx="78">
                  <c:v>40622</c:v>
                </c:pt>
                <c:pt idx="79">
                  <c:v>40623</c:v>
                </c:pt>
                <c:pt idx="80">
                  <c:v>40624</c:v>
                </c:pt>
                <c:pt idx="81">
                  <c:v>40625</c:v>
                </c:pt>
                <c:pt idx="82">
                  <c:v>40626</c:v>
                </c:pt>
                <c:pt idx="83">
                  <c:v>40627</c:v>
                </c:pt>
                <c:pt idx="84">
                  <c:v>40628</c:v>
                </c:pt>
                <c:pt idx="85">
                  <c:v>40629</c:v>
                </c:pt>
                <c:pt idx="86">
                  <c:v>40630</c:v>
                </c:pt>
                <c:pt idx="87">
                  <c:v>40631</c:v>
                </c:pt>
                <c:pt idx="88">
                  <c:v>40632</c:v>
                </c:pt>
                <c:pt idx="89">
                  <c:v>40633</c:v>
                </c:pt>
                <c:pt idx="90">
                  <c:v>40634</c:v>
                </c:pt>
                <c:pt idx="91">
                  <c:v>40635</c:v>
                </c:pt>
                <c:pt idx="92">
                  <c:v>40636</c:v>
                </c:pt>
                <c:pt idx="93">
                  <c:v>40637</c:v>
                </c:pt>
                <c:pt idx="94">
                  <c:v>40638</c:v>
                </c:pt>
              </c:numCache>
            </c:numRef>
          </c:cat>
          <c:val>
            <c:numRef>
              <c:f>[1]Forecast!$E$2:$E$96</c:f>
              <c:numCache>
                <c:formatCode>General</c:formatCode>
                <c:ptCount val="95"/>
                <c:pt idx="44" formatCode="0">
                  <c:v>151</c:v>
                </c:pt>
                <c:pt idx="45" formatCode="0">
                  <c:v>2188.9280616354195</c:v>
                </c:pt>
                <c:pt idx="46" formatCode="0">
                  <c:v>2198.3498452177</c:v>
                </c:pt>
                <c:pt idx="47" formatCode="0">
                  <c:v>2207.831638749883</c:v>
                </c:pt>
                <c:pt idx="48" formatCode="0">
                  <c:v>2217.3733165024573</c:v>
                </c:pt>
                <c:pt idx="49" formatCode="0">
                  <c:v>2226.9747421618358</c:v>
                </c:pt>
                <c:pt idx="50" formatCode="0">
                  <c:v>2236.6357691995327</c:v>
                </c:pt>
                <c:pt idx="51" formatCode="0">
                  <c:v>2246.3562412408451</c:v>
                </c:pt>
                <c:pt idx="52" formatCode="0">
                  <c:v>2256.1359924324347</c:v>
                </c:pt>
                <c:pt idx="53" formatCode="0">
                  <c:v>2265.9748478082374</c:v>
                </c:pt>
                <c:pt idx="54" formatCode="0">
                  <c:v>2275.8726236531606</c:v>
                </c:pt>
                <c:pt idx="55" formatCode="0">
                  <c:v>2285.8291278640422</c:v>
                </c:pt>
                <c:pt idx="56" formatCode="0">
                  <c:v>2295.8441603073848</c:v>
                </c:pt>
                <c:pt idx="57" formatCode="0">
                  <c:v>2305.9175131734091</c:v>
                </c:pt>
                <c:pt idx="58" formatCode="0">
                  <c:v>2316.0489713259813</c:v>
                </c:pt>
                <c:pt idx="59" formatCode="0">
                  <c:v>2326.2383126480254</c:v>
                </c:pt>
                <c:pt idx="60" formatCode="0">
                  <c:v>2336.4853083820326</c:v>
                </c:pt>
                <c:pt idx="61" formatCode="0">
                  <c:v>2346.7897234653278</c:v>
                </c:pt>
                <c:pt idx="62" formatCode="0">
                  <c:v>2357.1513168597703</c:v>
                </c:pt>
                <c:pt idx="63" formatCode="0">
                  <c:v>2367.5698418756019</c:v>
                </c:pt>
                <c:pt idx="64" formatCode="0">
                  <c:v>2378.0450464891715</c:v>
                </c:pt>
                <c:pt idx="65" formatCode="0">
                  <c:v>2388.5766736543014</c:v>
                </c:pt>
                <c:pt idx="66" formatCode="0">
                  <c:v>2399.1644616070848</c:v>
                </c:pt>
                <c:pt idx="67" formatCode="0">
                  <c:v>2409.808144163921</c:v>
                </c:pt>
                <c:pt idx="68" formatCode="0">
                  <c:v>2420.5074510126333</c:v>
                </c:pt>
                <c:pt idx="69" formatCode="0">
                  <c:v>2431.2621079965202</c:v>
                </c:pt>
                <c:pt idx="70" formatCode="0">
                  <c:v>2442.07183739123</c:v>
                </c:pt>
                <c:pt idx="71" formatCode="0">
                  <c:v>2452.9363581743619</c:v>
                </c:pt>
                <c:pt idx="72" formatCode="0">
                  <c:v>2463.8553862877084</c:v>
                </c:pt>
                <c:pt idx="73" formatCode="0">
                  <c:v>2474.8286348921015</c:v>
                </c:pt>
                <c:pt idx="74" formatCode="0">
                  <c:v>2485.8558146148052</c:v>
                </c:pt>
                <c:pt idx="75" formatCode="0">
                  <c:v>2496.9366337894526</c:v>
                </c:pt>
                <c:pt idx="76" formatCode="0">
                  <c:v>2508.07079868851</c:v>
                </c:pt>
                <c:pt idx="77" formatCode="0">
                  <c:v>2519.2580137482901</c:v>
                </c:pt>
                <c:pt idx="78" formatCode="0">
                  <c:v>2530.497981786541</c:v>
                </c:pt>
                <c:pt idx="79" formatCode="0">
                  <c:v>2541.7904042126465</c:v>
                </c:pt>
                <c:pt idx="80" formatCode="0">
                  <c:v>2553.1349812304975</c:v>
                </c:pt>
                <c:pt idx="81" formatCode="0">
                  <c:v>2564.5314120340963</c:v>
                </c:pt>
                <c:pt idx="82" formatCode="0">
                  <c:v>2575.9793949959758</c:v>
                </c:pt>
                <c:pt idx="83" formatCode="0">
                  <c:v>2587.478627848514</c:v>
                </c:pt>
                <c:pt idx="84" formatCode="0">
                  <c:v>2599.0288078582425</c:v>
                </c:pt>
                <c:pt idx="85" formatCode="0">
                  <c:v>2610.6296319932571</c:v>
                </c:pt>
                <c:pt idx="86" formatCode="0">
                  <c:v>2622.2807970838353</c:v>
                </c:pt>
                <c:pt idx="87" formatCode="0">
                  <c:v>2633.981999976384</c:v>
                </c:pt>
                <c:pt idx="88" formatCode="0">
                  <c:v>2645.7329376808425</c:v>
                </c:pt>
                <c:pt idx="89" formatCode="0">
                  <c:v>2657.5333075116687</c:v>
                </c:pt>
                <c:pt idx="90" formatCode="0">
                  <c:v>2669.3828072225424</c:v>
                </c:pt>
                <c:pt idx="91" formatCode="0">
                  <c:v>2681.2811351349287</c:v>
                </c:pt>
                <c:pt idx="92" formatCode="0">
                  <c:v>2693.2279902606388</c:v>
                </c:pt>
                <c:pt idx="93" formatCode="0">
                  <c:v>2705.2230724185356</c:v>
                </c:pt>
                <c:pt idx="94" formatCode="0">
                  <c:v>2717.2660823455312</c:v>
                </c:pt>
              </c:numCache>
            </c:numRef>
          </c:val>
          <c:smooth val="0"/>
          <c:extLst>
            <c:ext xmlns:c16="http://schemas.microsoft.com/office/drawing/2014/chart" uri="{C3380CC4-5D6E-409C-BE32-E72D297353CC}">
              <c16:uniqueId val="{00000003-81EF-485A-8AFA-DB1DF60E7431}"/>
            </c:ext>
          </c:extLst>
        </c:ser>
        <c:dLbls>
          <c:showLegendKey val="0"/>
          <c:showVal val="0"/>
          <c:showCatName val="0"/>
          <c:showSerName val="0"/>
          <c:showPercent val="0"/>
          <c:showBubbleSize val="0"/>
        </c:dLbls>
        <c:smooth val="0"/>
        <c:axId val="835617567"/>
        <c:axId val="835614207"/>
      </c:lineChart>
      <c:catAx>
        <c:axId val="835617567"/>
        <c:scaling>
          <c:orientation val="minMax"/>
        </c:scaling>
        <c:delete val="0"/>
        <c:axPos val="b"/>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5614207"/>
        <c:crosses val="autoZero"/>
        <c:auto val="1"/>
        <c:lblAlgn val="ctr"/>
        <c:lblOffset val="100"/>
        <c:noMultiLvlLbl val="0"/>
      </c:catAx>
      <c:valAx>
        <c:axId val="835614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5617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70C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15825</xdr:colOff>
      <xdr:row>10</xdr:row>
      <xdr:rowOff>49237</xdr:rowOff>
    </xdr:from>
    <xdr:to>
      <xdr:col>7</xdr:col>
      <xdr:colOff>550984</xdr:colOff>
      <xdr:row>25</xdr:row>
      <xdr:rowOff>49237</xdr:rowOff>
    </xdr:to>
    <xdr:graphicFrame macro="">
      <xdr:nvGraphicFramePr>
        <xdr:cNvPr id="2" name="Chart 1">
          <a:extLst>
            <a:ext uri="{FF2B5EF4-FFF2-40B4-BE49-F238E27FC236}">
              <a16:creationId xmlns:a16="http://schemas.microsoft.com/office/drawing/2014/main" id="{52DDAA35-25FE-450E-B447-52FEDB7E8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407962</xdr:colOff>
      <xdr:row>10</xdr:row>
      <xdr:rowOff>18171</xdr:rowOff>
    </xdr:from>
    <xdr:to>
      <xdr:col>16</xdr:col>
      <xdr:colOff>304799</xdr:colOff>
      <xdr:row>25</xdr:row>
      <xdr:rowOff>18171</xdr:rowOff>
    </xdr:to>
    <xdr:graphicFrame macro="">
      <xdr:nvGraphicFramePr>
        <xdr:cNvPr id="3" name="Chart 2">
          <a:extLst>
            <a:ext uri="{FF2B5EF4-FFF2-40B4-BE49-F238E27FC236}">
              <a16:creationId xmlns:a16="http://schemas.microsoft.com/office/drawing/2014/main" id="{8DE81CDA-CB54-4B0E-B121-FE38F2715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128954</xdr:colOff>
      <xdr:row>10</xdr:row>
      <xdr:rowOff>35170</xdr:rowOff>
    </xdr:from>
    <xdr:to>
      <xdr:col>24</xdr:col>
      <xdr:colOff>576189</xdr:colOff>
      <xdr:row>25</xdr:row>
      <xdr:rowOff>35169</xdr:rowOff>
    </xdr:to>
    <xdr:graphicFrame macro="">
      <xdr:nvGraphicFramePr>
        <xdr:cNvPr id="4" name="Chart 3">
          <a:extLst>
            <a:ext uri="{FF2B5EF4-FFF2-40B4-BE49-F238E27FC236}">
              <a16:creationId xmlns:a16="http://schemas.microsoft.com/office/drawing/2014/main" id="{4CDB385F-A7F0-4C2A-8AF6-FCD04D4C6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147597</xdr:colOff>
      <xdr:row>0</xdr:row>
      <xdr:rowOff>102220</xdr:rowOff>
    </xdr:from>
    <xdr:to>
      <xdr:col>18</xdr:col>
      <xdr:colOff>717690</xdr:colOff>
      <xdr:row>9</xdr:row>
      <xdr:rowOff>131770</xdr:rowOff>
    </xdr:to>
    <mc:AlternateContent xmlns:mc="http://schemas.openxmlformats.org/markup-compatibility/2006">
      <mc:Choice xmlns:a14="http://schemas.microsoft.com/office/drawing/2010/main" Requires="a14">
        <xdr:graphicFrame macro="">
          <xdr:nvGraphicFramePr>
            <xdr:cNvPr id="5" name="Month">
              <a:extLst>
                <a:ext uri="{FF2B5EF4-FFF2-40B4-BE49-F238E27FC236}">
                  <a16:creationId xmlns:a16="http://schemas.microsoft.com/office/drawing/2014/main" id="{E419C27B-A564-4338-B5E0-9FDE79BF951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4656077" y="102220"/>
              <a:ext cx="1423533" cy="16830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27876</xdr:colOff>
      <xdr:row>0</xdr:row>
      <xdr:rowOff>102220</xdr:rowOff>
    </xdr:from>
    <xdr:to>
      <xdr:col>20</xdr:col>
      <xdr:colOff>532834</xdr:colOff>
      <xdr:row>9</xdr:row>
      <xdr:rowOff>122477</xdr:rowOff>
    </xdr:to>
    <mc:AlternateContent xmlns:mc="http://schemas.openxmlformats.org/markup-compatibility/2006">
      <mc:Choice xmlns:a14="http://schemas.microsoft.com/office/drawing/2010/main" Requires="a14">
        <xdr:graphicFrame macro="">
          <xdr:nvGraphicFramePr>
            <xdr:cNvPr id="6" name="Weather">
              <a:extLst>
                <a:ext uri="{FF2B5EF4-FFF2-40B4-BE49-F238E27FC236}">
                  <a16:creationId xmlns:a16="http://schemas.microsoft.com/office/drawing/2014/main" id="{F055EE9B-7374-4BD5-968A-1CA8EC006F0E}"/>
                </a:ext>
              </a:extLst>
            </xdr:cNvP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dr:sp macro="" textlink="">
          <xdr:nvSpPr>
            <xdr:cNvPr id="0" name=""/>
            <xdr:cNvSpPr>
              <a:spLocks noTextEdit="1"/>
            </xdr:cNvSpPr>
          </xdr:nvSpPr>
          <xdr:spPr>
            <a:xfrm>
              <a:off x="16243236" y="102220"/>
              <a:ext cx="1358398" cy="1673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594729</xdr:colOff>
      <xdr:row>0</xdr:row>
      <xdr:rowOff>83636</xdr:rowOff>
    </xdr:from>
    <xdr:to>
      <xdr:col>22</xdr:col>
      <xdr:colOff>416843</xdr:colOff>
      <xdr:row>9</xdr:row>
      <xdr:rowOff>131771</xdr:rowOff>
    </xdr:to>
    <mc:AlternateContent xmlns:mc="http://schemas.openxmlformats.org/markup-compatibility/2006">
      <mc:Choice xmlns:a14="http://schemas.microsoft.com/office/drawing/2010/main" Requires="a14">
        <xdr:graphicFrame macro="">
          <xdr:nvGraphicFramePr>
            <xdr:cNvPr id="7" name="Time Slot">
              <a:extLst>
                <a:ext uri="{FF2B5EF4-FFF2-40B4-BE49-F238E27FC236}">
                  <a16:creationId xmlns:a16="http://schemas.microsoft.com/office/drawing/2014/main" id="{EC7A42F7-4B81-47AE-9F8D-73053E387D30}"/>
                </a:ext>
              </a:extLst>
            </xdr:cNvPr>
            <xdr:cNvGraphicFramePr/>
          </xdr:nvGraphicFramePr>
          <xdr:xfrm>
            <a:off x="0" y="0"/>
            <a:ext cx="0" cy="0"/>
          </xdr:xfrm>
          <a:graphic>
            <a:graphicData uri="http://schemas.microsoft.com/office/drawing/2010/slicer">
              <sle:slicer xmlns:sle="http://schemas.microsoft.com/office/drawing/2010/slicer" name="Time Slot"/>
            </a:graphicData>
          </a:graphic>
        </xdr:graphicFrame>
      </mc:Choice>
      <mc:Fallback>
        <xdr:sp macro="" textlink="">
          <xdr:nvSpPr>
            <xdr:cNvPr id="0" name=""/>
            <xdr:cNvSpPr>
              <a:spLocks noTextEdit="1"/>
            </xdr:cNvSpPr>
          </xdr:nvSpPr>
          <xdr:spPr>
            <a:xfrm>
              <a:off x="17663529" y="83636"/>
              <a:ext cx="1528994" cy="1701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613316</xdr:colOff>
      <xdr:row>0</xdr:row>
      <xdr:rowOff>74342</xdr:rowOff>
    </xdr:from>
    <xdr:to>
      <xdr:col>24</xdr:col>
      <xdr:colOff>342617</xdr:colOff>
      <xdr:row>9</xdr:row>
      <xdr:rowOff>150356</xdr:rowOff>
    </xdr:to>
    <mc:AlternateContent xmlns:mc="http://schemas.openxmlformats.org/markup-compatibility/2006">
      <mc:Choice xmlns:a14="http://schemas.microsoft.com/office/drawing/2010/main" Requires="a14">
        <xdr:graphicFrame macro="">
          <xdr:nvGraphicFramePr>
            <xdr:cNvPr id="8" name="Day Type">
              <a:extLst>
                <a:ext uri="{FF2B5EF4-FFF2-40B4-BE49-F238E27FC236}">
                  <a16:creationId xmlns:a16="http://schemas.microsoft.com/office/drawing/2014/main" id="{65B948B0-6BFE-43F8-B02E-2B1031BBA763}"/>
                </a:ext>
              </a:extLst>
            </xdr:cNvPr>
            <xdr:cNvGraphicFramePr/>
          </xdr:nvGraphicFramePr>
          <xdr:xfrm>
            <a:off x="0" y="0"/>
            <a:ext cx="0" cy="0"/>
          </xdr:xfrm>
          <a:graphic>
            <a:graphicData uri="http://schemas.microsoft.com/office/drawing/2010/slicer">
              <sle:slicer xmlns:sle="http://schemas.microsoft.com/office/drawing/2010/slicer" name="Day Type"/>
            </a:graphicData>
          </a:graphic>
        </xdr:graphicFrame>
      </mc:Choice>
      <mc:Fallback>
        <xdr:sp macro="" textlink="">
          <xdr:nvSpPr>
            <xdr:cNvPr id="0" name=""/>
            <xdr:cNvSpPr>
              <a:spLocks noTextEdit="1"/>
            </xdr:cNvSpPr>
          </xdr:nvSpPr>
          <xdr:spPr>
            <a:xfrm>
              <a:off x="19388996" y="74342"/>
              <a:ext cx="1436181" cy="1729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32</xdr:row>
      <xdr:rowOff>0</xdr:rowOff>
    </xdr:from>
    <xdr:to>
      <xdr:col>25</xdr:col>
      <xdr:colOff>73269</xdr:colOff>
      <xdr:row>53</xdr:row>
      <xdr:rowOff>29307</xdr:rowOff>
    </xdr:to>
    <xdr:graphicFrame macro="">
      <xdr:nvGraphicFramePr>
        <xdr:cNvPr id="9" name="Chart 8">
          <a:extLst>
            <a:ext uri="{FF2B5EF4-FFF2-40B4-BE49-F238E27FC236}">
              <a16:creationId xmlns:a16="http://schemas.microsoft.com/office/drawing/2014/main" id="{3D69D37F-122C-44D5-9C53-1A7772504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0</xdr:col>
          <xdr:colOff>198120</xdr:colOff>
          <xdr:row>0</xdr:row>
          <xdr:rowOff>121920</xdr:rowOff>
        </xdr:from>
        <xdr:to>
          <xdr:col>2</xdr:col>
          <xdr:colOff>0</xdr:colOff>
          <xdr:row>3</xdr:row>
          <xdr:rowOff>76200</xdr:rowOff>
        </xdr:to>
        <xdr:sp macro="" textlink="">
          <xdr:nvSpPr>
            <xdr:cNvPr id="1025" name="Button 1" hidden="1">
              <a:extLst>
                <a:ext uri="{63B3BB69-23CF-44E3-9099-C40C66FF867C}">
                  <a14:compatExt spid="_x0000_s1025"/>
                </a:ext>
                <a:ext uri="{FF2B5EF4-FFF2-40B4-BE49-F238E27FC236}">
                  <a16:creationId xmlns:a16="http://schemas.microsoft.com/office/drawing/2014/main" id="{E1B011E7-AA2B-467A-AF5A-5BCBEC4D4224}"/>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IN" sz="1100" b="0" i="0" u="none" strike="noStrike" baseline="0">
                  <a:solidFill>
                    <a:srgbClr val="000000"/>
                  </a:solidFill>
                  <a:latin typeface="Aptos Narrow"/>
                </a:rPr>
                <a:t>Refresh All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274320</xdr:colOff>
          <xdr:row>0</xdr:row>
          <xdr:rowOff>106680</xdr:rowOff>
        </xdr:from>
        <xdr:to>
          <xdr:col>4</xdr:col>
          <xdr:colOff>548640</xdr:colOff>
          <xdr:row>3</xdr:row>
          <xdr:rowOff>76200</xdr:rowOff>
        </xdr:to>
        <xdr:sp macro="" textlink="">
          <xdr:nvSpPr>
            <xdr:cNvPr id="1026" name="Button 2" hidden="1">
              <a:extLst>
                <a:ext uri="{63B3BB69-23CF-44E3-9099-C40C66FF867C}">
                  <a14:compatExt spid="_x0000_s1026"/>
                </a:ext>
                <a:ext uri="{FF2B5EF4-FFF2-40B4-BE49-F238E27FC236}">
                  <a16:creationId xmlns:a16="http://schemas.microsoft.com/office/drawing/2014/main" id="{A2A0229B-4DEF-456A-86EA-6FA4FF3438AB}"/>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IN" sz="1100" b="0" i="0" u="none" strike="noStrike" baseline="0">
                  <a:solidFill>
                    <a:srgbClr val="000000"/>
                  </a:solidFill>
                  <a:latin typeface="Aptos Narrow"/>
                </a:rPr>
                <a:t>Data Quality Check</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shwi\AppData\Local\Packages\5319275A.WhatsAppDesktop_cv1g1gvanyjgm\LocalState\sessions\269DFA86A7991A69371303A9C6E61B5485C0FA69\transfers\2026-03\Bike_Sharing_Demand_Intelligence.xlsm" TargetMode="External"/><Relationship Id="rId1" Type="http://schemas.openxmlformats.org/officeDocument/2006/relationships/externalLinkPath" Target="file:///C:\Users\ashwi\AppData\Local\Packages\5319275A.WhatsAppDesktop_cv1g1gvanyjgm\LocalState\sessions\269DFA86A7991A69371303A9C6E61B5485C0FA69\transfers\2026-03\Bike_Sharing_Demand_Intelligenc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Stat_ Analysis"/>
      <sheetName val="Forecast"/>
      <sheetName val="PT_Heatmap_Hour_Day"/>
      <sheetName val="Weather_Impact"/>
      <sheetName val="PT_Date_Trend"/>
      <sheetName val="PT_User Type"/>
      <sheetName val="Lookup_Weather"/>
      <sheetName val="Bike_Sharing_Master (2)"/>
      <sheetName val="Bike_Sharing_Master"/>
      <sheetName val="Dataset_3"/>
      <sheetName val="Dataset_2"/>
      <sheetName val="Dataset_1"/>
    </sheetNames>
    <definedNames>
      <definedName name="Data_Quality_Check"/>
      <definedName name="Refresh_All"/>
    </definedNames>
    <sheetDataSet>
      <sheetData sheetId="0"/>
      <sheetData sheetId="1"/>
      <sheetData sheetId="2">
        <row r="1">
          <cell r="B1" t="str">
            <v>Cnt</v>
          </cell>
          <cell r="C1" t="str">
            <v>Forecast(Cnt)</v>
          </cell>
          <cell r="D1" t="str">
            <v>Lower Confidence Bound(Cnt)</v>
          </cell>
          <cell r="E1" t="str">
            <v>Upper Confidence Bound(Cnt)</v>
          </cell>
        </row>
        <row r="2">
          <cell r="A2">
            <v>40544</v>
          </cell>
          <cell r="B2">
            <v>985</v>
          </cell>
        </row>
        <row r="3">
          <cell r="A3">
            <v>40545</v>
          </cell>
          <cell r="B3">
            <v>801</v>
          </cell>
        </row>
        <row r="4">
          <cell r="A4">
            <v>40546</v>
          </cell>
          <cell r="B4">
            <v>1349</v>
          </cell>
        </row>
        <row r="5">
          <cell r="A5">
            <v>40547</v>
          </cell>
          <cell r="B5">
            <v>1562</v>
          </cell>
        </row>
        <row r="6">
          <cell r="A6">
            <v>40548</v>
          </cell>
          <cell r="B6">
            <v>1600</v>
          </cell>
        </row>
        <row r="7">
          <cell r="A7">
            <v>40549</v>
          </cell>
          <cell r="B7">
            <v>1606</v>
          </cell>
        </row>
        <row r="8">
          <cell r="A8">
            <v>40550</v>
          </cell>
          <cell r="B8">
            <v>1510</v>
          </cell>
        </row>
        <row r="9">
          <cell r="A9">
            <v>40551</v>
          </cell>
          <cell r="B9">
            <v>959</v>
          </cell>
        </row>
        <row r="10">
          <cell r="A10">
            <v>40552</v>
          </cell>
          <cell r="B10">
            <v>822</v>
          </cell>
        </row>
        <row r="11">
          <cell r="A11">
            <v>40553</v>
          </cell>
          <cell r="B11">
            <v>1321</v>
          </cell>
        </row>
        <row r="12">
          <cell r="A12">
            <v>40554</v>
          </cell>
          <cell r="B12">
            <v>1263</v>
          </cell>
        </row>
        <row r="13">
          <cell r="A13">
            <v>40555</v>
          </cell>
          <cell r="B13">
            <v>1162</v>
          </cell>
        </row>
        <row r="14">
          <cell r="A14">
            <v>40556</v>
          </cell>
          <cell r="B14">
            <v>1406</v>
          </cell>
        </row>
        <row r="15">
          <cell r="A15">
            <v>40557</v>
          </cell>
          <cell r="B15">
            <v>1421</v>
          </cell>
        </row>
        <row r="16">
          <cell r="A16">
            <v>40558</v>
          </cell>
          <cell r="B16">
            <v>1248</v>
          </cell>
        </row>
        <row r="17">
          <cell r="A17">
            <v>40559</v>
          </cell>
          <cell r="B17">
            <v>1204</v>
          </cell>
        </row>
        <row r="18">
          <cell r="A18">
            <v>40560</v>
          </cell>
          <cell r="B18">
            <v>1000</v>
          </cell>
        </row>
        <row r="19">
          <cell r="A19">
            <v>40561</v>
          </cell>
          <cell r="B19">
            <v>683</v>
          </cell>
        </row>
        <row r="20">
          <cell r="A20">
            <v>40562</v>
          </cell>
          <cell r="B20">
            <v>1650</v>
          </cell>
        </row>
        <row r="21">
          <cell r="A21">
            <v>40563</v>
          </cell>
          <cell r="B21">
            <v>1927</v>
          </cell>
        </row>
        <row r="22">
          <cell r="A22">
            <v>40564</v>
          </cell>
          <cell r="B22">
            <v>1543</v>
          </cell>
        </row>
        <row r="23">
          <cell r="A23">
            <v>40565</v>
          </cell>
          <cell r="B23">
            <v>981</v>
          </cell>
        </row>
        <row r="24">
          <cell r="A24">
            <v>40566</v>
          </cell>
          <cell r="B24">
            <v>986</v>
          </cell>
        </row>
        <row r="25">
          <cell r="A25">
            <v>40567</v>
          </cell>
          <cell r="B25">
            <v>1416</v>
          </cell>
        </row>
        <row r="26">
          <cell r="A26">
            <v>40568</v>
          </cell>
          <cell r="B26">
            <v>1985</v>
          </cell>
        </row>
        <row r="27">
          <cell r="A27">
            <v>40569</v>
          </cell>
          <cell r="B27">
            <v>506</v>
          </cell>
        </row>
        <row r="28">
          <cell r="A28">
            <v>40570</v>
          </cell>
          <cell r="B28">
            <v>431</v>
          </cell>
        </row>
        <row r="29">
          <cell r="A29">
            <v>40571</v>
          </cell>
          <cell r="B29">
            <v>1167</v>
          </cell>
        </row>
        <row r="30">
          <cell r="A30">
            <v>40572</v>
          </cell>
          <cell r="B30">
            <v>1098</v>
          </cell>
        </row>
        <row r="31">
          <cell r="A31">
            <v>40573</v>
          </cell>
          <cell r="B31">
            <v>1096</v>
          </cell>
        </row>
        <row r="32">
          <cell r="A32">
            <v>40574</v>
          </cell>
          <cell r="B32">
            <v>1501</v>
          </cell>
        </row>
        <row r="33">
          <cell r="A33">
            <v>40575</v>
          </cell>
          <cell r="B33">
            <v>1360</v>
          </cell>
        </row>
        <row r="34">
          <cell r="A34">
            <v>40576</v>
          </cell>
          <cell r="B34">
            <v>1526</v>
          </cell>
        </row>
        <row r="35">
          <cell r="A35">
            <v>40577</v>
          </cell>
          <cell r="B35">
            <v>1550</v>
          </cell>
        </row>
        <row r="36">
          <cell r="A36">
            <v>40578</v>
          </cell>
          <cell r="B36">
            <v>1708</v>
          </cell>
        </row>
        <row r="37">
          <cell r="A37">
            <v>40579</v>
          </cell>
          <cell r="B37">
            <v>1005</v>
          </cell>
        </row>
        <row r="38">
          <cell r="A38">
            <v>40580</v>
          </cell>
          <cell r="B38">
            <v>1623</v>
          </cell>
        </row>
        <row r="39">
          <cell r="A39">
            <v>40581</v>
          </cell>
          <cell r="B39">
            <v>1712</v>
          </cell>
        </row>
        <row r="40">
          <cell r="A40">
            <v>40582</v>
          </cell>
          <cell r="B40">
            <v>1530</v>
          </cell>
        </row>
        <row r="41">
          <cell r="A41">
            <v>40583</v>
          </cell>
          <cell r="B41">
            <v>1605</v>
          </cell>
        </row>
        <row r="42">
          <cell r="A42">
            <v>40584</v>
          </cell>
          <cell r="B42">
            <v>1538</v>
          </cell>
        </row>
        <row r="43">
          <cell r="A43">
            <v>40585</v>
          </cell>
          <cell r="B43">
            <v>1746</v>
          </cell>
        </row>
        <row r="44">
          <cell r="A44">
            <v>40586</v>
          </cell>
          <cell r="B44">
            <v>1472</v>
          </cell>
        </row>
        <row r="45">
          <cell r="A45">
            <v>40587</v>
          </cell>
          <cell r="B45">
            <v>1589</v>
          </cell>
        </row>
        <row r="46">
          <cell r="A46">
            <v>40588</v>
          </cell>
          <cell r="B46">
            <v>151</v>
          </cell>
          <cell r="C46">
            <v>151</v>
          </cell>
          <cell r="D46">
            <v>151</v>
          </cell>
          <cell r="E46">
            <v>151</v>
          </cell>
        </row>
        <row r="47">
          <cell r="A47">
            <v>40589</v>
          </cell>
          <cell r="C47">
            <v>1387.2167441635288</v>
          </cell>
          <cell r="D47">
            <v>585.50542669163815</v>
          </cell>
          <cell r="E47">
            <v>2188.9280616354195</v>
          </cell>
        </row>
        <row r="48">
          <cell r="A48">
            <v>40590</v>
          </cell>
          <cell r="C48">
            <v>1392.5597746183603</v>
          </cell>
          <cell r="D48">
            <v>586.76970401902065</v>
          </cell>
          <cell r="E48">
            <v>2198.3498452177</v>
          </cell>
        </row>
        <row r="49">
          <cell r="A49">
            <v>40591</v>
          </cell>
          <cell r="C49">
            <v>1397.902805073192</v>
          </cell>
          <cell r="D49">
            <v>587.97397139650093</v>
          </cell>
          <cell r="E49">
            <v>2207.831638749883</v>
          </cell>
        </row>
        <row r="50">
          <cell r="A50">
            <v>40592</v>
          </cell>
          <cell r="C50">
            <v>1403.2458355280237</v>
          </cell>
          <cell r="D50">
            <v>589.11835455358994</v>
          </cell>
          <cell r="E50">
            <v>2217.3733165024573</v>
          </cell>
        </row>
        <row r="51">
          <cell r="A51">
            <v>40593</v>
          </cell>
          <cell r="C51">
            <v>1408.5888659828554</v>
          </cell>
          <cell r="D51">
            <v>590.2029898038752</v>
          </cell>
          <cell r="E51">
            <v>2226.9747421618358</v>
          </cell>
        </row>
        <row r="52">
          <cell r="A52">
            <v>40594</v>
          </cell>
          <cell r="C52">
            <v>1413.9318964376871</v>
          </cell>
          <cell r="D52">
            <v>591.22802367584165</v>
          </cell>
          <cell r="E52">
            <v>2236.6357691995327</v>
          </cell>
        </row>
        <row r="53">
          <cell r="A53">
            <v>40595</v>
          </cell>
          <cell r="C53">
            <v>1419.2749268925186</v>
          </cell>
          <cell r="D53">
            <v>592.19361254419198</v>
          </cell>
          <cell r="E53">
            <v>2246.3562412408451</v>
          </cell>
        </row>
        <row r="54">
          <cell r="A54">
            <v>40596</v>
          </cell>
          <cell r="C54">
            <v>1424.6179573473503</v>
          </cell>
          <cell r="D54">
            <v>593.09992226226586</v>
          </cell>
          <cell r="E54">
            <v>2256.1359924324347</v>
          </cell>
        </row>
        <row r="55">
          <cell r="A55">
            <v>40597</v>
          </cell>
          <cell r="C55">
            <v>1429.960987802182</v>
          </cell>
          <cell r="D55">
            <v>593.94712779612632</v>
          </cell>
          <cell r="E55">
            <v>2265.9748478082374</v>
          </cell>
        </row>
        <row r="56">
          <cell r="A56">
            <v>40598</v>
          </cell>
          <cell r="C56">
            <v>1435.3040182570135</v>
          </cell>
          <cell r="D56">
            <v>594.73541286086618</v>
          </cell>
          <cell r="E56">
            <v>2275.8726236531606</v>
          </cell>
        </row>
        <row r="57">
          <cell r="A57">
            <v>40599</v>
          </cell>
          <cell r="C57">
            <v>1440.6470487118452</v>
          </cell>
          <cell r="D57">
            <v>595.46496955964824</v>
          </cell>
          <cell r="E57">
            <v>2285.8291278640422</v>
          </cell>
        </row>
        <row r="58">
          <cell r="A58">
            <v>40600</v>
          </cell>
          <cell r="C58">
            <v>1445.9900791666769</v>
          </cell>
          <cell r="D58">
            <v>596.13599802596889</v>
          </cell>
          <cell r="E58">
            <v>2295.8441603073848</v>
          </cell>
        </row>
        <row r="59">
          <cell r="A59">
            <v>40601</v>
          </cell>
          <cell r="C59">
            <v>1451.3331096215086</v>
          </cell>
          <cell r="D59">
            <v>596.74870606960815</v>
          </cell>
          <cell r="E59">
            <v>2305.9175131734091</v>
          </cell>
        </row>
        <row r="60">
          <cell r="A60">
            <v>40602</v>
          </cell>
          <cell r="C60">
            <v>1456.6761400763403</v>
          </cell>
          <cell r="D60">
            <v>597.30330882669921</v>
          </cell>
          <cell r="E60">
            <v>2316.0489713259813</v>
          </cell>
        </row>
        <row r="61">
          <cell r="A61">
            <v>40603</v>
          </cell>
          <cell r="C61">
            <v>1462.0191705311718</v>
          </cell>
          <cell r="D61">
            <v>597.80002841431804</v>
          </cell>
          <cell r="E61">
            <v>2326.2383126480254</v>
          </cell>
        </row>
        <row r="62">
          <cell r="A62">
            <v>40604</v>
          </cell>
          <cell r="C62">
            <v>1467.3622009860035</v>
          </cell>
          <cell r="D62">
            <v>598.23909358997423</v>
          </cell>
          <cell r="E62">
            <v>2336.4853083820326</v>
          </cell>
        </row>
        <row r="63">
          <cell r="A63">
            <v>40605</v>
          </cell>
          <cell r="C63">
            <v>1472.7052314408352</v>
          </cell>
          <cell r="D63">
            <v>598.62073941634264</v>
          </cell>
          <cell r="E63">
            <v>2346.7897234653278</v>
          </cell>
        </row>
        <row r="64">
          <cell r="A64">
            <v>40606</v>
          </cell>
          <cell r="C64">
            <v>1478.0482618956667</v>
          </cell>
          <cell r="D64">
            <v>598.94520693156323</v>
          </cell>
          <cell r="E64">
            <v>2357.1513168597703</v>
          </cell>
        </row>
        <row r="65">
          <cell r="A65">
            <v>40607</v>
          </cell>
          <cell r="C65">
            <v>1483.3912923504984</v>
          </cell>
          <cell r="D65">
            <v>599.21274282539491</v>
          </cell>
          <cell r="E65">
            <v>2367.5698418756019</v>
          </cell>
        </row>
        <row r="66">
          <cell r="A66">
            <v>40608</v>
          </cell>
          <cell r="C66">
            <v>1488.7343228053301</v>
          </cell>
          <cell r="D66">
            <v>599.42359912148868</v>
          </cell>
          <cell r="E66">
            <v>2378.0450464891715</v>
          </cell>
        </row>
        <row r="67">
          <cell r="A67">
            <v>40609</v>
          </cell>
          <cell r="C67">
            <v>1494.0773532601618</v>
          </cell>
          <cell r="D67">
            <v>599.578032866022</v>
          </cell>
          <cell r="E67">
            <v>2388.5766736543014</v>
          </cell>
        </row>
        <row r="68">
          <cell r="A68">
            <v>40610</v>
          </cell>
          <cell r="C68">
            <v>1499.4203837149935</v>
          </cell>
          <cell r="D68">
            <v>599.67630582290224</v>
          </cell>
          <cell r="E68">
            <v>2399.1644616070848</v>
          </cell>
        </row>
        <row r="69">
          <cell r="A69">
            <v>40611</v>
          </cell>
          <cell r="C69">
            <v>1504.763414169825</v>
          </cell>
          <cell r="D69">
            <v>599.71868417572898</v>
          </cell>
          <cell r="E69">
            <v>2409.808144163921</v>
          </cell>
        </row>
        <row r="70">
          <cell r="A70">
            <v>40612</v>
          </cell>
          <cell r="C70">
            <v>1510.1064446246567</v>
          </cell>
          <cell r="D70">
            <v>599.70543823668027</v>
          </cell>
          <cell r="E70">
            <v>2420.5074510126333</v>
          </cell>
        </row>
        <row r="71">
          <cell r="A71">
            <v>40613</v>
          </cell>
          <cell r="C71">
            <v>1515.4494750794884</v>
          </cell>
          <cell r="D71">
            <v>599.63684216245679</v>
          </cell>
          <cell r="E71">
            <v>2431.2621079965202</v>
          </cell>
        </row>
        <row r="72">
          <cell r="A72">
            <v>40614</v>
          </cell>
          <cell r="C72">
            <v>1520.7925055343198</v>
          </cell>
          <cell r="D72">
            <v>599.51317367740955</v>
          </cell>
          <cell r="E72">
            <v>2442.07183739123</v>
          </cell>
        </row>
        <row r="73">
          <cell r="A73">
            <v>40615</v>
          </cell>
          <cell r="C73">
            <v>1526.1355359891515</v>
          </cell>
          <cell r="D73">
            <v>599.33471380394144</v>
          </cell>
          <cell r="E73">
            <v>2452.9363581743619</v>
          </cell>
        </row>
        <row r="74">
          <cell r="A74">
            <v>40616</v>
          </cell>
          <cell r="C74">
            <v>1531.4785664439833</v>
          </cell>
          <cell r="D74">
            <v>599.10174660025814</v>
          </cell>
          <cell r="E74">
            <v>2463.8553862877084</v>
          </cell>
        </row>
        <row r="75">
          <cell r="A75">
            <v>40617</v>
          </cell>
          <cell r="C75">
            <v>1536.821596898815</v>
          </cell>
          <cell r="D75">
            <v>598.81455890552854</v>
          </cell>
          <cell r="E75">
            <v>2474.8286348921015</v>
          </cell>
        </row>
        <row r="76">
          <cell r="A76">
            <v>40618</v>
          </cell>
          <cell r="C76">
            <v>1542.1646273536467</v>
          </cell>
          <cell r="D76">
            <v>598.47344009248798</v>
          </cell>
          <cell r="E76">
            <v>2485.8558146148052</v>
          </cell>
        </row>
        <row r="77">
          <cell r="A77">
            <v>40619</v>
          </cell>
          <cell r="C77">
            <v>1547.5076578084781</v>
          </cell>
          <cell r="D77">
            <v>598.07868182750371</v>
          </cell>
          <cell r="E77">
            <v>2496.9366337894526</v>
          </cell>
        </row>
        <row r="78">
          <cell r="A78">
            <v>40620</v>
          </cell>
          <cell r="C78">
            <v>1552.8506882633098</v>
          </cell>
          <cell r="D78">
            <v>597.63057783810996</v>
          </cell>
          <cell r="E78">
            <v>2508.07079868851</v>
          </cell>
        </row>
        <row r="79">
          <cell r="A79">
            <v>40621</v>
          </cell>
          <cell r="C79">
            <v>1558.1937187181416</v>
          </cell>
          <cell r="D79">
            <v>597.12942368799293</v>
          </cell>
          <cell r="E79">
            <v>2519.2580137482901</v>
          </cell>
        </row>
        <row r="80">
          <cell r="A80">
            <v>40622</v>
          </cell>
          <cell r="C80">
            <v>1563.536749172973</v>
          </cell>
          <cell r="D80">
            <v>596.57551655940495</v>
          </cell>
          <cell r="E80">
            <v>2530.497981786541</v>
          </cell>
        </row>
        <row r="81">
          <cell r="A81">
            <v>40623</v>
          </cell>
          <cell r="C81">
            <v>1568.8797796278047</v>
          </cell>
          <cell r="D81">
            <v>595.96915504296283</v>
          </cell>
          <cell r="E81">
            <v>2541.7904042126465</v>
          </cell>
        </row>
        <row r="82">
          <cell r="A82">
            <v>40624</v>
          </cell>
          <cell r="C82">
            <v>1574.2228100826364</v>
          </cell>
          <cell r="D82">
            <v>595.3106389347754</v>
          </cell>
          <cell r="E82">
            <v>2553.1349812304975</v>
          </cell>
        </row>
        <row r="83">
          <cell r="A83">
            <v>40625</v>
          </cell>
          <cell r="C83">
            <v>1579.5658405374681</v>
          </cell>
          <cell r="D83">
            <v>594.60026904083986</v>
          </cell>
          <cell r="E83">
            <v>2564.5314120340963</v>
          </cell>
        </row>
        <row r="84">
          <cell r="A84">
            <v>40626</v>
          </cell>
          <cell r="C84">
            <v>1584.9088709922999</v>
          </cell>
          <cell r="D84">
            <v>593.8383469886237</v>
          </cell>
          <cell r="E84">
            <v>2575.9793949959758</v>
          </cell>
        </row>
        <row r="85">
          <cell r="A85">
            <v>40627</v>
          </cell>
          <cell r="C85">
            <v>1590.2519014471313</v>
          </cell>
          <cell r="D85">
            <v>593.02517504574871</v>
          </cell>
          <cell r="E85">
            <v>2587.478627848514</v>
          </cell>
        </row>
        <row r="86">
          <cell r="A86">
            <v>40628</v>
          </cell>
          <cell r="C86">
            <v>1595.594931901963</v>
          </cell>
          <cell r="D86">
            <v>592.16105594568342</v>
          </cell>
          <cell r="E86">
            <v>2599.0288078582425</v>
          </cell>
        </row>
        <row r="87">
          <cell r="A87">
            <v>40629</v>
          </cell>
          <cell r="C87">
            <v>1600.9379623567947</v>
          </cell>
          <cell r="D87">
            <v>591.24629272033224</v>
          </cell>
          <cell r="E87">
            <v>2610.6296319932571</v>
          </cell>
        </row>
        <row r="88">
          <cell r="A88">
            <v>40630</v>
          </cell>
          <cell r="C88">
            <v>1606.2809928116262</v>
          </cell>
          <cell r="D88">
            <v>590.28118853941726</v>
          </cell>
          <cell r="E88">
            <v>2622.2807970838353</v>
          </cell>
        </row>
        <row r="89">
          <cell r="A89">
            <v>40631</v>
          </cell>
          <cell r="C89">
            <v>1611.6240232664579</v>
          </cell>
          <cell r="D89">
            <v>589.26604655653193</v>
          </cell>
          <cell r="E89">
            <v>2633.981999976384</v>
          </cell>
        </row>
        <row r="90">
          <cell r="A90">
            <v>40632</v>
          </cell>
          <cell r="C90">
            <v>1616.9670537212896</v>
          </cell>
          <cell r="D90">
            <v>588.20116976173676</v>
          </cell>
          <cell r="E90">
            <v>2645.7329376808425</v>
          </cell>
        </row>
        <row r="91">
          <cell r="A91">
            <v>40633</v>
          </cell>
          <cell r="C91">
            <v>1622.3100841761213</v>
          </cell>
          <cell r="D91">
            <v>587.08686084057399</v>
          </cell>
          <cell r="E91">
            <v>2657.5333075116687</v>
          </cell>
        </row>
        <row r="92">
          <cell r="A92">
            <v>40634</v>
          </cell>
          <cell r="C92">
            <v>1627.653114630953</v>
          </cell>
          <cell r="D92">
            <v>585.92342203936346</v>
          </cell>
          <cell r="E92">
            <v>2669.3828072225424</v>
          </cell>
        </row>
        <row r="93">
          <cell r="A93">
            <v>40635</v>
          </cell>
          <cell r="C93">
            <v>1632.9961450857845</v>
          </cell>
          <cell r="D93">
            <v>584.71115503664032</v>
          </cell>
          <cell r="E93">
            <v>2681.2811351349287</v>
          </cell>
        </row>
        <row r="94">
          <cell r="A94">
            <v>40636</v>
          </cell>
          <cell r="C94">
            <v>1638.3391755406162</v>
          </cell>
          <cell r="D94">
            <v>583.45036082059391</v>
          </cell>
          <cell r="E94">
            <v>2693.2279902606388</v>
          </cell>
        </row>
        <row r="95">
          <cell r="A95">
            <v>40637</v>
          </cell>
          <cell r="C95">
            <v>1643.6822059954479</v>
          </cell>
          <cell r="D95">
            <v>582.14133957236049</v>
          </cell>
          <cell r="E95">
            <v>2705.2230724185356</v>
          </cell>
        </row>
        <row r="96">
          <cell r="A96">
            <v>40638</v>
          </cell>
          <cell r="C96">
            <v>1649.0252364502794</v>
          </cell>
          <cell r="D96">
            <v>580.78439055502758</v>
          </cell>
          <cell r="E96">
            <v>2717.2660823455312</v>
          </cell>
        </row>
      </sheetData>
      <sheetData sheetId="3"/>
      <sheetData sheetId="4"/>
      <sheetData sheetId="5"/>
      <sheetData sheetId="6"/>
      <sheetData sheetId="7">
        <row r="1">
          <cell r="A1" t="str">
            <v>A</v>
          </cell>
          <cell r="B1" t="str">
            <v>B</v>
          </cell>
        </row>
        <row r="2">
          <cell r="A2">
            <v>1</v>
          </cell>
          <cell r="B2" t="str">
            <v>Clear</v>
          </cell>
        </row>
        <row r="3">
          <cell r="A3">
            <v>2</v>
          </cell>
          <cell r="B3" t="str">
            <v>Mist</v>
          </cell>
        </row>
        <row r="4">
          <cell r="A4">
            <v>3</v>
          </cell>
          <cell r="B4" t="str">
            <v>Light Rain</v>
          </cell>
        </row>
        <row r="5">
          <cell r="A5">
            <v>4</v>
          </cell>
          <cell r="B5" t="str">
            <v>Heavy Rain</v>
          </cell>
        </row>
      </sheetData>
      <sheetData sheetId="8">
        <row r="1">
          <cell r="O1" t="str">
            <v>Registered</v>
          </cell>
          <cell r="P1" t="str">
            <v>Cnt</v>
          </cell>
        </row>
        <row r="2">
          <cell r="O2">
            <v>13</v>
          </cell>
          <cell r="P2">
            <v>16</v>
          </cell>
        </row>
        <row r="3">
          <cell r="O3">
            <v>32</v>
          </cell>
          <cell r="P3">
            <v>40</v>
          </cell>
        </row>
        <row r="4">
          <cell r="O4">
            <v>27</v>
          </cell>
          <cell r="P4">
            <v>32</v>
          </cell>
        </row>
        <row r="5">
          <cell r="O5">
            <v>10</v>
          </cell>
          <cell r="P5">
            <v>13</v>
          </cell>
        </row>
        <row r="6">
          <cell r="O6">
            <v>1</v>
          </cell>
          <cell r="P6">
            <v>1</v>
          </cell>
        </row>
        <row r="7">
          <cell r="O7">
            <v>1</v>
          </cell>
          <cell r="P7">
            <v>1</v>
          </cell>
        </row>
        <row r="8">
          <cell r="O8">
            <v>0</v>
          </cell>
          <cell r="P8">
            <v>2</v>
          </cell>
        </row>
        <row r="9">
          <cell r="O9">
            <v>2</v>
          </cell>
          <cell r="P9">
            <v>3</v>
          </cell>
        </row>
        <row r="10">
          <cell r="O10">
            <v>7</v>
          </cell>
          <cell r="P10">
            <v>8</v>
          </cell>
        </row>
        <row r="11">
          <cell r="O11">
            <v>6</v>
          </cell>
          <cell r="P11">
            <v>14</v>
          </cell>
        </row>
        <row r="12">
          <cell r="O12">
            <v>24</v>
          </cell>
          <cell r="P12">
            <v>36</v>
          </cell>
        </row>
        <row r="13">
          <cell r="O13">
            <v>30</v>
          </cell>
          <cell r="P13">
            <v>56</v>
          </cell>
        </row>
        <row r="14">
          <cell r="O14">
            <v>55</v>
          </cell>
          <cell r="P14">
            <v>84</v>
          </cell>
        </row>
        <row r="15">
          <cell r="O15">
            <v>47</v>
          </cell>
          <cell r="P15">
            <v>94</v>
          </cell>
        </row>
        <row r="16">
          <cell r="O16">
            <v>71</v>
          </cell>
          <cell r="P16">
            <v>106</v>
          </cell>
        </row>
        <row r="17">
          <cell r="O17">
            <v>70</v>
          </cell>
          <cell r="P17">
            <v>110</v>
          </cell>
        </row>
        <row r="18">
          <cell r="O18">
            <v>52</v>
          </cell>
          <cell r="P18">
            <v>93</v>
          </cell>
        </row>
        <row r="19">
          <cell r="O19">
            <v>52</v>
          </cell>
          <cell r="P19">
            <v>67</v>
          </cell>
        </row>
        <row r="20">
          <cell r="O20">
            <v>26</v>
          </cell>
          <cell r="P20">
            <v>35</v>
          </cell>
        </row>
        <row r="21">
          <cell r="O21">
            <v>31</v>
          </cell>
          <cell r="P21">
            <v>37</v>
          </cell>
        </row>
        <row r="22">
          <cell r="O22">
            <v>25</v>
          </cell>
          <cell r="P22">
            <v>36</v>
          </cell>
        </row>
        <row r="23">
          <cell r="O23">
            <v>31</v>
          </cell>
          <cell r="P23">
            <v>34</v>
          </cell>
        </row>
        <row r="24">
          <cell r="O24">
            <v>17</v>
          </cell>
          <cell r="P24">
            <v>28</v>
          </cell>
        </row>
        <row r="25">
          <cell r="O25">
            <v>24</v>
          </cell>
          <cell r="P25">
            <v>39</v>
          </cell>
        </row>
        <row r="26">
          <cell r="O26">
            <v>13</v>
          </cell>
          <cell r="P26">
            <v>17</v>
          </cell>
        </row>
        <row r="27">
          <cell r="O27">
            <v>16</v>
          </cell>
          <cell r="P27">
            <v>17</v>
          </cell>
        </row>
        <row r="28">
          <cell r="O28">
            <v>8</v>
          </cell>
          <cell r="P28">
            <v>9</v>
          </cell>
        </row>
        <row r="29">
          <cell r="O29">
            <v>4</v>
          </cell>
          <cell r="P29">
            <v>6</v>
          </cell>
        </row>
        <row r="30">
          <cell r="O30">
            <v>1</v>
          </cell>
          <cell r="P30">
            <v>3</v>
          </cell>
        </row>
        <row r="31">
          <cell r="O31">
            <v>2</v>
          </cell>
          <cell r="P31">
            <v>2</v>
          </cell>
        </row>
        <row r="32">
          <cell r="O32">
            <v>1</v>
          </cell>
          <cell r="P32">
            <v>1</v>
          </cell>
        </row>
        <row r="33">
          <cell r="O33">
            <v>8</v>
          </cell>
          <cell r="P33">
            <v>8</v>
          </cell>
        </row>
        <row r="34">
          <cell r="O34">
            <v>19</v>
          </cell>
          <cell r="P34">
            <v>20</v>
          </cell>
        </row>
        <row r="35">
          <cell r="O35">
            <v>46</v>
          </cell>
          <cell r="P35">
            <v>53</v>
          </cell>
        </row>
        <row r="36">
          <cell r="O36">
            <v>54</v>
          </cell>
          <cell r="P36">
            <v>70</v>
          </cell>
        </row>
        <row r="37">
          <cell r="O37">
            <v>73</v>
          </cell>
          <cell r="P37">
            <v>93</v>
          </cell>
        </row>
        <row r="38">
          <cell r="O38">
            <v>64</v>
          </cell>
          <cell r="P38">
            <v>75</v>
          </cell>
        </row>
        <row r="39">
          <cell r="O39">
            <v>55</v>
          </cell>
          <cell r="P39">
            <v>59</v>
          </cell>
        </row>
        <row r="40">
          <cell r="O40">
            <v>55</v>
          </cell>
          <cell r="P40">
            <v>74</v>
          </cell>
        </row>
        <row r="41">
          <cell r="O41">
            <v>67</v>
          </cell>
          <cell r="P41">
            <v>76</v>
          </cell>
        </row>
        <row r="42">
          <cell r="O42">
            <v>58</v>
          </cell>
          <cell r="P42">
            <v>65</v>
          </cell>
        </row>
        <row r="43">
          <cell r="O43">
            <v>43</v>
          </cell>
          <cell r="P43">
            <v>53</v>
          </cell>
        </row>
        <row r="44">
          <cell r="O44">
            <v>29</v>
          </cell>
          <cell r="P44">
            <v>30</v>
          </cell>
        </row>
        <row r="45">
          <cell r="O45">
            <v>17</v>
          </cell>
          <cell r="P45">
            <v>22</v>
          </cell>
        </row>
        <row r="46">
          <cell r="O46">
            <v>20</v>
          </cell>
          <cell r="P46">
            <v>31</v>
          </cell>
        </row>
        <row r="47">
          <cell r="O47">
            <v>9</v>
          </cell>
          <cell r="P47">
            <v>9</v>
          </cell>
        </row>
        <row r="48">
          <cell r="O48">
            <v>8</v>
          </cell>
          <cell r="P48">
            <v>8</v>
          </cell>
        </row>
        <row r="49">
          <cell r="O49">
            <v>5</v>
          </cell>
          <cell r="P49">
            <v>5</v>
          </cell>
        </row>
        <row r="50">
          <cell r="O50">
            <v>2</v>
          </cell>
          <cell r="P50">
            <v>2</v>
          </cell>
        </row>
        <row r="51">
          <cell r="O51">
            <v>1</v>
          </cell>
          <cell r="P51">
            <v>1</v>
          </cell>
        </row>
        <row r="52">
          <cell r="O52">
            <v>3</v>
          </cell>
          <cell r="P52">
            <v>3</v>
          </cell>
        </row>
        <row r="53">
          <cell r="O53">
            <v>30</v>
          </cell>
          <cell r="P53">
            <v>30</v>
          </cell>
        </row>
        <row r="54">
          <cell r="O54">
            <v>63</v>
          </cell>
          <cell r="P54">
            <v>64</v>
          </cell>
        </row>
        <row r="55">
          <cell r="O55">
            <v>153</v>
          </cell>
          <cell r="P55">
            <v>154</v>
          </cell>
        </row>
        <row r="56">
          <cell r="O56">
            <v>81</v>
          </cell>
          <cell r="P56">
            <v>88</v>
          </cell>
        </row>
        <row r="57">
          <cell r="O57">
            <v>33</v>
          </cell>
          <cell r="P57">
            <v>44</v>
          </cell>
        </row>
        <row r="58">
          <cell r="O58">
            <v>41</v>
          </cell>
          <cell r="P58">
            <v>51</v>
          </cell>
        </row>
        <row r="59">
          <cell r="O59">
            <v>48</v>
          </cell>
          <cell r="P59">
            <v>61</v>
          </cell>
        </row>
        <row r="60">
          <cell r="O60">
            <v>53</v>
          </cell>
          <cell r="P60">
            <v>61</v>
          </cell>
        </row>
        <row r="61">
          <cell r="O61">
            <v>66</v>
          </cell>
          <cell r="P61">
            <v>77</v>
          </cell>
        </row>
        <row r="62">
          <cell r="O62">
            <v>58</v>
          </cell>
          <cell r="P62">
            <v>72</v>
          </cell>
        </row>
        <row r="63">
          <cell r="O63">
            <v>67</v>
          </cell>
          <cell r="P63">
            <v>76</v>
          </cell>
        </row>
        <row r="64">
          <cell r="O64">
            <v>146</v>
          </cell>
          <cell r="P64">
            <v>157</v>
          </cell>
        </row>
        <row r="65">
          <cell r="O65">
            <v>148</v>
          </cell>
          <cell r="P65">
            <v>157</v>
          </cell>
        </row>
        <row r="66">
          <cell r="O66">
            <v>102</v>
          </cell>
          <cell r="P66">
            <v>110</v>
          </cell>
        </row>
        <row r="67">
          <cell r="O67">
            <v>49</v>
          </cell>
          <cell r="P67">
            <v>52</v>
          </cell>
        </row>
        <row r="68">
          <cell r="O68">
            <v>49</v>
          </cell>
          <cell r="P68">
            <v>52</v>
          </cell>
        </row>
        <row r="69">
          <cell r="O69">
            <v>20</v>
          </cell>
          <cell r="P69">
            <v>20</v>
          </cell>
        </row>
        <row r="70">
          <cell r="O70">
            <v>11</v>
          </cell>
          <cell r="P70">
            <v>12</v>
          </cell>
        </row>
        <row r="71">
          <cell r="O71">
            <v>5</v>
          </cell>
          <cell r="P71">
            <v>5</v>
          </cell>
        </row>
        <row r="72">
          <cell r="O72">
            <v>2</v>
          </cell>
          <cell r="P72">
            <v>2</v>
          </cell>
        </row>
        <row r="73">
          <cell r="O73">
            <v>1</v>
          </cell>
          <cell r="P73">
            <v>1</v>
          </cell>
        </row>
        <row r="74">
          <cell r="O74">
            <v>2</v>
          </cell>
          <cell r="P74">
            <v>2</v>
          </cell>
        </row>
        <row r="75">
          <cell r="O75">
            <v>4</v>
          </cell>
          <cell r="P75">
            <v>4</v>
          </cell>
        </row>
        <row r="76">
          <cell r="O76">
            <v>36</v>
          </cell>
          <cell r="P76">
            <v>36</v>
          </cell>
        </row>
        <row r="77">
          <cell r="O77">
            <v>92</v>
          </cell>
          <cell r="P77">
            <v>94</v>
          </cell>
        </row>
        <row r="78">
          <cell r="O78">
            <v>177</v>
          </cell>
          <cell r="P78">
            <v>179</v>
          </cell>
        </row>
        <row r="79">
          <cell r="O79">
            <v>98</v>
          </cell>
          <cell r="P79">
            <v>100</v>
          </cell>
        </row>
        <row r="80">
          <cell r="O80">
            <v>37</v>
          </cell>
          <cell r="P80">
            <v>42</v>
          </cell>
        </row>
        <row r="81">
          <cell r="O81">
            <v>50</v>
          </cell>
          <cell r="P81">
            <v>57</v>
          </cell>
        </row>
        <row r="82">
          <cell r="O82">
            <v>66</v>
          </cell>
          <cell r="P82">
            <v>78</v>
          </cell>
        </row>
        <row r="83">
          <cell r="O83">
            <v>79</v>
          </cell>
          <cell r="P83">
            <v>97</v>
          </cell>
        </row>
        <row r="84">
          <cell r="O84">
            <v>54</v>
          </cell>
          <cell r="P84">
            <v>63</v>
          </cell>
        </row>
        <row r="85">
          <cell r="O85">
            <v>48</v>
          </cell>
          <cell r="P85">
            <v>65</v>
          </cell>
        </row>
        <row r="86">
          <cell r="O86">
            <v>68</v>
          </cell>
          <cell r="P86">
            <v>83</v>
          </cell>
        </row>
        <row r="87">
          <cell r="O87">
            <v>202</v>
          </cell>
          <cell r="P87">
            <v>212</v>
          </cell>
        </row>
        <row r="88">
          <cell r="O88">
            <v>179</v>
          </cell>
          <cell r="P88">
            <v>182</v>
          </cell>
        </row>
        <row r="89">
          <cell r="O89">
            <v>110</v>
          </cell>
          <cell r="P89">
            <v>112</v>
          </cell>
        </row>
        <row r="90">
          <cell r="O90">
            <v>53</v>
          </cell>
          <cell r="P90">
            <v>54</v>
          </cell>
        </row>
        <row r="91">
          <cell r="O91">
            <v>48</v>
          </cell>
          <cell r="P91">
            <v>48</v>
          </cell>
        </row>
        <row r="92">
          <cell r="O92">
            <v>34</v>
          </cell>
          <cell r="P92">
            <v>35</v>
          </cell>
        </row>
        <row r="93">
          <cell r="O93">
            <v>9</v>
          </cell>
          <cell r="P93">
            <v>11</v>
          </cell>
        </row>
        <row r="94">
          <cell r="O94">
            <v>6</v>
          </cell>
          <cell r="P94">
            <v>6</v>
          </cell>
        </row>
        <row r="95">
          <cell r="O95">
            <v>6</v>
          </cell>
          <cell r="P95">
            <v>6</v>
          </cell>
        </row>
        <row r="96">
          <cell r="O96">
            <v>2</v>
          </cell>
          <cell r="P96">
            <v>2</v>
          </cell>
        </row>
        <row r="97">
          <cell r="O97">
            <v>2</v>
          </cell>
          <cell r="P97">
            <v>2</v>
          </cell>
        </row>
        <row r="98">
          <cell r="O98">
            <v>3</v>
          </cell>
          <cell r="P98">
            <v>3</v>
          </cell>
        </row>
        <row r="99">
          <cell r="O99">
            <v>33</v>
          </cell>
          <cell r="P99">
            <v>33</v>
          </cell>
        </row>
        <row r="100">
          <cell r="O100">
            <v>87</v>
          </cell>
          <cell r="P100">
            <v>88</v>
          </cell>
        </row>
        <row r="101">
          <cell r="O101">
            <v>192</v>
          </cell>
          <cell r="P101">
            <v>195</v>
          </cell>
        </row>
        <row r="102">
          <cell r="O102">
            <v>109</v>
          </cell>
          <cell r="P102">
            <v>115</v>
          </cell>
        </row>
        <row r="103">
          <cell r="O103">
            <v>53</v>
          </cell>
          <cell r="P103">
            <v>57</v>
          </cell>
        </row>
        <row r="104">
          <cell r="O104">
            <v>34</v>
          </cell>
          <cell r="P104">
            <v>46</v>
          </cell>
        </row>
        <row r="105">
          <cell r="O105">
            <v>74</v>
          </cell>
          <cell r="P105">
            <v>79</v>
          </cell>
        </row>
        <row r="106">
          <cell r="O106">
            <v>65</v>
          </cell>
          <cell r="P106">
            <v>71</v>
          </cell>
        </row>
        <row r="107">
          <cell r="O107">
            <v>52</v>
          </cell>
          <cell r="P107">
            <v>62</v>
          </cell>
        </row>
        <row r="108">
          <cell r="O108">
            <v>55</v>
          </cell>
          <cell r="P108">
            <v>62</v>
          </cell>
        </row>
        <row r="109">
          <cell r="O109">
            <v>85</v>
          </cell>
          <cell r="P109">
            <v>89</v>
          </cell>
        </row>
        <row r="110">
          <cell r="O110">
            <v>186</v>
          </cell>
          <cell r="P110">
            <v>190</v>
          </cell>
        </row>
        <row r="111">
          <cell r="O111">
            <v>166</v>
          </cell>
          <cell r="P111">
            <v>169</v>
          </cell>
        </row>
        <row r="112">
          <cell r="O112">
            <v>127</v>
          </cell>
          <cell r="P112">
            <v>132</v>
          </cell>
        </row>
        <row r="113">
          <cell r="O113">
            <v>82</v>
          </cell>
          <cell r="P113">
            <v>89</v>
          </cell>
        </row>
        <row r="114">
          <cell r="O114">
            <v>40</v>
          </cell>
          <cell r="P114">
            <v>43</v>
          </cell>
        </row>
        <row r="115">
          <cell r="O115">
            <v>41</v>
          </cell>
          <cell r="P115">
            <v>42</v>
          </cell>
        </row>
        <row r="116">
          <cell r="O116">
            <v>18</v>
          </cell>
          <cell r="P116">
            <v>19</v>
          </cell>
        </row>
        <row r="117">
          <cell r="O117">
            <v>11</v>
          </cell>
          <cell r="P117">
            <v>11</v>
          </cell>
        </row>
        <row r="118">
          <cell r="O118">
            <v>4</v>
          </cell>
          <cell r="P118">
            <v>4</v>
          </cell>
        </row>
        <row r="119">
          <cell r="O119">
            <v>2</v>
          </cell>
          <cell r="P119">
            <v>2</v>
          </cell>
        </row>
        <row r="120">
          <cell r="O120">
            <v>1</v>
          </cell>
          <cell r="P120">
            <v>1</v>
          </cell>
        </row>
        <row r="121">
          <cell r="O121">
            <v>4</v>
          </cell>
          <cell r="P121">
            <v>4</v>
          </cell>
        </row>
        <row r="122">
          <cell r="O122">
            <v>36</v>
          </cell>
          <cell r="P122">
            <v>36</v>
          </cell>
        </row>
        <row r="123">
          <cell r="O123">
            <v>95</v>
          </cell>
          <cell r="P123">
            <v>95</v>
          </cell>
        </row>
        <row r="124">
          <cell r="O124">
            <v>216</v>
          </cell>
          <cell r="P124">
            <v>219</v>
          </cell>
        </row>
        <row r="125">
          <cell r="O125">
            <v>116</v>
          </cell>
          <cell r="P125">
            <v>122</v>
          </cell>
        </row>
        <row r="126">
          <cell r="O126">
            <v>42</v>
          </cell>
          <cell r="P126">
            <v>45</v>
          </cell>
        </row>
        <row r="127">
          <cell r="O127">
            <v>57</v>
          </cell>
          <cell r="P127">
            <v>59</v>
          </cell>
        </row>
        <row r="128">
          <cell r="O128">
            <v>78</v>
          </cell>
          <cell r="P128">
            <v>84</v>
          </cell>
        </row>
        <row r="129">
          <cell r="O129">
            <v>55</v>
          </cell>
          <cell r="P129">
            <v>67</v>
          </cell>
        </row>
        <row r="130">
          <cell r="O130">
            <v>59</v>
          </cell>
          <cell r="P130">
            <v>70</v>
          </cell>
        </row>
        <row r="131">
          <cell r="O131">
            <v>54</v>
          </cell>
          <cell r="P131">
            <v>62</v>
          </cell>
        </row>
        <row r="132">
          <cell r="O132">
            <v>74</v>
          </cell>
          <cell r="P132">
            <v>86</v>
          </cell>
        </row>
        <row r="133">
          <cell r="O133">
            <v>163</v>
          </cell>
          <cell r="P133">
            <v>172</v>
          </cell>
        </row>
        <row r="134">
          <cell r="O134">
            <v>158</v>
          </cell>
          <cell r="P134">
            <v>163</v>
          </cell>
        </row>
        <row r="135">
          <cell r="O135">
            <v>109</v>
          </cell>
          <cell r="P135">
            <v>112</v>
          </cell>
        </row>
        <row r="136">
          <cell r="O136">
            <v>66</v>
          </cell>
          <cell r="P136">
            <v>69</v>
          </cell>
        </row>
        <row r="137">
          <cell r="O137">
            <v>48</v>
          </cell>
          <cell r="P137">
            <v>48</v>
          </cell>
        </row>
        <row r="138">
          <cell r="O138">
            <v>51</v>
          </cell>
          <cell r="P138">
            <v>52</v>
          </cell>
        </row>
        <row r="139">
          <cell r="O139">
            <v>19</v>
          </cell>
          <cell r="P139">
            <v>23</v>
          </cell>
        </row>
        <row r="140">
          <cell r="O140">
            <v>13</v>
          </cell>
          <cell r="P140">
            <v>17</v>
          </cell>
        </row>
        <row r="141">
          <cell r="O141">
            <v>5</v>
          </cell>
          <cell r="P141">
            <v>7</v>
          </cell>
        </row>
        <row r="142">
          <cell r="O142">
            <v>1</v>
          </cell>
          <cell r="P142">
            <v>1</v>
          </cell>
        </row>
        <row r="143">
          <cell r="O143">
            <v>1</v>
          </cell>
          <cell r="P143">
            <v>1</v>
          </cell>
        </row>
        <row r="144">
          <cell r="O144">
            <v>5</v>
          </cell>
          <cell r="P144">
            <v>5</v>
          </cell>
        </row>
        <row r="145">
          <cell r="O145">
            <v>26</v>
          </cell>
          <cell r="P145">
            <v>34</v>
          </cell>
        </row>
        <row r="146">
          <cell r="O146">
            <v>76</v>
          </cell>
          <cell r="P146">
            <v>84</v>
          </cell>
        </row>
        <row r="147">
          <cell r="O147">
            <v>190</v>
          </cell>
          <cell r="P147">
            <v>210</v>
          </cell>
        </row>
        <row r="148">
          <cell r="O148">
            <v>125</v>
          </cell>
          <cell r="P148">
            <v>134</v>
          </cell>
        </row>
        <row r="149">
          <cell r="O149">
            <v>47</v>
          </cell>
          <cell r="P149">
            <v>63</v>
          </cell>
        </row>
        <row r="150">
          <cell r="O150">
            <v>48</v>
          </cell>
          <cell r="P150">
            <v>67</v>
          </cell>
        </row>
        <row r="151">
          <cell r="O151">
            <v>50</v>
          </cell>
          <cell r="P151">
            <v>59</v>
          </cell>
        </row>
        <row r="152">
          <cell r="O152">
            <v>64</v>
          </cell>
          <cell r="P152">
            <v>73</v>
          </cell>
        </row>
        <row r="153">
          <cell r="O153">
            <v>43</v>
          </cell>
          <cell r="P153">
            <v>50</v>
          </cell>
        </row>
        <row r="154">
          <cell r="O154">
            <v>63</v>
          </cell>
          <cell r="P154">
            <v>72</v>
          </cell>
        </row>
        <row r="155">
          <cell r="O155">
            <v>82</v>
          </cell>
          <cell r="P155">
            <v>87</v>
          </cell>
        </row>
        <row r="156">
          <cell r="O156">
            <v>178</v>
          </cell>
          <cell r="P156">
            <v>187</v>
          </cell>
        </row>
        <row r="157">
          <cell r="O157">
            <v>116</v>
          </cell>
          <cell r="P157">
            <v>123</v>
          </cell>
        </row>
        <row r="158">
          <cell r="O158">
            <v>92</v>
          </cell>
          <cell r="P158">
            <v>95</v>
          </cell>
        </row>
        <row r="159">
          <cell r="O159">
            <v>50</v>
          </cell>
          <cell r="P159">
            <v>51</v>
          </cell>
        </row>
        <row r="160">
          <cell r="O160">
            <v>39</v>
          </cell>
          <cell r="P160">
            <v>39</v>
          </cell>
        </row>
        <row r="161">
          <cell r="O161">
            <v>34</v>
          </cell>
          <cell r="P161">
            <v>36</v>
          </cell>
        </row>
        <row r="162">
          <cell r="O162">
            <v>14</v>
          </cell>
          <cell r="P162">
            <v>15</v>
          </cell>
        </row>
        <row r="163">
          <cell r="O163">
            <v>24</v>
          </cell>
          <cell r="P163">
            <v>25</v>
          </cell>
        </row>
        <row r="164">
          <cell r="O164">
            <v>15</v>
          </cell>
          <cell r="P164">
            <v>16</v>
          </cell>
        </row>
        <row r="165">
          <cell r="O165">
            <v>13</v>
          </cell>
          <cell r="P165">
            <v>16</v>
          </cell>
        </row>
        <row r="166">
          <cell r="O166">
            <v>7</v>
          </cell>
          <cell r="P166">
            <v>7</v>
          </cell>
        </row>
        <row r="167">
          <cell r="O167">
            <v>1</v>
          </cell>
          <cell r="P167">
            <v>1</v>
          </cell>
        </row>
        <row r="168">
          <cell r="O168">
            <v>5</v>
          </cell>
          <cell r="P168">
            <v>5</v>
          </cell>
        </row>
        <row r="169">
          <cell r="O169">
            <v>2</v>
          </cell>
          <cell r="P169">
            <v>2</v>
          </cell>
        </row>
        <row r="170">
          <cell r="O170">
            <v>8</v>
          </cell>
          <cell r="P170">
            <v>9</v>
          </cell>
        </row>
        <row r="171">
          <cell r="O171">
            <v>15</v>
          </cell>
          <cell r="P171">
            <v>15</v>
          </cell>
        </row>
        <row r="172">
          <cell r="O172">
            <v>20</v>
          </cell>
          <cell r="P172">
            <v>20</v>
          </cell>
        </row>
        <row r="173">
          <cell r="O173">
            <v>56</v>
          </cell>
          <cell r="P173">
            <v>61</v>
          </cell>
        </row>
        <row r="174">
          <cell r="O174">
            <v>60</v>
          </cell>
          <cell r="P174">
            <v>62</v>
          </cell>
        </row>
        <row r="175">
          <cell r="O175">
            <v>90</v>
          </cell>
          <cell r="P175">
            <v>98</v>
          </cell>
        </row>
        <row r="176">
          <cell r="O176">
            <v>95</v>
          </cell>
          <cell r="P176">
            <v>102</v>
          </cell>
        </row>
        <row r="177">
          <cell r="O177">
            <v>83</v>
          </cell>
          <cell r="P177">
            <v>95</v>
          </cell>
        </row>
        <row r="178">
          <cell r="O178">
            <v>69</v>
          </cell>
          <cell r="P178">
            <v>74</v>
          </cell>
        </row>
        <row r="179">
          <cell r="O179">
            <v>68</v>
          </cell>
          <cell r="P179">
            <v>76</v>
          </cell>
        </row>
        <row r="180">
          <cell r="O180">
            <v>64</v>
          </cell>
          <cell r="P180">
            <v>69</v>
          </cell>
        </row>
        <row r="181">
          <cell r="O181">
            <v>52</v>
          </cell>
          <cell r="P181">
            <v>55</v>
          </cell>
        </row>
        <row r="182">
          <cell r="O182">
            <v>26</v>
          </cell>
          <cell r="P182">
            <v>30</v>
          </cell>
        </row>
        <row r="183">
          <cell r="O183">
            <v>28</v>
          </cell>
          <cell r="P183">
            <v>28</v>
          </cell>
        </row>
        <row r="184">
          <cell r="O184">
            <v>35</v>
          </cell>
          <cell r="P184">
            <v>37</v>
          </cell>
        </row>
        <row r="185">
          <cell r="O185">
            <v>33</v>
          </cell>
          <cell r="P185">
            <v>34</v>
          </cell>
        </row>
        <row r="186">
          <cell r="O186">
            <v>22</v>
          </cell>
          <cell r="P186">
            <v>22</v>
          </cell>
        </row>
        <row r="187">
          <cell r="O187">
            <v>24</v>
          </cell>
          <cell r="P187">
            <v>25</v>
          </cell>
        </row>
        <row r="188">
          <cell r="O188">
            <v>12</v>
          </cell>
          <cell r="P188">
            <v>12</v>
          </cell>
        </row>
        <row r="189">
          <cell r="O189">
            <v>11</v>
          </cell>
          <cell r="P189">
            <v>11</v>
          </cell>
        </row>
        <row r="190">
          <cell r="O190">
            <v>4</v>
          </cell>
          <cell r="P190">
            <v>4</v>
          </cell>
        </row>
        <row r="191">
          <cell r="O191">
            <v>1</v>
          </cell>
          <cell r="P191">
            <v>1</v>
          </cell>
        </row>
        <row r="192">
          <cell r="O192">
            <v>1</v>
          </cell>
          <cell r="P192">
            <v>1</v>
          </cell>
        </row>
        <row r="193">
          <cell r="O193">
            <v>1</v>
          </cell>
          <cell r="P193">
            <v>1</v>
          </cell>
        </row>
        <row r="194">
          <cell r="O194">
            <v>5</v>
          </cell>
          <cell r="P194">
            <v>6</v>
          </cell>
        </row>
        <row r="195">
          <cell r="O195">
            <v>10</v>
          </cell>
          <cell r="P195">
            <v>10</v>
          </cell>
        </row>
        <row r="196">
          <cell r="O196">
            <v>19</v>
          </cell>
          <cell r="P196">
            <v>19</v>
          </cell>
        </row>
        <row r="197">
          <cell r="O197">
            <v>49</v>
          </cell>
          <cell r="P197">
            <v>49</v>
          </cell>
        </row>
        <row r="198">
          <cell r="O198">
            <v>47</v>
          </cell>
          <cell r="P198">
            <v>49</v>
          </cell>
        </row>
        <row r="199">
          <cell r="O199">
            <v>79</v>
          </cell>
          <cell r="P199">
            <v>83</v>
          </cell>
        </row>
        <row r="200">
          <cell r="O200">
            <v>69</v>
          </cell>
          <cell r="P200">
            <v>75</v>
          </cell>
        </row>
        <row r="201">
          <cell r="O201">
            <v>64</v>
          </cell>
          <cell r="P201">
            <v>72</v>
          </cell>
        </row>
        <row r="202">
          <cell r="O202">
            <v>77</v>
          </cell>
          <cell r="P202">
            <v>82</v>
          </cell>
        </row>
        <row r="203">
          <cell r="O203">
            <v>79</v>
          </cell>
          <cell r="P203">
            <v>92</v>
          </cell>
        </row>
        <row r="204">
          <cell r="O204">
            <v>59</v>
          </cell>
          <cell r="P204">
            <v>62</v>
          </cell>
        </row>
        <row r="205">
          <cell r="O205">
            <v>44</v>
          </cell>
          <cell r="P205">
            <v>48</v>
          </cell>
        </row>
        <row r="206">
          <cell r="O206">
            <v>40</v>
          </cell>
          <cell r="P206">
            <v>41</v>
          </cell>
        </row>
        <row r="207">
          <cell r="O207">
            <v>38</v>
          </cell>
          <cell r="P207">
            <v>38</v>
          </cell>
        </row>
        <row r="208">
          <cell r="O208">
            <v>19</v>
          </cell>
          <cell r="P208">
            <v>20</v>
          </cell>
        </row>
        <row r="209">
          <cell r="O209">
            <v>10</v>
          </cell>
          <cell r="P209">
            <v>15</v>
          </cell>
        </row>
        <row r="210">
          <cell r="O210">
            <v>6</v>
          </cell>
          <cell r="P210">
            <v>6</v>
          </cell>
        </row>
        <row r="211">
          <cell r="O211">
            <v>3</v>
          </cell>
          <cell r="P211">
            <v>5</v>
          </cell>
        </row>
        <row r="212">
          <cell r="O212">
            <v>0</v>
          </cell>
          <cell r="P212">
            <v>1</v>
          </cell>
        </row>
        <row r="213">
          <cell r="O213">
            <v>3</v>
          </cell>
          <cell r="P213">
            <v>3</v>
          </cell>
        </row>
        <row r="214">
          <cell r="O214">
            <v>1</v>
          </cell>
          <cell r="P214">
            <v>1</v>
          </cell>
        </row>
        <row r="215">
          <cell r="O215">
            <v>2</v>
          </cell>
          <cell r="P215">
            <v>3</v>
          </cell>
        </row>
        <row r="216">
          <cell r="O216">
            <v>3</v>
          </cell>
          <cell r="P216">
            <v>3</v>
          </cell>
        </row>
        <row r="217">
          <cell r="O217">
            <v>31</v>
          </cell>
          <cell r="P217">
            <v>31</v>
          </cell>
        </row>
        <row r="218">
          <cell r="O218">
            <v>75</v>
          </cell>
          <cell r="P218">
            <v>77</v>
          </cell>
        </row>
        <row r="219">
          <cell r="O219">
            <v>184</v>
          </cell>
          <cell r="P219">
            <v>188</v>
          </cell>
        </row>
        <row r="220">
          <cell r="O220">
            <v>92</v>
          </cell>
          <cell r="P220">
            <v>94</v>
          </cell>
        </row>
        <row r="221">
          <cell r="O221">
            <v>31</v>
          </cell>
          <cell r="P221">
            <v>31</v>
          </cell>
        </row>
        <row r="222">
          <cell r="O222">
            <v>28</v>
          </cell>
          <cell r="P222">
            <v>30</v>
          </cell>
        </row>
        <row r="223">
          <cell r="O223">
            <v>47</v>
          </cell>
          <cell r="P223">
            <v>52</v>
          </cell>
        </row>
        <row r="224">
          <cell r="O224">
            <v>50</v>
          </cell>
          <cell r="P224">
            <v>54</v>
          </cell>
        </row>
        <row r="225">
          <cell r="O225">
            <v>47</v>
          </cell>
          <cell r="P225">
            <v>47</v>
          </cell>
        </row>
        <row r="226">
          <cell r="O226">
            <v>43</v>
          </cell>
          <cell r="P226">
            <v>45</v>
          </cell>
        </row>
        <row r="227">
          <cell r="O227">
            <v>70</v>
          </cell>
          <cell r="P227">
            <v>74</v>
          </cell>
        </row>
        <row r="228">
          <cell r="O228">
            <v>174</v>
          </cell>
          <cell r="P228">
            <v>178</v>
          </cell>
        </row>
        <row r="229">
          <cell r="O229">
            <v>154</v>
          </cell>
          <cell r="P229">
            <v>155</v>
          </cell>
        </row>
        <row r="230">
          <cell r="O230">
            <v>92</v>
          </cell>
          <cell r="P230">
            <v>95</v>
          </cell>
        </row>
        <row r="231">
          <cell r="O231">
            <v>73</v>
          </cell>
          <cell r="P231">
            <v>74</v>
          </cell>
        </row>
        <row r="232">
          <cell r="O232">
            <v>37</v>
          </cell>
          <cell r="P232">
            <v>38</v>
          </cell>
        </row>
        <row r="233">
          <cell r="O233">
            <v>22</v>
          </cell>
          <cell r="P233">
            <v>24</v>
          </cell>
        </row>
        <row r="234">
          <cell r="O234">
            <v>18</v>
          </cell>
          <cell r="P234">
            <v>18</v>
          </cell>
        </row>
        <row r="235">
          <cell r="O235">
            <v>10</v>
          </cell>
          <cell r="P235">
            <v>12</v>
          </cell>
        </row>
        <row r="236">
          <cell r="O236">
            <v>3</v>
          </cell>
          <cell r="P236">
            <v>3</v>
          </cell>
        </row>
        <row r="237">
          <cell r="O237">
            <v>3</v>
          </cell>
          <cell r="P237">
            <v>3</v>
          </cell>
        </row>
        <row r="238">
          <cell r="O238">
            <v>6</v>
          </cell>
          <cell r="P238">
            <v>6</v>
          </cell>
        </row>
        <row r="239">
          <cell r="O239">
            <v>27</v>
          </cell>
          <cell r="P239">
            <v>27</v>
          </cell>
        </row>
        <row r="240">
          <cell r="O240">
            <v>97</v>
          </cell>
          <cell r="P240">
            <v>99</v>
          </cell>
        </row>
        <row r="241">
          <cell r="O241">
            <v>214</v>
          </cell>
          <cell r="P241">
            <v>217</v>
          </cell>
        </row>
        <row r="242">
          <cell r="O242">
            <v>127</v>
          </cell>
          <cell r="P242">
            <v>130</v>
          </cell>
        </row>
        <row r="243">
          <cell r="O243">
            <v>51</v>
          </cell>
          <cell r="P243">
            <v>54</v>
          </cell>
        </row>
        <row r="244">
          <cell r="O244">
            <v>31</v>
          </cell>
          <cell r="P244">
            <v>35</v>
          </cell>
        </row>
        <row r="245">
          <cell r="O245">
            <v>55</v>
          </cell>
          <cell r="P245">
            <v>57</v>
          </cell>
        </row>
        <row r="246">
          <cell r="O246">
            <v>46</v>
          </cell>
          <cell r="P246">
            <v>52</v>
          </cell>
        </row>
        <row r="247">
          <cell r="O247">
            <v>60</v>
          </cell>
          <cell r="P247">
            <v>63</v>
          </cell>
        </row>
        <row r="248">
          <cell r="O248">
            <v>45</v>
          </cell>
          <cell r="P248">
            <v>47</v>
          </cell>
        </row>
        <row r="249">
          <cell r="O249">
            <v>72</v>
          </cell>
          <cell r="P249">
            <v>76</v>
          </cell>
        </row>
        <row r="250">
          <cell r="O250">
            <v>130</v>
          </cell>
          <cell r="P250">
            <v>136</v>
          </cell>
        </row>
        <row r="251">
          <cell r="O251">
            <v>94</v>
          </cell>
          <cell r="P251">
            <v>95</v>
          </cell>
        </row>
        <row r="252">
          <cell r="O252">
            <v>51</v>
          </cell>
          <cell r="P252">
            <v>51</v>
          </cell>
        </row>
        <row r="253">
          <cell r="O253">
            <v>32</v>
          </cell>
          <cell r="P253">
            <v>32</v>
          </cell>
        </row>
        <row r="254">
          <cell r="O254">
            <v>20</v>
          </cell>
          <cell r="P254">
            <v>20</v>
          </cell>
        </row>
        <row r="255">
          <cell r="O255">
            <v>28</v>
          </cell>
          <cell r="P255">
            <v>29</v>
          </cell>
        </row>
        <row r="256">
          <cell r="O256">
            <v>18</v>
          </cell>
          <cell r="P256">
            <v>19</v>
          </cell>
        </row>
        <row r="257">
          <cell r="O257">
            <v>7</v>
          </cell>
          <cell r="P257">
            <v>7</v>
          </cell>
        </row>
        <row r="258">
          <cell r="O258">
            <v>6</v>
          </cell>
          <cell r="P258">
            <v>6</v>
          </cell>
        </row>
        <row r="259">
          <cell r="O259">
            <v>1</v>
          </cell>
          <cell r="P259">
            <v>1</v>
          </cell>
        </row>
        <row r="260">
          <cell r="O260">
            <v>5</v>
          </cell>
          <cell r="P260">
            <v>5</v>
          </cell>
        </row>
        <row r="261">
          <cell r="O261">
            <v>16</v>
          </cell>
          <cell r="P261">
            <v>16</v>
          </cell>
        </row>
        <row r="262">
          <cell r="O262">
            <v>54</v>
          </cell>
          <cell r="P262">
            <v>54</v>
          </cell>
        </row>
        <row r="263">
          <cell r="O263">
            <v>125</v>
          </cell>
          <cell r="P263">
            <v>128</v>
          </cell>
        </row>
        <row r="264">
          <cell r="O264">
            <v>78</v>
          </cell>
          <cell r="P264">
            <v>81</v>
          </cell>
        </row>
        <row r="265">
          <cell r="O265">
            <v>39</v>
          </cell>
          <cell r="P265">
            <v>39</v>
          </cell>
        </row>
        <row r="266">
          <cell r="O266">
            <v>32</v>
          </cell>
          <cell r="P266">
            <v>35</v>
          </cell>
        </row>
        <row r="267">
          <cell r="O267">
            <v>52</v>
          </cell>
          <cell r="P267">
            <v>55</v>
          </cell>
        </row>
        <row r="268">
          <cell r="O268">
            <v>49</v>
          </cell>
          <cell r="P268">
            <v>49</v>
          </cell>
        </row>
        <row r="269">
          <cell r="O269">
            <v>44</v>
          </cell>
          <cell r="P269">
            <v>44</v>
          </cell>
        </row>
        <row r="270">
          <cell r="O270">
            <v>48</v>
          </cell>
          <cell r="P270">
            <v>49</v>
          </cell>
        </row>
        <row r="271">
          <cell r="O271">
            <v>63</v>
          </cell>
          <cell r="P271">
            <v>68</v>
          </cell>
        </row>
        <row r="272">
          <cell r="O272">
            <v>139</v>
          </cell>
          <cell r="P272">
            <v>139</v>
          </cell>
        </row>
        <row r="273">
          <cell r="O273">
            <v>135</v>
          </cell>
          <cell r="P273">
            <v>137</v>
          </cell>
        </row>
        <row r="274">
          <cell r="O274">
            <v>82</v>
          </cell>
          <cell r="P274">
            <v>83</v>
          </cell>
        </row>
        <row r="275">
          <cell r="O275">
            <v>54</v>
          </cell>
          <cell r="P275">
            <v>56</v>
          </cell>
        </row>
        <row r="276">
          <cell r="O276">
            <v>57</v>
          </cell>
          <cell r="P276">
            <v>57</v>
          </cell>
        </row>
        <row r="277">
          <cell r="O277">
            <v>32</v>
          </cell>
          <cell r="P277">
            <v>33</v>
          </cell>
        </row>
        <row r="278">
          <cell r="O278">
            <v>19</v>
          </cell>
          <cell r="P278">
            <v>20</v>
          </cell>
        </row>
        <row r="279">
          <cell r="O279">
            <v>6</v>
          </cell>
          <cell r="P279">
            <v>7</v>
          </cell>
        </row>
        <row r="280">
          <cell r="O280">
            <v>2</v>
          </cell>
          <cell r="P280">
            <v>2</v>
          </cell>
        </row>
        <row r="281">
          <cell r="O281">
            <v>2</v>
          </cell>
          <cell r="P281">
            <v>2</v>
          </cell>
        </row>
        <row r="282">
          <cell r="O282">
            <v>3</v>
          </cell>
          <cell r="P282">
            <v>3</v>
          </cell>
        </row>
        <row r="283">
          <cell r="O283">
            <v>4</v>
          </cell>
          <cell r="P283">
            <v>4</v>
          </cell>
        </row>
        <row r="284">
          <cell r="O284">
            <v>3</v>
          </cell>
          <cell r="P284">
            <v>3</v>
          </cell>
        </row>
        <row r="285">
          <cell r="O285">
            <v>28</v>
          </cell>
          <cell r="P285">
            <v>28</v>
          </cell>
        </row>
        <row r="286">
          <cell r="O286">
            <v>72</v>
          </cell>
          <cell r="P286">
            <v>72</v>
          </cell>
        </row>
        <row r="287">
          <cell r="O287">
            <v>197</v>
          </cell>
          <cell r="P287">
            <v>202</v>
          </cell>
        </row>
        <row r="288">
          <cell r="O288">
            <v>137</v>
          </cell>
          <cell r="P288">
            <v>139</v>
          </cell>
        </row>
        <row r="289">
          <cell r="O289">
            <v>36</v>
          </cell>
          <cell r="P289">
            <v>38</v>
          </cell>
        </row>
        <row r="290">
          <cell r="O290">
            <v>33</v>
          </cell>
          <cell r="P290">
            <v>37</v>
          </cell>
        </row>
        <row r="291">
          <cell r="O291">
            <v>49</v>
          </cell>
          <cell r="P291">
            <v>52</v>
          </cell>
        </row>
        <row r="292">
          <cell r="O292">
            <v>81</v>
          </cell>
          <cell r="P292">
            <v>83</v>
          </cell>
        </row>
        <row r="293">
          <cell r="O293">
            <v>39</v>
          </cell>
          <cell r="P293">
            <v>42</v>
          </cell>
        </row>
        <row r="294">
          <cell r="O294">
            <v>55</v>
          </cell>
          <cell r="P294">
            <v>60</v>
          </cell>
        </row>
        <row r="295">
          <cell r="O295">
            <v>76</v>
          </cell>
          <cell r="P295">
            <v>78</v>
          </cell>
        </row>
        <row r="296">
          <cell r="O296">
            <v>158</v>
          </cell>
          <cell r="P296">
            <v>162</v>
          </cell>
        </row>
        <row r="297">
          <cell r="O297">
            <v>141</v>
          </cell>
          <cell r="P297">
            <v>144</v>
          </cell>
        </row>
        <row r="298">
          <cell r="O298">
            <v>98</v>
          </cell>
          <cell r="P298">
            <v>99</v>
          </cell>
        </row>
        <row r="299">
          <cell r="O299">
            <v>64</v>
          </cell>
          <cell r="P299">
            <v>64</v>
          </cell>
        </row>
        <row r="300">
          <cell r="O300">
            <v>40</v>
          </cell>
          <cell r="P300">
            <v>40</v>
          </cell>
        </row>
        <row r="301">
          <cell r="O301">
            <v>30</v>
          </cell>
          <cell r="P301">
            <v>30</v>
          </cell>
        </row>
        <row r="302">
          <cell r="O302">
            <v>14</v>
          </cell>
          <cell r="P302">
            <v>15</v>
          </cell>
        </row>
        <row r="303">
          <cell r="O303">
            <v>14</v>
          </cell>
          <cell r="P303">
            <v>14</v>
          </cell>
        </row>
        <row r="304">
          <cell r="O304">
            <v>5</v>
          </cell>
          <cell r="P304">
            <v>5</v>
          </cell>
        </row>
        <row r="305">
          <cell r="O305">
            <v>1</v>
          </cell>
          <cell r="P305">
            <v>1</v>
          </cell>
        </row>
        <row r="306">
          <cell r="O306">
            <v>1</v>
          </cell>
          <cell r="P306">
            <v>1</v>
          </cell>
        </row>
        <row r="307">
          <cell r="O307">
            <v>8</v>
          </cell>
          <cell r="P307">
            <v>8</v>
          </cell>
        </row>
        <row r="308">
          <cell r="O308">
            <v>17</v>
          </cell>
          <cell r="P308">
            <v>17</v>
          </cell>
        </row>
        <row r="309">
          <cell r="O309">
            <v>70</v>
          </cell>
          <cell r="P309">
            <v>70</v>
          </cell>
        </row>
        <row r="310">
          <cell r="O310">
            <v>156</v>
          </cell>
          <cell r="P310">
            <v>158</v>
          </cell>
        </row>
        <row r="311">
          <cell r="O311">
            <v>117</v>
          </cell>
          <cell r="P311">
            <v>117</v>
          </cell>
        </row>
        <row r="312">
          <cell r="O312">
            <v>40</v>
          </cell>
          <cell r="P312">
            <v>44</v>
          </cell>
        </row>
        <row r="313">
          <cell r="O313">
            <v>47</v>
          </cell>
          <cell r="P313">
            <v>53</v>
          </cell>
        </row>
        <row r="314">
          <cell r="O314">
            <v>59</v>
          </cell>
          <cell r="P314">
            <v>61</v>
          </cell>
        </row>
        <row r="315">
          <cell r="O315">
            <v>73</v>
          </cell>
          <cell r="P315">
            <v>77</v>
          </cell>
        </row>
        <row r="316">
          <cell r="O316">
            <v>59</v>
          </cell>
          <cell r="P316">
            <v>64</v>
          </cell>
        </row>
        <row r="317">
          <cell r="O317">
            <v>59</v>
          </cell>
          <cell r="P317">
            <v>68</v>
          </cell>
        </row>
        <row r="318">
          <cell r="O318">
            <v>87</v>
          </cell>
          <cell r="P318">
            <v>90</v>
          </cell>
        </row>
        <row r="319">
          <cell r="O319">
            <v>155</v>
          </cell>
          <cell r="P319">
            <v>159</v>
          </cell>
        </row>
        <row r="320">
          <cell r="O320">
            <v>134</v>
          </cell>
          <cell r="P320">
            <v>139</v>
          </cell>
        </row>
        <row r="321">
          <cell r="O321">
            <v>89</v>
          </cell>
          <cell r="P321">
            <v>92</v>
          </cell>
        </row>
        <row r="322">
          <cell r="O322">
            <v>68</v>
          </cell>
          <cell r="P322">
            <v>68</v>
          </cell>
        </row>
        <row r="323">
          <cell r="O323">
            <v>48</v>
          </cell>
          <cell r="P323">
            <v>52</v>
          </cell>
        </row>
        <row r="324">
          <cell r="O324">
            <v>34</v>
          </cell>
          <cell r="P324">
            <v>36</v>
          </cell>
        </row>
        <row r="325">
          <cell r="O325">
            <v>26</v>
          </cell>
          <cell r="P325">
            <v>27</v>
          </cell>
        </row>
        <row r="326">
          <cell r="O326">
            <v>25</v>
          </cell>
          <cell r="P326">
            <v>28</v>
          </cell>
        </row>
        <row r="327">
          <cell r="O327">
            <v>18</v>
          </cell>
          <cell r="P327">
            <v>20</v>
          </cell>
        </row>
        <row r="328">
          <cell r="O328">
            <v>12</v>
          </cell>
          <cell r="P328">
            <v>12</v>
          </cell>
        </row>
        <row r="329">
          <cell r="O329">
            <v>7</v>
          </cell>
          <cell r="P329">
            <v>8</v>
          </cell>
        </row>
        <row r="330">
          <cell r="O330">
            <v>5</v>
          </cell>
          <cell r="P330">
            <v>5</v>
          </cell>
        </row>
        <row r="331">
          <cell r="O331">
            <v>1</v>
          </cell>
          <cell r="P331">
            <v>1</v>
          </cell>
        </row>
        <row r="332">
          <cell r="O332">
            <v>2</v>
          </cell>
          <cell r="P332">
            <v>3</v>
          </cell>
        </row>
        <row r="333">
          <cell r="O333">
            <v>9</v>
          </cell>
          <cell r="P333">
            <v>10</v>
          </cell>
        </row>
        <row r="334">
          <cell r="O334">
            <v>22</v>
          </cell>
          <cell r="P334">
            <v>23</v>
          </cell>
        </row>
        <row r="335">
          <cell r="O335">
            <v>31</v>
          </cell>
          <cell r="P335">
            <v>33</v>
          </cell>
        </row>
        <row r="336">
          <cell r="O336">
            <v>57</v>
          </cell>
          <cell r="P336">
            <v>59</v>
          </cell>
        </row>
        <row r="337">
          <cell r="O337">
            <v>54</v>
          </cell>
          <cell r="P337">
            <v>72</v>
          </cell>
        </row>
        <row r="338">
          <cell r="O338">
            <v>74</v>
          </cell>
          <cell r="P338">
            <v>89</v>
          </cell>
        </row>
        <row r="339">
          <cell r="O339">
            <v>80</v>
          </cell>
          <cell r="P339">
            <v>101</v>
          </cell>
        </row>
        <row r="340">
          <cell r="O340">
            <v>92</v>
          </cell>
          <cell r="P340">
            <v>118</v>
          </cell>
        </row>
        <row r="341">
          <cell r="O341">
            <v>108</v>
          </cell>
          <cell r="P341">
            <v>129</v>
          </cell>
        </row>
        <row r="342">
          <cell r="O342">
            <v>95</v>
          </cell>
          <cell r="P342">
            <v>128</v>
          </cell>
        </row>
        <row r="343">
          <cell r="O343">
            <v>54</v>
          </cell>
          <cell r="P343">
            <v>83</v>
          </cell>
        </row>
        <row r="344">
          <cell r="O344">
            <v>69</v>
          </cell>
          <cell r="P344">
            <v>84</v>
          </cell>
        </row>
        <row r="345">
          <cell r="O345">
            <v>60</v>
          </cell>
          <cell r="P345">
            <v>74</v>
          </cell>
        </row>
        <row r="346">
          <cell r="O346">
            <v>35</v>
          </cell>
          <cell r="P346">
            <v>41</v>
          </cell>
        </row>
        <row r="347">
          <cell r="O347">
            <v>51</v>
          </cell>
          <cell r="P347">
            <v>57</v>
          </cell>
        </row>
        <row r="348">
          <cell r="O348">
            <v>26</v>
          </cell>
          <cell r="P348">
            <v>26</v>
          </cell>
        </row>
        <row r="349">
          <cell r="O349">
            <v>39</v>
          </cell>
          <cell r="P349">
            <v>44</v>
          </cell>
        </row>
        <row r="350">
          <cell r="O350">
            <v>33</v>
          </cell>
          <cell r="P350">
            <v>39</v>
          </cell>
        </row>
        <row r="351">
          <cell r="O351">
            <v>19</v>
          </cell>
          <cell r="P351">
            <v>23</v>
          </cell>
        </row>
        <row r="352">
          <cell r="O352">
            <v>13</v>
          </cell>
          <cell r="P352">
            <v>16</v>
          </cell>
        </row>
        <row r="353">
          <cell r="O353">
            <v>6</v>
          </cell>
          <cell r="P353">
            <v>15</v>
          </cell>
        </row>
        <row r="354">
          <cell r="O354">
            <v>1</v>
          </cell>
          <cell r="P354">
            <v>1</v>
          </cell>
        </row>
        <row r="355">
          <cell r="O355">
            <v>1</v>
          </cell>
          <cell r="P355">
            <v>2</v>
          </cell>
        </row>
        <row r="356">
          <cell r="O356">
            <v>1</v>
          </cell>
          <cell r="P356">
            <v>1</v>
          </cell>
        </row>
        <row r="357">
          <cell r="O357">
            <v>3</v>
          </cell>
          <cell r="P357">
            <v>3</v>
          </cell>
        </row>
        <row r="358">
          <cell r="O358">
            <v>18</v>
          </cell>
          <cell r="P358">
            <v>18</v>
          </cell>
        </row>
        <row r="359">
          <cell r="O359">
            <v>29</v>
          </cell>
          <cell r="P359">
            <v>32</v>
          </cell>
        </row>
        <row r="360">
          <cell r="O360">
            <v>71</v>
          </cell>
          <cell r="P360">
            <v>79</v>
          </cell>
        </row>
        <row r="361">
          <cell r="O361">
            <v>70</v>
          </cell>
          <cell r="P361">
            <v>93</v>
          </cell>
        </row>
        <row r="362">
          <cell r="O362">
            <v>75</v>
          </cell>
          <cell r="P362">
            <v>104</v>
          </cell>
        </row>
        <row r="363">
          <cell r="O363">
            <v>95</v>
          </cell>
          <cell r="P363">
            <v>118</v>
          </cell>
        </row>
        <row r="364">
          <cell r="O364">
            <v>69</v>
          </cell>
          <cell r="P364">
            <v>91</v>
          </cell>
        </row>
        <row r="365">
          <cell r="O365">
            <v>78</v>
          </cell>
          <cell r="P365">
            <v>113</v>
          </cell>
        </row>
        <row r="366">
          <cell r="O366">
            <v>77</v>
          </cell>
          <cell r="P366">
            <v>99</v>
          </cell>
        </row>
        <row r="367">
          <cell r="O367">
            <v>82</v>
          </cell>
          <cell r="P367">
            <v>105</v>
          </cell>
        </row>
        <row r="368">
          <cell r="O368">
            <v>56</v>
          </cell>
          <cell r="P368">
            <v>67</v>
          </cell>
        </row>
        <row r="369">
          <cell r="O369">
            <v>47</v>
          </cell>
          <cell r="P369">
            <v>61</v>
          </cell>
        </row>
        <row r="370">
          <cell r="O370">
            <v>50</v>
          </cell>
          <cell r="P370">
            <v>57</v>
          </cell>
        </row>
        <row r="371">
          <cell r="O371">
            <v>22</v>
          </cell>
          <cell r="P371">
            <v>28</v>
          </cell>
        </row>
        <row r="372">
          <cell r="O372">
            <v>19</v>
          </cell>
          <cell r="P372">
            <v>21</v>
          </cell>
        </row>
        <row r="373">
          <cell r="O373">
            <v>18</v>
          </cell>
          <cell r="P373">
            <v>18</v>
          </cell>
        </row>
        <row r="374">
          <cell r="O374">
            <v>16</v>
          </cell>
          <cell r="P374">
            <v>17</v>
          </cell>
        </row>
        <row r="375">
          <cell r="O375">
            <v>15</v>
          </cell>
          <cell r="P375">
            <v>16</v>
          </cell>
        </row>
        <row r="376">
          <cell r="O376">
            <v>8</v>
          </cell>
          <cell r="P376">
            <v>8</v>
          </cell>
        </row>
        <row r="377">
          <cell r="O377">
            <v>2</v>
          </cell>
          <cell r="P377">
            <v>2</v>
          </cell>
        </row>
        <row r="378">
          <cell r="O378">
            <v>2</v>
          </cell>
          <cell r="P378">
            <v>3</v>
          </cell>
        </row>
        <row r="379">
          <cell r="O379">
            <v>1</v>
          </cell>
          <cell r="P379">
            <v>1</v>
          </cell>
        </row>
        <row r="380">
          <cell r="O380">
            <v>5</v>
          </cell>
          <cell r="P380">
            <v>5</v>
          </cell>
        </row>
        <row r="381">
          <cell r="O381">
            <v>9</v>
          </cell>
          <cell r="P381">
            <v>13</v>
          </cell>
        </row>
        <row r="382">
          <cell r="O382">
            <v>30</v>
          </cell>
          <cell r="P382">
            <v>33</v>
          </cell>
        </row>
        <row r="383">
          <cell r="O383">
            <v>39</v>
          </cell>
          <cell r="P383">
            <v>47</v>
          </cell>
        </row>
        <row r="384">
          <cell r="O384">
            <v>50</v>
          </cell>
          <cell r="P384">
            <v>57</v>
          </cell>
        </row>
        <row r="385">
          <cell r="O385">
            <v>55</v>
          </cell>
          <cell r="P385">
            <v>64</v>
          </cell>
        </row>
        <row r="386">
          <cell r="O386">
            <v>70</v>
          </cell>
          <cell r="P386">
            <v>80</v>
          </cell>
        </row>
        <row r="387">
          <cell r="O387">
            <v>80</v>
          </cell>
          <cell r="P387">
            <v>93</v>
          </cell>
        </row>
        <row r="388">
          <cell r="O388">
            <v>74</v>
          </cell>
          <cell r="P388">
            <v>86</v>
          </cell>
        </row>
        <row r="389">
          <cell r="O389">
            <v>72</v>
          </cell>
          <cell r="P389">
            <v>93</v>
          </cell>
        </row>
        <row r="390">
          <cell r="O390">
            <v>76</v>
          </cell>
          <cell r="P390">
            <v>82</v>
          </cell>
        </row>
        <row r="391">
          <cell r="O391">
            <v>67</v>
          </cell>
          <cell r="P391">
            <v>71</v>
          </cell>
        </row>
        <row r="392">
          <cell r="O392">
            <v>85</v>
          </cell>
          <cell r="P392">
            <v>92</v>
          </cell>
        </row>
        <row r="393">
          <cell r="O393">
            <v>58</v>
          </cell>
          <cell r="P393">
            <v>60</v>
          </cell>
        </row>
        <row r="394">
          <cell r="O394">
            <v>29</v>
          </cell>
          <cell r="P394">
            <v>33</v>
          </cell>
        </row>
        <row r="395">
          <cell r="O395">
            <v>24</v>
          </cell>
          <cell r="P395">
            <v>27</v>
          </cell>
        </row>
        <row r="396">
          <cell r="O396">
            <v>13</v>
          </cell>
          <cell r="P396">
            <v>13</v>
          </cell>
        </row>
        <row r="397">
          <cell r="O397">
            <v>3</v>
          </cell>
          <cell r="P397">
            <v>4</v>
          </cell>
        </row>
        <row r="398">
          <cell r="O398">
            <v>3</v>
          </cell>
          <cell r="P398">
            <v>3</v>
          </cell>
        </row>
        <row r="399">
          <cell r="O399">
            <v>22</v>
          </cell>
          <cell r="P399">
            <v>22</v>
          </cell>
        </row>
        <row r="400">
          <cell r="O400">
            <v>26</v>
          </cell>
          <cell r="P400">
            <v>28</v>
          </cell>
        </row>
        <row r="401">
          <cell r="O401">
            <v>32</v>
          </cell>
          <cell r="P401">
            <v>35</v>
          </cell>
        </row>
        <row r="402">
          <cell r="O402">
            <v>61</v>
          </cell>
          <cell r="P402">
            <v>61</v>
          </cell>
        </row>
        <row r="403">
          <cell r="O403">
            <v>124</v>
          </cell>
          <cell r="P403">
            <v>125</v>
          </cell>
        </row>
        <row r="404">
          <cell r="O404">
            <v>132</v>
          </cell>
          <cell r="P404">
            <v>133</v>
          </cell>
        </row>
        <row r="405">
          <cell r="O405">
            <v>98</v>
          </cell>
          <cell r="P405">
            <v>99</v>
          </cell>
        </row>
        <row r="406">
          <cell r="O406">
            <v>83</v>
          </cell>
          <cell r="P406">
            <v>83</v>
          </cell>
        </row>
        <row r="407">
          <cell r="O407">
            <v>41</v>
          </cell>
          <cell r="P407">
            <v>41</v>
          </cell>
        </row>
        <row r="408">
          <cell r="O408">
            <v>33</v>
          </cell>
          <cell r="P408">
            <v>33</v>
          </cell>
        </row>
        <row r="409">
          <cell r="O409">
            <v>19</v>
          </cell>
          <cell r="P409">
            <v>20</v>
          </cell>
        </row>
        <row r="410">
          <cell r="O410">
            <v>3</v>
          </cell>
          <cell r="P410">
            <v>3</v>
          </cell>
        </row>
        <row r="411">
          <cell r="O411">
            <v>6</v>
          </cell>
          <cell r="P411">
            <v>7</v>
          </cell>
        </row>
        <row r="412">
          <cell r="O412">
            <v>3</v>
          </cell>
          <cell r="P412">
            <v>3</v>
          </cell>
        </row>
        <row r="413">
          <cell r="O413">
            <v>1</v>
          </cell>
          <cell r="P413">
            <v>2</v>
          </cell>
        </row>
        <row r="414">
          <cell r="O414">
            <v>7</v>
          </cell>
          <cell r="P414">
            <v>7</v>
          </cell>
        </row>
        <row r="415">
          <cell r="O415">
            <v>32</v>
          </cell>
          <cell r="P415">
            <v>32</v>
          </cell>
        </row>
        <row r="416">
          <cell r="O416">
            <v>89</v>
          </cell>
          <cell r="P416">
            <v>90</v>
          </cell>
        </row>
        <row r="417">
          <cell r="O417">
            <v>196</v>
          </cell>
          <cell r="P417">
            <v>197</v>
          </cell>
        </row>
        <row r="418">
          <cell r="O418">
            <v>107</v>
          </cell>
          <cell r="P418">
            <v>109</v>
          </cell>
        </row>
        <row r="419">
          <cell r="O419">
            <v>46</v>
          </cell>
          <cell r="P419">
            <v>47</v>
          </cell>
        </row>
        <row r="420">
          <cell r="O420">
            <v>47</v>
          </cell>
          <cell r="P420">
            <v>52</v>
          </cell>
        </row>
        <row r="421">
          <cell r="O421">
            <v>65</v>
          </cell>
          <cell r="P421">
            <v>70</v>
          </cell>
        </row>
        <row r="422">
          <cell r="O422">
            <v>67</v>
          </cell>
          <cell r="P422">
            <v>78</v>
          </cell>
        </row>
        <row r="423">
          <cell r="O423">
            <v>68</v>
          </cell>
          <cell r="P423">
            <v>75</v>
          </cell>
        </row>
        <row r="424">
          <cell r="O424">
            <v>78</v>
          </cell>
          <cell r="P424">
            <v>82</v>
          </cell>
        </row>
        <row r="425">
          <cell r="O425">
            <v>94</v>
          </cell>
          <cell r="P425">
            <v>104</v>
          </cell>
        </row>
        <row r="426">
          <cell r="O426">
            <v>190</v>
          </cell>
          <cell r="P426">
            <v>197</v>
          </cell>
        </row>
        <row r="427">
          <cell r="O427">
            <v>156</v>
          </cell>
          <cell r="P427">
            <v>161</v>
          </cell>
        </row>
        <row r="428">
          <cell r="O428">
            <v>108</v>
          </cell>
          <cell r="P428">
            <v>112</v>
          </cell>
        </row>
        <row r="429">
          <cell r="O429">
            <v>74</v>
          </cell>
          <cell r="P429">
            <v>76</v>
          </cell>
        </row>
        <row r="430">
          <cell r="O430">
            <v>55</v>
          </cell>
          <cell r="P430">
            <v>59</v>
          </cell>
        </row>
        <row r="431">
          <cell r="O431">
            <v>53</v>
          </cell>
          <cell r="P431">
            <v>59</v>
          </cell>
        </row>
        <row r="432">
          <cell r="O432">
            <v>27</v>
          </cell>
          <cell r="P432">
            <v>28</v>
          </cell>
        </row>
        <row r="433">
          <cell r="O433">
            <v>8</v>
          </cell>
          <cell r="P433">
            <v>13</v>
          </cell>
        </row>
        <row r="434">
          <cell r="O434">
            <v>3</v>
          </cell>
          <cell r="P434">
            <v>5</v>
          </cell>
        </row>
        <row r="435">
          <cell r="O435">
            <v>2</v>
          </cell>
          <cell r="P435">
            <v>2</v>
          </cell>
        </row>
        <row r="436">
          <cell r="O436">
            <v>1</v>
          </cell>
          <cell r="P436">
            <v>1</v>
          </cell>
        </row>
        <row r="437">
          <cell r="O437">
            <v>1</v>
          </cell>
          <cell r="P437">
            <v>1</v>
          </cell>
        </row>
        <row r="438">
          <cell r="O438">
            <v>6</v>
          </cell>
          <cell r="P438">
            <v>6</v>
          </cell>
        </row>
        <row r="439">
          <cell r="O439">
            <v>35</v>
          </cell>
          <cell r="P439">
            <v>35</v>
          </cell>
        </row>
        <row r="440">
          <cell r="O440">
            <v>100</v>
          </cell>
          <cell r="P440">
            <v>101</v>
          </cell>
        </row>
        <row r="441">
          <cell r="O441">
            <v>247</v>
          </cell>
          <cell r="P441">
            <v>249</v>
          </cell>
        </row>
        <row r="442">
          <cell r="O442">
            <v>140</v>
          </cell>
          <cell r="P442">
            <v>143</v>
          </cell>
        </row>
        <row r="443">
          <cell r="O443">
            <v>56</v>
          </cell>
          <cell r="P443">
            <v>57</v>
          </cell>
        </row>
        <row r="444">
          <cell r="O444">
            <v>63</v>
          </cell>
          <cell r="P444">
            <v>68</v>
          </cell>
        </row>
        <row r="445">
          <cell r="O445">
            <v>77</v>
          </cell>
          <cell r="P445">
            <v>84</v>
          </cell>
        </row>
        <row r="446">
          <cell r="O446">
            <v>86</v>
          </cell>
          <cell r="P446">
            <v>98</v>
          </cell>
        </row>
        <row r="447">
          <cell r="O447">
            <v>75</v>
          </cell>
          <cell r="P447">
            <v>81</v>
          </cell>
        </row>
        <row r="448">
          <cell r="O448">
            <v>62</v>
          </cell>
          <cell r="P448">
            <v>70</v>
          </cell>
        </row>
        <row r="449">
          <cell r="O449">
            <v>83</v>
          </cell>
          <cell r="P449">
            <v>91</v>
          </cell>
        </row>
        <row r="450">
          <cell r="O450">
            <v>207</v>
          </cell>
          <cell r="P450">
            <v>215</v>
          </cell>
        </row>
        <row r="451">
          <cell r="O451">
            <v>184</v>
          </cell>
          <cell r="P451">
            <v>185</v>
          </cell>
        </row>
        <row r="452">
          <cell r="O452">
            <v>146</v>
          </cell>
          <cell r="P452">
            <v>152</v>
          </cell>
        </row>
        <row r="453">
          <cell r="O453">
            <v>124</v>
          </cell>
          <cell r="P453">
            <v>126</v>
          </cell>
        </row>
        <row r="454">
          <cell r="O454">
            <v>54</v>
          </cell>
          <cell r="P454">
            <v>57</v>
          </cell>
        </row>
        <row r="455">
          <cell r="O455">
            <v>56</v>
          </cell>
          <cell r="P455">
            <v>56</v>
          </cell>
        </row>
        <row r="456">
          <cell r="O456">
            <v>28</v>
          </cell>
          <cell r="P456">
            <v>31</v>
          </cell>
        </row>
        <row r="457">
          <cell r="O457">
            <v>20</v>
          </cell>
          <cell r="P457">
            <v>21</v>
          </cell>
        </row>
        <row r="458">
          <cell r="O458">
            <v>6</v>
          </cell>
          <cell r="P458">
            <v>6</v>
          </cell>
        </row>
        <row r="459">
          <cell r="O459">
            <v>2</v>
          </cell>
          <cell r="P459">
            <v>2</v>
          </cell>
        </row>
        <row r="460">
          <cell r="O460">
            <v>1</v>
          </cell>
          <cell r="P460">
            <v>1</v>
          </cell>
        </row>
        <row r="461">
          <cell r="O461">
            <v>1</v>
          </cell>
          <cell r="P461">
            <v>1</v>
          </cell>
        </row>
        <row r="462">
          <cell r="O462">
            <v>4</v>
          </cell>
          <cell r="P462">
            <v>5</v>
          </cell>
        </row>
        <row r="463">
          <cell r="O463">
            <v>27</v>
          </cell>
          <cell r="P463">
            <v>27</v>
          </cell>
        </row>
        <row r="464">
          <cell r="O464">
            <v>66</v>
          </cell>
          <cell r="P464">
            <v>68</v>
          </cell>
        </row>
        <row r="465">
          <cell r="O465">
            <v>210</v>
          </cell>
          <cell r="P465">
            <v>217</v>
          </cell>
        </row>
        <row r="466">
          <cell r="O466">
            <v>159</v>
          </cell>
          <cell r="P466">
            <v>166</v>
          </cell>
        </row>
        <row r="467">
          <cell r="O467">
            <v>57</v>
          </cell>
          <cell r="P467">
            <v>63</v>
          </cell>
        </row>
        <row r="468">
          <cell r="O468">
            <v>53</v>
          </cell>
          <cell r="P468">
            <v>59</v>
          </cell>
        </row>
        <row r="469">
          <cell r="O469">
            <v>67</v>
          </cell>
          <cell r="P469">
            <v>78</v>
          </cell>
        </row>
        <row r="470">
          <cell r="O470">
            <v>65</v>
          </cell>
          <cell r="P470">
            <v>73</v>
          </cell>
        </row>
        <row r="471">
          <cell r="O471">
            <v>56</v>
          </cell>
          <cell r="P471">
            <v>62</v>
          </cell>
        </row>
        <row r="472">
          <cell r="O472">
            <v>61</v>
          </cell>
          <cell r="P472">
            <v>65</v>
          </cell>
        </row>
        <row r="473">
          <cell r="O473">
            <v>97</v>
          </cell>
          <cell r="P473">
            <v>97</v>
          </cell>
        </row>
        <row r="474">
          <cell r="O474">
            <v>151</v>
          </cell>
          <cell r="P474">
            <v>161</v>
          </cell>
        </row>
        <row r="475">
          <cell r="O475">
            <v>119</v>
          </cell>
          <cell r="P475">
            <v>120</v>
          </cell>
        </row>
        <row r="476">
          <cell r="O476">
            <v>93</v>
          </cell>
          <cell r="P476">
            <v>96</v>
          </cell>
        </row>
        <row r="477">
          <cell r="O477">
            <v>52</v>
          </cell>
          <cell r="P477">
            <v>53</v>
          </cell>
        </row>
        <row r="478">
          <cell r="O478">
            <v>41</v>
          </cell>
          <cell r="P478">
            <v>41</v>
          </cell>
        </row>
        <row r="479">
          <cell r="O479">
            <v>33</v>
          </cell>
          <cell r="P479">
            <v>34</v>
          </cell>
        </row>
        <row r="480">
          <cell r="O480">
            <v>27</v>
          </cell>
          <cell r="P480">
            <v>27</v>
          </cell>
        </row>
        <row r="481">
          <cell r="O481">
            <v>13</v>
          </cell>
          <cell r="P481">
            <v>13</v>
          </cell>
        </row>
        <row r="482">
          <cell r="O482">
            <v>9</v>
          </cell>
          <cell r="P482">
            <v>12</v>
          </cell>
        </row>
        <row r="483">
          <cell r="O483">
            <v>11</v>
          </cell>
          <cell r="P483">
            <v>11</v>
          </cell>
        </row>
        <row r="484">
          <cell r="O484">
            <v>6</v>
          </cell>
          <cell r="P484">
            <v>7</v>
          </cell>
        </row>
        <row r="485">
          <cell r="O485">
            <v>3</v>
          </cell>
          <cell r="P485">
            <v>3</v>
          </cell>
        </row>
        <row r="486">
          <cell r="O486">
            <v>2</v>
          </cell>
          <cell r="P486">
            <v>2</v>
          </cell>
        </row>
        <row r="487">
          <cell r="O487">
            <v>8</v>
          </cell>
          <cell r="P487">
            <v>8</v>
          </cell>
        </row>
        <row r="488">
          <cell r="O488">
            <v>26</v>
          </cell>
          <cell r="P488">
            <v>27</v>
          </cell>
        </row>
        <row r="489">
          <cell r="O489">
            <v>37</v>
          </cell>
          <cell r="P489">
            <v>40</v>
          </cell>
        </row>
        <row r="490">
          <cell r="O490">
            <v>50</v>
          </cell>
          <cell r="P490">
            <v>53</v>
          </cell>
        </row>
        <row r="491">
          <cell r="O491">
            <v>59</v>
          </cell>
          <cell r="P491">
            <v>63</v>
          </cell>
        </row>
        <row r="492">
          <cell r="O492">
            <v>60</v>
          </cell>
          <cell r="P492">
            <v>70</v>
          </cell>
        </row>
        <row r="493">
          <cell r="O493">
            <v>72</v>
          </cell>
          <cell r="P493">
            <v>84</v>
          </cell>
        </row>
        <row r="494">
          <cell r="O494">
            <v>64</v>
          </cell>
          <cell r="P494">
            <v>75</v>
          </cell>
        </row>
        <row r="495">
          <cell r="O495">
            <v>93</v>
          </cell>
          <cell r="P495">
            <v>103</v>
          </cell>
        </row>
        <row r="496">
          <cell r="O496">
            <v>72</v>
          </cell>
          <cell r="P496">
            <v>83</v>
          </cell>
        </row>
        <row r="497">
          <cell r="O497">
            <v>59</v>
          </cell>
          <cell r="P497">
            <v>67</v>
          </cell>
        </row>
        <row r="498">
          <cell r="O498">
            <v>54</v>
          </cell>
          <cell r="P498">
            <v>54</v>
          </cell>
        </row>
        <row r="499">
          <cell r="O499">
            <v>53</v>
          </cell>
          <cell r="P499">
            <v>59</v>
          </cell>
        </row>
        <row r="500">
          <cell r="O500">
            <v>44</v>
          </cell>
          <cell r="P500">
            <v>45</v>
          </cell>
        </row>
        <row r="501">
          <cell r="O501">
            <v>39</v>
          </cell>
          <cell r="P501">
            <v>39</v>
          </cell>
        </row>
        <row r="502">
          <cell r="O502">
            <v>23</v>
          </cell>
          <cell r="P502">
            <v>30</v>
          </cell>
        </row>
        <row r="503">
          <cell r="O503">
            <v>31</v>
          </cell>
          <cell r="P503">
            <v>33</v>
          </cell>
        </row>
        <row r="504">
          <cell r="O504">
            <v>20</v>
          </cell>
          <cell r="P504">
            <v>22</v>
          </cell>
        </row>
        <row r="505">
          <cell r="O505">
            <v>12</v>
          </cell>
          <cell r="P505">
            <v>13</v>
          </cell>
        </row>
        <row r="506">
          <cell r="O506">
            <v>15</v>
          </cell>
          <cell r="P506">
            <v>18</v>
          </cell>
        </row>
        <row r="507">
          <cell r="O507">
            <v>4</v>
          </cell>
          <cell r="P507">
            <v>5</v>
          </cell>
        </row>
        <row r="508">
          <cell r="O508">
            <v>3</v>
          </cell>
          <cell r="P508">
            <v>3</v>
          </cell>
        </row>
        <row r="509">
          <cell r="O509">
            <v>1</v>
          </cell>
          <cell r="P509">
            <v>1</v>
          </cell>
        </row>
        <row r="510">
          <cell r="O510">
            <v>1</v>
          </cell>
          <cell r="P510">
            <v>2</v>
          </cell>
        </row>
        <row r="511">
          <cell r="O511">
            <v>17</v>
          </cell>
          <cell r="P511">
            <v>19</v>
          </cell>
        </row>
        <row r="512">
          <cell r="O512">
            <v>25</v>
          </cell>
          <cell r="P512">
            <v>28</v>
          </cell>
        </row>
        <row r="513">
          <cell r="O513">
            <v>51</v>
          </cell>
          <cell r="P513">
            <v>58</v>
          </cell>
        </row>
        <row r="514">
          <cell r="O514">
            <v>77</v>
          </cell>
          <cell r="P514">
            <v>99</v>
          </cell>
        </row>
        <row r="515">
          <cell r="O515">
            <v>92</v>
          </cell>
          <cell r="P515">
            <v>116</v>
          </cell>
        </row>
        <row r="516">
          <cell r="O516">
            <v>75</v>
          </cell>
          <cell r="P516">
            <v>87</v>
          </cell>
        </row>
        <row r="517">
          <cell r="O517">
            <v>93</v>
          </cell>
          <cell r="P517">
            <v>110</v>
          </cell>
        </row>
        <row r="518">
          <cell r="O518">
            <v>64</v>
          </cell>
          <cell r="P518">
            <v>77</v>
          </cell>
        </row>
        <row r="519">
          <cell r="O519">
            <v>56</v>
          </cell>
          <cell r="P519">
            <v>65</v>
          </cell>
        </row>
        <row r="520">
          <cell r="O520">
            <v>50</v>
          </cell>
          <cell r="P520">
            <v>55</v>
          </cell>
        </row>
        <row r="521">
          <cell r="O521">
            <v>44</v>
          </cell>
          <cell r="P521">
            <v>49</v>
          </cell>
        </row>
        <row r="522">
          <cell r="O522">
            <v>45</v>
          </cell>
          <cell r="P522">
            <v>50</v>
          </cell>
        </row>
        <row r="523">
          <cell r="O523">
            <v>31</v>
          </cell>
          <cell r="P523">
            <v>35</v>
          </cell>
        </row>
        <row r="524">
          <cell r="O524">
            <v>20</v>
          </cell>
          <cell r="P524">
            <v>25</v>
          </cell>
        </row>
        <row r="525">
          <cell r="O525">
            <v>23</v>
          </cell>
          <cell r="P525">
            <v>28</v>
          </cell>
        </row>
        <row r="526">
          <cell r="O526">
            <v>17</v>
          </cell>
          <cell r="P526">
            <v>21</v>
          </cell>
        </row>
        <row r="527">
          <cell r="O527">
            <v>7</v>
          </cell>
          <cell r="P527">
            <v>7</v>
          </cell>
        </row>
        <row r="528">
          <cell r="O528">
            <v>1</v>
          </cell>
          <cell r="P528">
            <v>1</v>
          </cell>
        </row>
        <row r="529">
          <cell r="O529">
            <v>1</v>
          </cell>
          <cell r="P529">
            <v>1</v>
          </cell>
        </row>
        <row r="530">
          <cell r="O530">
            <v>1</v>
          </cell>
          <cell r="P530">
            <v>1</v>
          </cell>
        </row>
        <row r="531">
          <cell r="O531">
            <v>5</v>
          </cell>
          <cell r="P531">
            <v>5</v>
          </cell>
        </row>
        <row r="532">
          <cell r="O532">
            <v>15</v>
          </cell>
          <cell r="P532">
            <v>15</v>
          </cell>
        </row>
        <row r="533">
          <cell r="O533">
            <v>79</v>
          </cell>
          <cell r="P533">
            <v>84</v>
          </cell>
        </row>
        <row r="534">
          <cell r="O534">
            <v>171</v>
          </cell>
          <cell r="P534">
            <v>177</v>
          </cell>
        </row>
        <row r="535">
          <cell r="O535">
            <v>98</v>
          </cell>
          <cell r="P535">
            <v>102</v>
          </cell>
        </row>
        <row r="536">
          <cell r="O536">
            <v>34</v>
          </cell>
          <cell r="P536">
            <v>40</v>
          </cell>
        </row>
        <row r="537">
          <cell r="O537">
            <v>43</v>
          </cell>
          <cell r="P537">
            <v>46</v>
          </cell>
        </row>
        <row r="538">
          <cell r="O538">
            <v>52</v>
          </cell>
          <cell r="P538">
            <v>63</v>
          </cell>
        </row>
        <row r="539">
          <cell r="O539">
            <v>54</v>
          </cell>
          <cell r="P539">
            <v>60</v>
          </cell>
        </row>
        <row r="540">
          <cell r="O540">
            <v>43</v>
          </cell>
          <cell r="P540">
            <v>45</v>
          </cell>
        </row>
        <row r="541">
          <cell r="O541">
            <v>50</v>
          </cell>
          <cell r="P541">
            <v>57</v>
          </cell>
        </row>
        <row r="542">
          <cell r="O542">
            <v>66</v>
          </cell>
          <cell r="P542">
            <v>70</v>
          </cell>
        </row>
        <row r="543">
          <cell r="O543">
            <v>178</v>
          </cell>
          <cell r="P543">
            <v>184</v>
          </cell>
        </row>
        <row r="544">
          <cell r="O544">
            <v>145</v>
          </cell>
          <cell r="P544">
            <v>153</v>
          </cell>
        </row>
        <row r="545">
          <cell r="O545">
            <v>101</v>
          </cell>
          <cell r="P545">
            <v>106</v>
          </cell>
        </row>
        <row r="546">
          <cell r="O546">
            <v>80</v>
          </cell>
          <cell r="P546">
            <v>81</v>
          </cell>
        </row>
        <row r="547">
          <cell r="O547">
            <v>53</v>
          </cell>
          <cell r="P547">
            <v>59</v>
          </cell>
        </row>
        <row r="548">
          <cell r="O548">
            <v>32</v>
          </cell>
          <cell r="P548">
            <v>35</v>
          </cell>
        </row>
        <row r="549">
          <cell r="O549">
            <v>21</v>
          </cell>
          <cell r="P549">
            <v>24</v>
          </cell>
        </row>
        <row r="550">
          <cell r="O550">
            <v>6</v>
          </cell>
          <cell r="P550">
            <v>9</v>
          </cell>
        </row>
        <row r="551">
          <cell r="O551">
            <v>5</v>
          </cell>
          <cell r="P551">
            <v>5</v>
          </cell>
        </row>
        <row r="552">
          <cell r="O552">
            <v>2</v>
          </cell>
          <cell r="P552">
            <v>2</v>
          </cell>
        </row>
        <row r="553">
          <cell r="O553">
            <v>1</v>
          </cell>
          <cell r="P553">
            <v>1</v>
          </cell>
        </row>
        <row r="554">
          <cell r="O554">
            <v>9</v>
          </cell>
          <cell r="P554">
            <v>9</v>
          </cell>
        </row>
        <row r="555">
          <cell r="O555">
            <v>35</v>
          </cell>
          <cell r="P555">
            <v>36</v>
          </cell>
        </row>
        <row r="556">
          <cell r="O556">
            <v>103</v>
          </cell>
          <cell r="P556">
            <v>108</v>
          </cell>
        </row>
        <row r="557">
          <cell r="O557">
            <v>233</v>
          </cell>
          <cell r="P557">
            <v>238</v>
          </cell>
        </row>
        <row r="558">
          <cell r="O558">
            <v>134</v>
          </cell>
          <cell r="P558">
            <v>144</v>
          </cell>
        </row>
        <row r="559">
          <cell r="O559">
            <v>49</v>
          </cell>
          <cell r="P559">
            <v>55</v>
          </cell>
        </row>
        <row r="560">
          <cell r="O560">
            <v>55</v>
          </cell>
          <cell r="P560">
            <v>61</v>
          </cell>
        </row>
        <row r="561">
          <cell r="O561">
            <v>85</v>
          </cell>
          <cell r="P561">
            <v>106</v>
          </cell>
        </row>
        <row r="562">
          <cell r="O562">
            <v>72</v>
          </cell>
          <cell r="P562">
            <v>93</v>
          </cell>
        </row>
        <row r="563">
          <cell r="O563">
            <v>57</v>
          </cell>
          <cell r="P563">
            <v>68</v>
          </cell>
        </row>
        <row r="564">
          <cell r="O564">
            <v>63</v>
          </cell>
          <cell r="P564">
            <v>84</v>
          </cell>
        </row>
        <row r="565">
          <cell r="O565">
            <v>102</v>
          </cell>
          <cell r="P565">
            <v>116</v>
          </cell>
        </row>
        <row r="566">
          <cell r="O566">
            <v>208</v>
          </cell>
          <cell r="P566">
            <v>222</v>
          </cell>
        </row>
        <row r="567">
          <cell r="O567">
            <v>218</v>
          </cell>
          <cell r="P567">
            <v>225</v>
          </cell>
        </row>
        <row r="568">
          <cell r="O568">
            <v>133</v>
          </cell>
          <cell r="P568">
            <v>146</v>
          </cell>
        </row>
        <row r="569">
          <cell r="O569">
            <v>103</v>
          </cell>
          <cell r="P569">
            <v>119</v>
          </cell>
        </row>
        <row r="570">
          <cell r="O570">
            <v>40</v>
          </cell>
          <cell r="P570">
            <v>45</v>
          </cell>
        </row>
        <row r="571">
          <cell r="O571">
            <v>49</v>
          </cell>
          <cell r="P571">
            <v>53</v>
          </cell>
        </row>
        <row r="572">
          <cell r="O572">
            <v>37</v>
          </cell>
          <cell r="P572">
            <v>40</v>
          </cell>
        </row>
        <row r="573">
          <cell r="O573">
            <v>14</v>
          </cell>
          <cell r="P573">
            <v>17</v>
          </cell>
        </row>
        <row r="574">
          <cell r="O574">
            <v>5</v>
          </cell>
          <cell r="P574">
            <v>5</v>
          </cell>
        </row>
        <row r="575">
          <cell r="O575">
            <v>7</v>
          </cell>
          <cell r="P575">
            <v>10</v>
          </cell>
        </row>
        <row r="576">
          <cell r="O576">
            <v>1</v>
          </cell>
          <cell r="P576">
            <v>1</v>
          </cell>
        </row>
        <row r="577">
          <cell r="O577">
            <v>8</v>
          </cell>
          <cell r="P577">
            <v>8</v>
          </cell>
        </row>
        <row r="578">
          <cell r="O578">
            <v>29</v>
          </cell>
          <cell r="P578">
            <v>30</v>
          </cell>
        </row>
        <row r="579">
          <cell r="O579">
            <v>69</v>
          </cell>
          <cell r="P579">
            <v>72</v>
          </cell>
        </row>
        <row r="580">
          <cell r="O580">
            <v>55</v>
          </cell>
          <cell r="P580">
            <v>58</v>
          </cell>
        </row>
        <row r="581">
          <cell r="O581">
            <v>26</v>
          </cell>
          <cell r="P581">
            <v>28</v>
          </cell>
        </row>
        <row r="582">
          <cell r="O582">
            <v>35</v>
          </cell>
          <cell r="P582">
            <v>41</v>
          </cell>
        </row>
        <row r="583">
          <cell r="O583">
            <v>41</v>
          </cell>
          <cell r="P583">
            <v>48</v>
          </cell>
        </row>
        <row r="584">
          <cell r="O584">
            <v>43</v>
          </cell>
          <cell r="P584">
            <v>47</v>
          </cell>
        </row>
        <row r="585">
          <cell r="O585">
            <v>36</v>
          </cell>
          <cell r="P585">
            <v>36</v>
          </cell>
        </row>
        <row r="586">
          <cell r="O586">
            <v>42</v>
          </cell>
          <cell r="P586">
            <v>43</v>
          </cell>
        </row>
        <row r="587">
          <cell r="O587">
            <v>35</v>
          </cell>
          <cell r="P587">
            <v>36</v>
          </cell>
        </row>
        <row r="588">
          <cell r="O588">
            <v>26</v>
          </cell>
          <cell r="P588">
            <v>26</v>
          </cell>
        </row>
        <row r="589">
          <cell r="O589">
            <v>23</v>
          </cell>
          <cell r="P589">
            <v>24</v>
          </cell>
        </row>
        <row r="590">
          <cell r="O590">
            <v>82</v>
          </cell>
          <cell r="P590">
            <v>84</v>
          </cell>
        </row>
        <row r="591">
          <cell r="O591">
            <v>101</v>
          </cell>
          <cell r="P591">
            <v>104</v>
          </cell>
        </row>
        <row r="592">
          <cell r="O592">
            <v>76</v>
          </cell>
          <cell r="P592">
            <v>79</v>
          </cell>
        </row>
        <row r="593">
          <cell r="O593">
            <v>55</v>
          </cell>
          <cell r="P593">
            <v>59</v>
          </cell>
        </row>
        <row r="594">
          <cell r="O594">
            <v>36</v>
          </cell>
          <cell r="P594">
            <v>38</v>
          </cell>
        </row>
        <row r="595">
          <cell r="O595">
            <v>27</v>
          </cell>
          <cell r="P595">
            <v>27</v>
          </cell>
        </row>
        <row r="596">
          <cell r="O596">
            <v>16</v>
          </cell>
          <cell r="P596">
            <v>16</v>
          </cell>
        </row>
        <row r="597">
          <cell r="O597">
            <v>9</v>
          </cell>
          <cell r="P597">
            <v>9</v>
          </cell>
        </row>
        <row r="598">
          <cell r="O598">
            <v>2</v>
          </cell>
          <cell r="P598">
            <v>3</v>
          </cell>
        </row>
        <row r="599">
          <cell r="O599">
            <v>2</v>
          </cell>
          <cell r="P599">
            <v>2</v>
          </cell>
        </row>
        <row r="600">
          <cell r="O600">
            <v>0</v>
          </cell>
          <cell r="P600">
            <v>1</v>
          </cell>
        </row>
        <row r="601">
          <cell r="O601">
            <v>4</v>
          </cell>
          <cell r="P601">
            <v>4</v>
          </cell>
        </row>
        <row r="602">
          <cell r="O602">
            <v>16</v>
          </cell>
          <cell r="P602">
            <v>16</v>
          </cell>
        </row>
        <row r="603">
          <cell r="O603">
            <v>58</v>
          </cell>
          <cell r="P603">
            <v>60</v>
          </cell>
        </row>
        <row r="604">
          <cell r="O604">
            <v>155</v>
          </cell>
          <cell r="P604">
            <v>157</v>
          </cell>
        </row>
        <row r="605">
          <cell r="O605">
            <v>95</v>
          </cell>
          <cell r="P605">
            <v>101</v>
          </cell>
        </row>
        <row r="606">
          <cell r="O606">
            <v>49</v>
          </cell>
          <cell r="P606">
            <v>49</v>
          </cell>
        </row>
        <row r="607">
          <cell r="O607">
            <v>30</v>
          </cell>
          <cell r="P607">
            <v>30</v>
          </cell>
        </row>
        <row r="608">
          <cell r="O608">
            <v>28</v>
          </cell>
          <cell r="P608">
            <v>29</v>
          </cell>
        </row>
        <row r="609">
          <cell r="O609">
            <v>31</v>
          </cell>
          <cell r="P609">
            <v>31</v>
          </cell>
        </row>
        <row r="610">
          <cell r="O610">
            <v>36</v>
          </cell>
          <cell r="P610">
            <v>38</v>
          </cell>
        </row>
        <row r="611">
          <cell r="O611">
            <v>40</v>
          </cell>
          <cell r="P611">
            <v>41</v>
          </cell>
        </row>
        <row r="612">
          <cell r="O612">
            <v>70</v>
          </cell>
          <cell r="P612">
            <v>80</v>
          </cell>
        </row>
        <row r="613">
          <cell r="O613">
            <v>147</v>
          </cell>
          <cell r="P613">
            <v>149</v>
          </cell>
        </row>
        <row r="614">
          <cell r="O614">
            <v>107</v>
          </cell>
          <cell r="P614">
            <v>109</v>
          </cell>
        </row>
        <row r="615">
          <cell r="O615">
            <v>84</v>
          </cell>
          <cell r="P615">
            <v>89</v>
          </cell>
        </row>
        <row r="616">
          <cell r="O616">
            <v>61</v>
          </cell>
          <cell r="P616">
            <v>62</v>
          </cell>
        </row>
        <row r="617">
          <cell r="O617">
            <v>57</v>
          </cell>
          <cell r="P617">
            <v>58</v>
          </cell>
        </row>
        <row r="618">
          <cell r="O618">
            <v>26</v>
          </cell>
          <cell r="P618">
            <v>26</v>
          </cell>
        </row>
        <row r="619">
          <cell r="O619">
            <v>22</v>
          </cell>
          <cell r="P619">
            <v>23</v>
          </cell>
        </row>
        <row r="620">
          <cell r="O620">
            <v>26</v>
          </cell>
          <cell r="P620">
            <v>28</v>
          </cell>
        </row>
        <row r="621">
          <cell r="O621">
            <v>20</v>
          </cell>
          <cell r="P621">
            <v>20</v>
          </cell>
        </row>
        <row r="622">
          <cell r="O622">
            <v>15</v>
          </cell>
          <cell r="P622">
            <v>15</v>
          </cell>
        </row>
        <row r="623">
          <cell r="O623">
            <v>5</v>
          </cell>
          <cell r="P623">
            <v>8</v>
          </cell>
        </row>
        <row r="624">
          <cell r="O624">
            <v>2</v>
          </cell>
          <cell r="P624">
            <v>3</v>
          </cell>
        </row>
        <row r="625">
          <cell r="O625">
            <v>2</v>
          </cell>
          <cell r="P625">
            <v>2</v>
          </cell>
        </row>
        <row r="626">
          <cell r="O626">
            <v>4</v>
          </cell>
          <cell r="P626">
            <v>5</v>
          </cell>
        </row>
        <row r="627">
          <cell r="O627">
            <v>31</v>
          </cell>
          <cell r="P627">
            <v>34</v>
          </cell>
        </row>
        <row r="628">
          <cell r="O628">
            <v>34</v>
          </cell>
          <cell r="P628">
            <v>34</v>
          </cell>
        </row>
        <row r="629">
          <cell r="O629">
            <v>51</v>
          </cell>
          <cell r="P629">
            <v>55</v>
          </cell>
        </row>
        <row r="630">
          <cell r="O630">
            <v>60</v>
          </cell>
          <cell r="P630">
            <v>64</v>
          </cell>
        </row>
        <row r="631">
          <cell r="O631">
            <v>66</v>
          </cell>
          <cell r="P631">
            <v>78</v>
          </cell>
        </row>
        <row r="632">
          <cell r="O632">
            <v>56</v>
          </cell>
          <cell r="P632">
            <v>65</v>
          </cell>
        </row>
        <row r="633">
          <cell r="O633">
            <v>89</v>
          </cell>
          <cell r="P633">
            <v>99</v>
          </cell>
        </row>
        <row r="634">
          <cell r="O634">
            <v>98</v>
          </cell>
          <cell r="P634">
            <v>120</v>
          </cell>
        </row>
        <row r="635">
          <cell r="O635">
            <v>88</v>
          </cell>
          <cell r="P635">
            <v>107</v>
          </cell>
        </row>
        <row r="636">
          <cell r="O636">
            <v>82</v>
          </cell>
          <cell r="P636">
            <v>91</v>
          </cell>
        </row>
        <row r="637">
          <cell r="O637">
            <v>59</v>
          </cell>
          <cell r="P637">
            <v>68</v>
          </cell>
        </row>
        <row r="638">
          <cell r="O638">
            <v>52</v>
          </cell>
          <cell r="P638">
            <v>58</v>
          </cell>
        </row>
        <row r="639">
          <cell r="O639">
            <v>42</v>
          </cell>
          <cell r="P639">
            <v>43</v>
          </cell>
        </row>
        <row r="640">
          <cell r="O640">
            <v>35</v>
          </cell>
          <cell r="P640">
            <v>36</v>
          </cell>
        </row>
        <row r="641">
          <cell r="O641">
            <v>28</v>
          </cell>
          <cell r="P641">
            <v>32</v>
          </cell>
        </row>
        <row r="642">
          <cell r="O642">
            <v>30</v>
          </cell>
          <cell r="P642">
            <v>33</v>
          </cell>
        </row>
        <row r="643">
          <cell r="O643">
            <v>33</v>
          </cell>
          <cell r="P643">
            <v>33</v>
          </cell>
        </row>
        <row r="644">
          <cell r="O644">
            <v>22</v>
          </cell>
          <cell r="P644">
            <v>29</v>
          </cell>
        </row>
        <row r="645">
          <cell r="O645">
            <v>10</v>
          </cell>
          <cell r="P645">
            <v>11</v>
          </cell>
        </row>
        <row r="646">
          <cell r="O646">
            <v>7</v>
          </cell>
          <cell r="P646">
            <v>8</v>
          </cell>
        </row>
        <row r="647">
          <cell r="O647">
            <v>1</v>
          </cell>
          <cell r="P647">
            <v>1</v>
          </cell>
        </row>
        <row r="648">
          <cell r="O648">
            <v>3</v>
          </cell>
          <cell r="P648">
            <v>3</v>
          </cell>
        </row>
        <row r="649">
          <cell r="O649">
            <v>3</v>
          </cell>
          <cell r="P649">
            <v>3</v>
          </cell>
        </row>
        <row r="650">
          <cell r="O650">
            <v>11</v>
          </cell>
          <cell r="P650">
            <v>12</v>
          </cell>
        </row>
        <row r="651">
          <cell r="O651">
            <v>34</v>
          </cell>
          <cell r="P651">
            <v>38</v>
          </cell>
        </row>
        <row r="652">
          <cell r="O652">
            <v>57</v>
          </cell>
          <cell r="P652">
            <v>64</v>
          </cell>
        </row>
        <row r="653">
          <cell r="O653">
            <v>50</v>
          </cell>
          <cell r="P653">
            <v>59</v>
          </cell>
        </row>
        <row r="654">
          <cell r="O654">
            <v>87</v>
          </cell>
          <cell r="P654">
            <v>97</v>
          </cell>
        </row>
        <row r="655">
          <cell r="O655">
            <v>71</v>
          </cell>
          <cell r="P655">
            <v>84</v>
          </cell>
        </row>
        <row r="656">
          <cell r="O656">
            <v>104</v>
          </cell>
          <cell r="P656">
            <v>122</v>
          </cell>
        </row>
        <row r="657">
          <cell r="O657">
            <v>95</v>
          </cell>
          <cell r="P657">
            <v>109</v>
          </cell>
        </row>
        <row r="658">
          <cell r="O658">
            <v>104</v>
          </cell>
          <cell r="P658">
            <v>123</v>
          </cell>
        </row>
        <row r="659">
          <cell r="O659">
            <v>71</v>
          </cell>
          <cell r="P659">
            <v>77</v>
          </cell>
        </row>
        <row r="660">
          <cell r="O660">
            <v>57</v>
          </cell>
          <cell r="P660">
            <v>65</v>
          </cell>
        </row>
        <row r="661">
          <cell r="O661">
            <v>46</v>
          </cell>
          <cell r="P661">
            <v>55</v>
          </cell>
        </row>
        <row r="662">
          <cell r="O662">
            <v>30</v>
          </cell>
          <cell r="P662">
            <v>33</v>
          </cell>
        </row>
        <row r="663">
          <cell r="O663">
            <v>25</v>
          </cell>
          <cell r="P663">
            <v>28</v>
          </cell>
        </row>
        <row r="664">
          <cell r="O664">
            <v>19</v>
          </cell>
          <cell r="P664">
            <v>21</v>
          </cell>
        </row>
        <row r="665">
          <cell r="O665">
            <v>16</v>
          </cell>
          <cell r="P665">
            <v>21</v>
          </cell>
        </row>
        <row r="666">
          <cell r="O666">
            <v>6</v>
          </cell>
          <cell r="P666">
            <v>7</v>
          </cell>
        </row>
        <row r="667">
          <cell r="O667">
            <v>5</v>
          </cell>
          <cell r="P667">
            <v>7</v>
          </cell>
        </row>
        <row r="668">
          <cell r="O668">
            <v>1</v>
          </cell>
          <cell r="P668">
            <v>1</v>
          </cell>
        </row>
        <row r="669">
          <cell r="O669">
            <v>2</v>
          </cell>
          <cell r="P669">
            <v>2</v>
          </cell>
        </row>
        <row r="670">
          <cell r="O670">
            <v>2</v>
          </cell>
          <cell r="P670">
            <v>2</v>
          </cell>
        </row>
        <row r="671">
          <cell r="O671">
            <v>8</v>
          </cell>
          <cell r="P671">
            <v>8</v>
          </cell>
        </row>
        <row r="672">
          <cell r="O672">
            <v>37</v>
          </cell>
          <cell r="P672">
            <v>37</v>
          </cell>
        </row>
        <row r="673">
          <cell r="O673">
            <v>71</v>
          </cell>
          <cell r="P673">
            <v>72</v>
          </cell>
        </row>
        <row r="674">
          <cell r="O674">
            <v>182</v>
          </cell>
          <cell r="P674">
            <v>185</v>
          </cell>
        </row>
        <row r="675">
          <cell r="O675">
            <v>112</v>
          </cell>
          <cell r="P675">
            <v>112</v>
          </cell>
        </row>
        <row r="676">
          <cell r="O676">
            <v>68</v>
          </cell>
          <cell r="P676">
            <v>69</v>
          </cell>
        </row>
        <row r="677">
          <cell r="O677">
            <v>46</v>
          </cell>
          <cell r="P677">
            <v>48</v>
          </cell>
        </row>
        <row r="678">
          <cell r="O678">
            <v>62</v>
          </cell>
          <cell r="P678">
            <v>68</v>
          </cell>
        </row>
        <row r="679">
          <cell r="O679">
            <v>52</v>
          </cell>
          <cell r="P679">
            <v>54</v>
          </cell>
        </row>
        <row r="680">
          <cell r="O680">
            <v>85</v>
          </cell>
          <cell r="P680">
            <v>86</v>
          </cell>
        </row>
        <row r="681">
          <cell r="O681">
            <v>41</v>
          </cell>
          <cell r="P681">
            <v>44</v>
          </cell>
        </row>
        <row r="682">
          <cell r="O682">
            <v>83</v>
          </cell>
          <cell r="P682">
            <v>86</v>
          </cell>
        </row>
        <row r="683">
          <cell r="O683">
            <v>155</v>
          </cell>
          <cell r="P683">
            <v>161</v>
          </cell>
        </row>
        <row r="684">
          <cell r="O684">
            <v>153</v>
          </cell>
          <cell r="P684">
            <v>156</v>
          </cell>
        </row>
        <row r="685">
          <cell r="O685">
            <v>108</v>
          </cell>
          <cell r="P685">
            <v>111</v>
          </cell>
        </row>
        <row r="686">
          <cell r="O686">
            <v>78</v>
          </cell>
          <cell r="P686">
            <v>78</v>
          </cell>
        </row>
        <row r="687">
          <cell r="O687">
            <v>53</v>
          </cell>
          <cell r="P687">
            <v>56</v>
          </cell>
        </row>
        <row r="688">
          <cell r="O688">
            <v>34</v>
          </cell>
          <cell r="P688">
            <v>34</v>
          </cell>
        </row>
        <row r="689">
          <cell r="O689">
            <v>15</v>
          </cell>
          <cell r="P689">
            <v>17</v>
          </cell>
        </row>
        <row r="690">
          <cell r="O690">
            <v>6</v>
          </cell>
          <cell r="P690">
            <v>8</v>
          </cell>
        </row>
        <row r="691">
          <cell r="O691">
            <v>3</v>
          </cell>
          <cell r="P691">
            <v>3</v>
          </cell>
        </row>
        <row r="692">
          <cell r="O692">
            <v>2</v>
          </cell>
          <cell r="P692">
            <v>2</v>
          </cell>
        </row>
        <row r="693">
          <cell r="O693">
            <v>2</v>
          </cell>
          <cell r="P693">
            <v>2</v>
          </cell>
        </row>
        <row r="694">
          <cell r="O694">
            <v>3</v>
          </cell>
          <cell r="P694">
            <v>3</v>
          </cell>
        </row>
        <row r="695">
          <cell r="O695">
            <v>22</v>
          </cell>
          <cell r="P695">
            <v>22</v>
          </cell>
        </row>
        <row r="696">
          <cell r="O696">
            <v>52</v>
          </cell>
          <cell r="P696">
            <v>52</v>
          </cell>
        </row>
        <row r="697">
          <cell r="O697">
            <v>132</v>
          </cell>
          <cell r="P697">
            <v>135</v>
          </cell>
        </row>
        <row r="698">
          <cell r="O698">
            <v>114</v>
          </cell>
          <cell r="P698">
            <v>116</v>
          </cell>
        </row>
        <row r="699">
          <cell r="O699">
            <v>47</v>
          </cell>
          <cell r="P699">
            <v>47</v>
          </cell>
        </row>
        <row r="700">
          <cell r="O700">
            <v>49</v>
          </cell>
          <cell r="P700">
            <v>51</v>
          </cell>
        </row>
        <row r="701">
          <cell r="O701">
            <v>53</v>
          </cell>
          <cell r="P701">
            <v>55</v>
          </cell>
        </row>
        <row r="702">
          <cell r="O702">
            <v>49</v>
          </cell>
          <cell r="P702">
            <v>52</v>
          </cell>
        </row>
        <row r="703">
          <cell r="O703">
            <v>49</v>
          </cell>
          <cell r="P703">
            <v>54</v>
          </cell>
        </row>
        <row r="704">
          <cell r="O704">
            <v>45</v>
          </cell>
          <cell r="P704">
            <v>52</v>
          </cell>
        </row>
        <row r="705">
          <cell r="O705">
            <v>61</v>
          </cell>
          <cell r="P705">
            <v>64</v>
          </cell>
        </row>
        <row r="706">
          <cell r="O706">
            <v>172</v>
          </cell>
          <cell r="P706">
            <v>176</v>
          </cell>
        </row>
        <row r="707">
          <cell r="O707">
            <v>165</v>
          </cell>
          <cell r="P707">
            <v>168</v>
          </cell>
        </row>
        <row r="708">
          <cell r="O708">
            <v>105</v>
          </cell>
          <cell r="P708">
            <v>108</v>
          </cell>
        </row>
        <row r="709">
          <cell r="O709">
            <v>69</v>
          </cell>
          <cell r="P709">
            <v>74</v>
          </cell>
        </row>
        <row r="710">
          <cell r="O710">
            <v>64</v>
          </cell>
          <cell r="P710">
            <v>64</v>
          </cell>
        </row>
        <row r="711">
          <cell r="O711">
            <v>34</v>
          </cell>
          <cell r="P711">
            <v>36</v>
          </cell>
        </row>
        <row r="712">
          <cell r="O712">
            <v>15</v>
          </cell>
          <cell r="P712">
            <v>16</v>
          </cell>
        </row>
        <row r="713">
          <cell r="O713">
            <v>2</v>
          </cell>
          <cell r="P713">
            <v>2</v>
          </cell>
        </row>
        <row r="714">
          <cell r="O714">
            <v>3</v>
          </cell>
          <cell r="P714">
            <v>3</v>
          </cell>
        </row>
        <row r="715">
          <cell r="O715">
            <v>0</v>
          </cell>
          <cell r="P715">
            <v>4</v>
          </cell>
        </row>
        <row r="716">
          <cell r="O716">
            <v>1</v>
          </cell>
          <cell r="P716">
            <v>1</v>
          </cell>
        </row>
        <row r="717">
          <cell r="O717">
            <v>1</v>
          </cell>
          <cell r="P717">
            <v>1</v>
          </cell>
        </row>
        <row r="718">
          <cell r="O718">
            <v>3</v>
          </cell>
          <cell r="P718">
            <v>3</v>
          </cell>
        </row>
        <row r="719">
          <cell r="O719">
            <v>17</v>
          </cell>
          <cell r="P719">
            <v>18</v>
          </cell>
        </row>
        <row r="720">
          <cell r="O720">
            <v>48</v>
          </cell>
          <cell r="P720">
            <v>49</v>
          </cell>
        </row>
        <row r="721">
          <cell r="O721">
            <v>154</v>
          </cell>
          <cell r="P721">
            <v>155</v>
          </cell>
        </row>
        <row r="722">
          <cell r="O722">
            <v>119</v>
          </cell>
          <cell r="P722">
            <v>123</v>
          </cell>
        </row>
        <row r="723">
          <cell r="O723">
            <v>59</v>
          </cell>
          <cell r="P723">
            <v>61</v>
          </cell>
        </row>
        <row r="724">
          <cell r="O724">
            <v>47</v>
          </cell>
          <cell r="P724">
            <v>52</v>
          </cell>
        </row>
        <row r="725">
          <cell r="O725">
            <v>61</v>
          </cell>
          <cell r="P725">
            <v>64</v>
          </cell>
        </row>
        <row r="726">
          <cell r="O726">
            <v>74</v>
          </cell>
          <cell r="P726">
            <v>75</v>
          </cell>
        </row>
        <row r="727">
          <cell r="O727">
            <v>61</v>
          </cell>
          <cell r="P727">
            <v>63</v>
          </cell>
        </row>
        <row r="728">
          <cell r="O728">
            <v>66</v>
          </cell>
          <cell r="P728">
            <v>76</v>
          </cell>
        </row>
        <row r="729">
          <cell r="O729">
            <v>95</v>
          </cell>
          <cell r="P729">
            <v>103</v>
          </cell>
        </row>
        <row r="730">
          <cell r="O730">
            <v>183</v>
          </cell>
          <cell r="P730">
            <v>190</v>
          </cell>
        </row>
        <row r="731">
          <cell r="O731">
            <v>175</v>
          </cell>
          <cell r="P731">
            <v>182</v>
          </cell>
        </row>
        <row r="732">
          <cell r="O732">
            <v>88</v>
          </cell>
          <cell r="P732">
            <v>91</v>
          </cell>
        </row>
        <row r="733">
          <cell r="O733">
            <v>71</v>
          </cell>
          <cell r="P733">
            <v>75</v>
          </cell>
        </row>
        <row r="734">
          <cell r="O734">
            <v>62</v>
          </cell>
          <cell r="P734">
            <v>63</v>
          </cell>
        </row>
        <row r="735">
          <cell r="O735">
            <v>35</v>
          </cell>
          <cell r="P735">
            <v>40</v>
          </cell>
        </row>
        <row r="736">
          <cell r="O736">
            <v>29</v>
          </cell>
          <cell r="P736">
            <v>32</v>
          </cell>
        </row>
        <row r="737">
          <cell r="O737">
            <v>11</v>
          </cell>
          <cell r="P737">
            <v>12</v>
          </cell>
        </row>
        <row r="738">
          <cell r="O738">
            <v>5</v>
          </cell>
          <cell r="P738">
            <v>5</v>
          </cell>
        </row>
        <row r="739">
          <cell r="O739">
            <v>2</v>
          </cell>
          <cell r="P739">
            <v>2</v>
          </cell>
        </row>
        <row r="740">
          <cell r="O740">
            <v>1</v>
          </cell>
          <cell r="P740">
            <v>1</v>
          </cell>
        </row>
        <row r="741">
          <cell r="O741">
            <v>2</v>
          </cell>
          <cell r="P741">
            <v>2</v>
          </cell>
        </row>
        <row r="742">
          <cell r="O742">
            <v>39</v>
          </cell>
          <cell r="P742">
            <v>39</v>
          </cell>
        </row>
        <row r="743">
          <cell r="O743">
            <v>86</v>
          </cell>
          <cell r="P743">
            <v>87</v>
          </cell>
        </row>
        <row r="744">
          <cell r="O744">
            <v>184</v>
          </cell>
          <cell r="P744">
            <v>188</v>
          </cell>
        </row>
        <row r="745">
          <cell r="O745">
            <v>127</v>
          </cell>
          <cell r="P745">
            <v>133</v>
          </cell>
        </row>
        <row r="746">
          <cell r="O746">
            <v>50</v>
          </cell>
          <cell r="P746">
            <v>52</v>
          </cell>
        </row>
        <row r="747">
          <cell r="O747">
            <v>55</v>
          </cell>
          <cell r="P747">
            <v>64</v>
          </cell>
        </row>
        <row r="748">
          <cell r="O748">
            <v>67</v>
          </cell>
          <cell r="P748">
            <v>69</v>
          </cell>
        </row>
        <row r="749">
          <cell r="O749">
            <v>47</v>
          </cell>
          <cell r="P749">
            <v>51</v>
          </cell>
        </row>
        <row r="750">
          <cell r="O750">
            <v>43</v>
          </cell>
          <cell r="P750">
            <v>47</v>
          </cell>
        </row>
        <row r="751">
          <cell r="O751">
            <v>56</v>
          </cell>
          <cell r="P751">
            <v>60</v>
          </cell>
        </row>
        <row r="752">
          <cell r="O752">
            <v>73</v>
          </cell>
          <cell r="P752">
            <v>78</v>
          </cell>
        </row>
        <row r="753">
          <cell r="O753">
            <v>170</v>
          </cell>
          <cell r="P753">
            <v>175</v>
          </cell>
        </row>
        <row r="754">
          <cell r="O754">
            <v>145</v>
          </cell>
          <cell r="P754">
            <v>147</v>
          </cell>
        </row>
        <row r="755">
          <cell r="O755">
            <v>92</v>
          </cell>
          <cell r="P755">
            <v>96</v>
          </cell>
        </row>
        <row r="756">
          <cell r="O756">
            <v>108</v>
          </cell>
          <cell r="P756">
            <v>109</v>
          </cell>
        </row>
        <row r="757">
          <cell r="O757">
            <v>53</v>
          </cell>
          <cell r="P757">
            <v>54</v>
          </cell>
        </row>
        <row r="758">
          <cell r="O758">
            <v>39</v>
          </cell>
          <cell r="P758">
            <v>41</v>
          </cell>
        </row>
        <row r="759">
          <cell r="O759">
            <v>34</v>
          </cell>
          <cell r="P759">
            <v>38</v>
          </cell>
        </row>
        <row r="760">
          <cell r="O760">
            <v>10</v>
          </cell>
          <cell r="P760">
            <v>13</v>
          </cell>
        </row>
        <row r="761">
          <cell r="O761">
            <v>7</v>
          </cell>
          <cell r="P761">
            <v>7</v>
          </cell>
        </row>
        <row r="762">
          <cell r="O762">
            <v>1</v>
          </cell>
          <cell r="P762">
            <v>1</v>
          </cell>
        </row>
        <row r="763">
          <cell r="O763">
            <v>1</v>
          </cell>
          <cell r="P763">
            <v>1</v>
          </cell>
        </row>
        <row r="764">
          <cell r="O764">
            <v>7</v>
          </cell>
          <cell r="P764">
            <v>7</v>
          </cell>
        </row>
        <row r="765">
          <cell r="O765">
            <v>26</v>
          </cell>
          <cell r="P765">
            <v>28</v>
          </cell>
        </row>
        <row r="766">
          <cell r="O766">
            <v>87</v>
          </cell>
          <cell r="P766">
            <v>87</v>
          </cell>
        </row>
        <row r="767">
          <cell r="O767">
            <v>217</v>
          </cell>
          <cell r="P767">
            <v>220</v>
          </cell>
        </row>
        <row r="768">
          <cell r="O768">
            <v>124</v>
          </cell>
          <cell r="P768">
            <v>127</v>
          </cell>
        </row>
        <row r="769">
          <cell r="O769">
            <v>46</v>
          </cell>
          <cell r="P769">
            <v>51</v>
          </cell>
        </row>
        <row r="770">
          <cell r="O770">
            <v>61</v>
          </cell>
          <cell r="P770">
            <v>64</v>
          </cell>
        </row>
        <row r="771">
          <cell r="O771">
            <v>78</v>
          </cell>
          <cell r="P771">
            <v>86</v>
          </cell>
        </row>
        <row r="772">
          <cell r="O772">
            <v>73</v>
          </cell>
          <cell r="P772">
            <v>82</v>
          </cell>
        </row>
        <row r="773">
          <cell r="O773">
            <v>76</v>
          </cell>
          <cell r="P773">
            <v>91</v>
          </cell>
        </row>
        <row r="774">
          <cell r="O774">
            <v>81</v>
          </cell>
          <cell r="P774">
            <v>90</v>
          </cell>
        </row>
        <row r="775">
          <cell r="O775">
            <v>91</v>
          </cell>
          <cell r="P775">
            <v>99</v>
          </cell>
        </row>
        <row r="776">
          <cell r="O776">
            <v>195</v>
          </cell>
          <cell r="P776">
            <v>205</v>
          </cell>
        </row>
        <row r="777">
          <cell r="O777">
            <v>152</v>
          </cell>
          <cell r="P777">
            <v>155</v>
          </cell>
        </row>
        <row r="778">
          <cell r="O778">
            <v>102</v>
          </cell>
          <cell r="P778">
            <v>103</v>
          </cell>
        </row>
        <row r="779">
          <cell r="O779">
            <v>69</v>
          </cell>
          <cell r="P779">
            <v>71</v>
          </cell>
        </row>
        <row r="780">
          <cell r="O780">
            <v>41</v>
          </cell>
          <cell r="P780">
            <v>43</v>
          </cell>
        </row>
        <row r="781">
          <cell r="O781">
            <v>45</v>
          </cell>
          <cell r="P781">
            <v>46</v>
          </cell>
        </row>
        <row r="782">
          <cell r="O782">
            <v>30</v>
          </cell>
          <cell r="P782">
            <v>31</v>
          </cell>
        </row>
        <row r="783">
          <cell r="O783">
            <v>36</v>
          </cell>
          <cell r="P783">
            <v>39</v>
          </cell>
        </row>
        <row r="784">
          <cell r="O784">
            <v>17</v>
          </cell>
          <cell r="P784">
            <v>18</v>
          </cell>
        </row>
        <row r="785">
          <cell r="O785">
            <v>12</v>
          </cell>
          <cell r="P785">
            <v>17</v>
          </cell>
        </row>
        <row r="786">
          <cell r="O786">
            <v>10</v>
          </cell>
          <cell r="P786">
            <v>11</v>
          </cell>
        </row>
        <row r="787">
          <cell r="O787">
            <v>8</v>
          </cell>
          <cell r="P787">
            <v>8</v>
          </cell>
        </row>
        <row r="788">
          <cell r="O788">
            <v>9</v>
          </cell>
          <cell r="P788">
            <v>9</v>
          </cell>
        </row>
        <row r="789">
          <cell r="O789">
            <v>4</v>
          </cell>
          <cell r="P789">
            <v>4</v>
          </cell>
        </row>
        <row r="790">
          <cell r="O790">
            <v>4</v>
          </cell>
          <cell r="P790">
            <v>4</v>
          </cell>
        </row>
        <row r="791">
          <cell r="O791">
            <v>10</v>
          </cell>
          <cell r="P791">
            <v>10</v>
          </cell>
        </row>
        <row r="792">
          <cell r="O792">
            <v>17</v>
          </cell>
          <cell r="P792">
            <v>20</v>
          </cell>
        </row>
        <row r="793">
          <cell r="O793">
            <v>31</v>
          </cell>
          <cell r="P793">
            <v>34</v>
          </cell>
        </row>
        <row r="794">
          <cell r="O794">
            <v>46</v>
          </cell>
          <cell r="P794">
            <v>47</v>
          </cell>
        </row>
        <row r="795">
          <cell r="O795">
            <v>42</v>
          </cell>
          <cell r="P795">
            <v>52</v>
          </cell>
        </row>
        <row r="796">
          <cell r="O796">
            <v>62</v>
          </cell>
          <cell r="P796">
            <v>72</v>
          </cell>
        </row>
        <row r="797">
          <cell r="O797">
            <v>50</v>
          </cell>
          <cell r="P797">
            <v>55</v>
          </cell>
        </row>
        <row r="798">
          <cell r="O798">
            <v>49</v>
          </cell>
          <cell r="P798">
            <v>60</v>
          </cell>
        </row>
        <row r="799">
          <cell r="O799">
            <v>63</v>
          </cell>
          <cell r="P799">
            <v>71</v>
          </cell>
        </row>
        <row r="800">
          <cell r="O800">
            <v>64</v>
          </cell>
          <cell r="P800">
            <v>78</v>
          </cell>
        </row>
        <row r="801">
          <cell r="O801">
            <v>81</v>
          </cell>
          <cell r="P801">
            <v>83</v>
          </cell>
        </row>
        <row r="802">
          <cell r="O802">
            <v>78</v>
          </cell>
          <cell r="P802">
            <v>84</v>
          </cell>
        </row>
        <row r="803">
          <cell r="O803">
            <v>64</v>
          </cell>
          <cell r="P803">
            <v>69</v>
          </cell>
        </row>
        <row r="804">
          <cell r="O804">
            <v>53</v>
          </cell>
          <cell r="P804">
            <v>56</v>
          </cell>
        </row>
        <row r="805">
          <cell r="O805">
            <v>43</v>
          </cell>
          <cell r="P805">
            <v>45</v>
          </cell>
        </row>
        <row r="806">
          <cell r="O806">
            <v>52</v>
          </cell>
          <cell r="P806">
            <v>59</v>
          </cell>
        </row>
        <row r="807">
          <cell r="O807">
            <v>37</v>
          </cell>
          <cell r="P807">
            <v>39</v>
          </cell>
        </row>
        <row r="808">
          <cell r="O808">
            <v>40</v>
          </cell>
          <cell r="P808">
            <v>44</v>
          </cell>
        </row>
        <row r="809">
          <cell r="O809">
            <v>20</v>
          </cell>
          <cell r="P809">
            <v>20</v>
          </cell>
        </row>
        <row r="810">
          <cell r="O810">
            <v>10</v>
          </cell>
          <cell r="P810">
            <v>13</v>
          </cell>
        </row>
        <row r="811">
          <cell r="O811">
            <v>2</v>
          </cell>
          <cell r="P811">
            <v>2</v>
          </cell>
        </row>
        <row r="812">
          <cell r="O812">
            <v>1</v>
          </cell>
          <cell r="P812">
            <v>1</v>
          </cell>
        </row>
        <row r="813">
          <cell r="O813">
            <v>1</v>
          </cell>
          <cell r="P813">
            <v>1</v>
          </cell>
        </row>
        <row r="814">
          <cell r="O814">
            <v>8</v>
          </cell>
          <cell r="P814">
            <v>8</v>
          </cell>
        </row>
        <row r="815">
          <cell r="O815">
            <v>21</v>
          </cell>
          <cell r="P815">
            <v>23</v>
          </cell>
        </row>
        <row r="816">
          <cell r="O816">
            <v>38</v>
          </cell>
          <cell r="P816">
            <v>45</v>
          </cell>
        </row>
        <row r="817">
          <cell r="O817">
            <v>74</v>
          </cell>
          <cell r="P817">
            <v>89</v>
          </cell>
        </row>
        <row r="818">
          <cell r="O818">
            <v>89</v>
          </cell>
          <cell r="P818">
            <v>117</v>
          </cell>
        </row>
        <row r="819">
          <cell r="O819">
            <v>126</v>
          </cell>
          <cell r="P819">
            <v>174</v>
          </cell>
        </row>
        <row r="820">
          <cell r="O820">
            <v>135</v>
          </cell>
          <cell r="P820">
            <v>182</v>
          </cell>
        </row>
        <row r="821">
          <cell r="O821">
            <v>114</v>
          </cell>
          <cell r="P821">
            <v>161</v>
          </cell>
        </row>
        <row r="822">
          <cell r="O822">
            <v>130</v>
          </cell>
          <cell r="P822">
            <v>182</v>
          </cell>
        </row>
        <row r="823">
          <cell r="O823">
            <v>115</v>
          </cell>
          <cell r="P823">
            <v>157</v>
          </cell>
        </row>
        <row r="824">
          <cell r="O824">
            <v>97</v>
          </cell>
          <cell r="P824">
            <v>121</v>
          </cell>
        </row>
        <row r="825">
          <cell r="O825">
            <v>65</v>
          </cell>
          <cell r="P825">
            <v>78</v>
          </cell>
        </row>
        <row r="826">
          <cell r="O826">
            <v>20</v>
          </cell>
          <cell r="P826">
            <v>21</v>
          </cell>
        </row>
        <row r="827">
          <cell r="O827">
            <v>21</v>
          </cell>
          <cell r="P827">
            <v>26</v>
          </cell>
        </row>
        <row r="828">
          <cell r="O828">
            <v>22</v>
          </cell>
          <cell r="P828">
            <v>27</v>
          </cell>
        </row>
        <row r="829">
          <cell r="O829">
            <v>57</v>
          </cell>
          <cell r="P829">
            <v>62</v>
          </cell>
        </row>
        <row r="830">
          <cell r="O830">
            <v>26</v>
          </cell>
          <cell r="P830">
            <v>30</v>
          </cell>
        </row>
        <row r="831">
          <cell r="O831">
            <v>14</v>
          </cell>
          <cell r="P831">
            <v>15</v>
          </cell>
        </row>
        <row r="832">
          <cell r="O832">
            <v>4</v>
          </cell>
          <cell r="P832">
            <v>5</v>
          </cell>
        </row>
        <row r="833">
          <cell r="O833">
            <v>3</v>
          </cell>
          <cell r="P833">
            <v>3</v>
          </cell>
        </row>
        <row r="834">
          <cell r="O834">
            <v>1</v>
          </cell>
          <cell r="P834">
            <v>1</v>
          </cell>
        </row>
        <row r="835">
          <cell r="O835">
            <v>1</v>
          </cell>
          <cell r="P835">
            <v>2</v>
          </cell>
        </row>
        <row r="836">
          <cell r="O836">
            <v>9</v>
          </cell>
          <cell r="P836">
            <v>10</v>
          </cell>
        </row>
        <row r="837">
          <cell r="O837">
            <v>29</v>
          </cell>
          <cell r="P837">
            <v>30</v>
          </cell>
        </row>
        <row r="838">
          <cell r="O838">
            <v>89</v>
          </cell>
          <cell r="P838">
            <v>95</v>
          </cell>
        </row>
        <row r="839">
          <cell r="O839">
            <v>223</v>
          </cell>
          <cell r="P839">
            <v>230</v>
          </cell>
        </row>
        <row r="840">
          <cell r="O840">
            <v>115</v>
          </cell>
          <cell r="P840">
            <v>118</v>
          </cell>
        </row>
        <row r="841">
          <cell r="O841">
            <v>49</v>
          </cell>
          <cell r="P841">
            <v>55</v>
          </cell>
        </row>
        <row r="842">
          <cell r="O842">
            <v>36</v>
          </cell>
          <cell r="P842">
            <v>47</v>
          </cell>
        </row>
        <row r="843">
          <cell r="O843">
            <v>59</v>
          </cell>
          <cell r="P843">
            <v>66</v>
          </cell>
        </row>
        <row r="844">
          <cell r="O844">
            <v>54</v>
          </cell>
          <cell r="P844">
            <v>64</v>
          </cell>
        </row>
        <row r="845">
          <cell r="O845">
            <v>52</v>
          </cell>
          <cell r="P845">
            <v>60</v>
          </cell>
        </row>
        <row r="846">
          <cell r="O846">
            <v>46</v>
          </cell>
          <cell r="P846">
            <v>50</v>
          </cell>
        </row>
        <row r="847">
          <cell r="O847">
            <v>98</v>
          </cell>
          <cell r="P847">
            <v>114</v>
          </cell>
        </row>
        <row r="848">
          <cell r="O848">
            <v>207</v>
          </cell>
          <cell r="P848">
            <v>216</v>
          </cell>
        </row>
        <row r="849">
          <cell r="O849">
            <v>170</v>
          </cell>
          <cell r="P849">
            <v>175</v>
          </cell>
        </row>
        <row r="850">
          <cell r="O850">
            <v>123</v>
          </cell>
          <cell r="P850">
            <v>128</v>
          </cell>
        </row>
        <row r="851">
          <cell r="O851">
            <v>82</v>
          </cell>
          <cell r="P851">
            <v>88</v>
          </cell>
        </row>
        <row r="852">
          <cell r="O852">
            <v>75</v>
          </cell>
          <cell r="P852">
            <v>78</v>
          </cell>
        </row>
        <row r="853">
          <cell r="O853">
            <v>34</v>
          </cell>
          <cell r="P853">
            <v>37</v>
          </cell>
        </row>
        <row r="854">
          <cell r="O854">
            <v>19</v>
          </cell>
          <cell r="P854">
            <v>25</v>
          </cell>
        </row>
        <row r="855">
          <cell r="O855">
            <v>6</v>
          </cell>
          <cell r="P855">
            <v>10</v>
          </cell>
        </row>
        <row r="856">
          <cell r="O856">
            <v>4</v>
          </cell>
          <cell r="P856">
            <v>4</v>
          </cell>
        </row>
        <row r="857">
          <cell r="O857">
            <v>1</v>
          </cell>
          <cell r="P857">
            <v>2</v>
          </cell>
        </row>
        <row r="858">
          <cell r="O858">
            <v>1</v>
          </cell>
          <cell r="P858">
            <v>1</v>
          </cell>
        </row>
        <row r="859">
          <cell r="O859">
            <v>3</v>
          </cell>
          <cell r="P859">
            <v>3</v>
          </cell>
        </row>
        <row r="860">
          <cell r="O860">
            <v>2</v>
          </cell>
          <cell r="P860">
            <v>2</v>
          </cell>
        </row>
        <row r="861">
          <cell r="O861">
            <v>39</v>
          </cell>
          <cell r="P861">
            <v>39</v>
          </cell>
        </row>
        <row r="862">
          <cell r="O862">
            <v>97</v>
          </cell>
          <cell r="P862">
            <v>100</v>
          </cell>
        </row>
        <row r="863">
          <cell r="O863">
            <v>236</v>
          </cell>
          <cell r="P863">
            <v>243</v>
          </cell>
        </row>
        <row r="864">
          <cell r="O864">
            <v>128</v>
          </cell>
          <cell r="P864">
            <v>135</v>
          </cell>
        </row>
        <row r="865">
          <cell r="O865">
            <v>44</v>
          </cell>
          <cell r="P865">
            <v>48</v>
          </cell>
        </row>
        <row r="866">
          <cell r="O866">
            <v>49</v>
          </cell>
          <cell r="P866">
            <v>50</v>
          </cell>
        </row>
        <row r="867">
          <cell r="O867">
            <v>63</v>
          </cell>
          <cell r="P867">
            <v>65</v>
          </cell>
        </row>
        <row r="868">
          <cell r="O868">
            <v>48</v>
          </cell>
          <cell r="P868">
            <v>50</v>
          </cell>
        </row>
        <row r="869">
          <cell r="O869">
            <v>61</v>
          </cell>
          <cell r="P869">
            <v>64</v>
          </cell>
        </row>
        <row r="870">
          <cell r="O870">
            <v>45</v>
          </cell>
          <cell r="P870">
            <v>51</v>
          </cell>
        </row>
        <row r="871">
          <cell r="O871">
            <v>79</v>
          </cell>
          <cell r="P871">
            <v>83</v>
          </cell>
        </row>
        <row r="872">
          <cell r="O872">
            <v>172</v>
          </cell>
          <cell r="P872">
            <v>176</v>
          </cell>
        </row>
        <row r="873">
          <cell r="O873">
            <v>151</v>
          </cell>
          <cell r="P873">
            <v>152</v>
          </cell>
        </row>
        <row r="874">
          <cell r="O874">
            <v>100</v>
          </cell>
          <cell r="P874">
            <v>101</v>
          </cell>
        </row>
        <row r="875">
          <cell r="O875">
            <v>53</v>
          </cell>
          <cell r="P875">
            <v>56</v>
          </cell>
        </row>
        <row r="876">
          <cell r="O876">
            <v>46</v>
          </cell>
          <cell r="P876">
            <v>54</v>
          </cell>
        </row>
        <row r="877">
          <cell r="O877">
            <v>29</v>
          </cell>
          <cell r="P877">
            <v>29</v>
          </cell>
        </row>
        <row r="878">
          <cell r="O878">
            <v>9</v>
          </cell>
          <cell r="P878">
            <v>12</v>
          </cell>
        </row>
        <row r="879">
          <cell r="O879">
            <v>17</v>
          </cell>
          <cell r="P879">
            <v>17</v>
          </cell>
        </row>
        <row r="880">
          <cell r="O880">
            <v>7</v>
          </cell>
          <cell r="P880">
            <v>7</v>
          </cell>
        </row>
        <row r="881">
          <cell r="O881">
            <v>2</v>
          </cell>
          <cell r="P881">
            <v>3</v>
          </cell>
        </row>
        <row r="882">
          <cell r="O882">
            <v>2</v>
          </cell>
          <cell r="P882">
            <v>2</v>
          </cell>
        </row>
        <row r="883">
          <cell r="O883">
            <v>7</v>
          </cell>
          <cell r="P883">
            <v>7</v>
          </cell>
        </row>
        <row r="884">
          <cell r="O884">
            <v>43</v>
          </cell>
          <cell r="P884">
            <v>43</v>
          </cell>
        </row>
        <row r="885">
          <cell r="O885">
            <v>95</v>
          </cell>
          <cell r="P885">
            <v>99</v>
          </cell>
        </row>
        <row r="886">
          <cell r="O886">
            <v>198</v>
          </cell>
          <cell r="P886">
            <v>199</v>
          </cell>
        </row>
        <row r="887">
          <cell r="O887">
            <v>119</v>
          </cell>
          <cell r="P887">
            <v>123</v>
          </cell>
        </row>
        <row r="888">
          <cell r="O888">
            <v>51</v>
          </cell>
          <cell r="P888">
            <v>59</v>
          </cell>
        </row>
        <row r="889">
          <cell r="O889">
            <v>40</v>
          </cell>
          <cell r="P889">
            <v>41</v>
          </cell>
        </row>
        <row r="890">
          <cell r="O890">
            <v>57</v>
          </cell>
          <cell r="P890">
            <v>61</v>
          </cell>
        </row>
        <row r="891">
          <cell r="O891">
            <v>67</v>
          </cell>
          <cell r="P891">
            <v>69</v>
          </cell>
        </row>
        <row r="892">
          <cell r="O892">
            <v>56</v>
          </cell>
          <cell r="P892">
            <v>58</v>
          </cell>
        </row>
        <row r="893">
          <cell r="O893">
            <v>61</v>
          </cell>
          <cell r="P893">
            <v>64</v>
          </cell>
        </row>
        <row r="894">
          <cell r="O894">
            <v>72</v>
          </cell>
          <cell r="P894">
            <v>79</v>
          </cell>
        </row>
        <row r="895">
          <cell r="O895">
            <v>157</v>
          </cell>
          <cell r="P895">
            <v>166</v>
          </cell>
        </row>
        <row r="896">
          <cell r="O896">
            <v>168</v>
          </cell>
          <cell r="P896">
            <v>170</v>
          </cell>
        </row>
        <row r="897">
          <cell r="O897">
            <v>87</v>
          </cell>
          <cell r="P897">
            <v>88</v>
          </cell>
        </row>
        <row r="898">
          <cell r="O898">
            <v>84</v>
          </cell>
          <cell r="P898">
            <v>84</v>
          </cell>
        </row>
        <row r="899">
          <cell r="O899">
            <v>83</v>
          </cell>
          <cell r="P899">
            <v>83</v>
          </cell>
        </row>
        <row r="900">
          <cell r="O900">
            <v>42</v>
          </cell>
          <cell r="P900">
            <v>46</v>
          </cell>
        </row>
        <row r="901">
          <cell r="O901">
            <v>37</v>
          </cell>
          <cell r="P901">
            <v>37</v>
          </cell>
        </row>
        <row r="902">
          <cell r="O902">
            <v>16</v>
          </cell>
          <cell r="P902">
            <v>16</v>
          </cell>
        </row>
        <row r="903">
          <cell r="O903">
            <v>7</v>
          </cell>
          <cell r="P903">
            <v>7</v>
          </cell>
        </row>
        <row r="904">
          <cell r="O904">
            <v>3</v>
          </cell>
          <cell r="P904">
            <v>3</v>
          </cell>
        </row>
        <row r="905">
          <cell r="O905">
            <v>1</v>
          </cell>
          <cell r="P905">
            <v>1</v>
          </cell>
        </row>
        <row r="906">
          <cell r="O906">
            <v>6</v>
          </cell>
          <cell r="P906">
            <v>6</v>
          </cell>
        </row>
        <row r="907">
          <cell r="O907">
            <v>26</v>
          </cell>
          <cell r="P907">
            <v>26</v>
          </cell>
        </row>
        <row r="908">
          <cell r="O908">
            <v>99</v>
          </cell>
          <cell r="P908">
            <v>99</v>
          </cell>
        </row>
        <row r="909">
          <cell r="O909">
            <v>173</v>
          </cell>
          <cell r="P909">
            <v>178</v>
          </cell>
        </row>
        <row r="910">
          <cell r="O910">
            <v>121</v>
          </cell>
          <cell r="P910">
            <v>122</v>
          </cell>
        </row>
        <row r="911">
          <cell r="O911">
            <v>34</v>
          </cell>
          <cell r="P911">
            <v>35</v>
          </cell>
        </row>
        <row r="912">
          <cell r="O912">
            <v>44</v>
          </cell>
          <cell r="P912">
            <v>45</v>
          </cell>
        </row>
        <row r="913">
          <cell r="O913">
            <v>65</v>
          </cell>
          <cell r="P913">
            <v>69</v>
          </cell>
        </row>
        <row r="914">
          <cell r="O914">
            <v>59</v>
          </cell>
          <cell r="P914">
            <v>62</v>
          </cell>
        </row>
        <row r="915">
          <cell r="O915">
            <v>42</v>
          </cell>
          <cell r="P915">
            <v>48</v>
          </cell>
        </row>
        <row r="916">
          <cell r="O916">
            <v>50</v>
          </cell>
          <cell r="P916">
            <v>50</v>
          </cell>
        </row>
        <row r="917">
          <cell r="O917">
            <v>76</v>
          </cell>
          <cell r="P917">
            <v>80</v>
          </cell>
        </row>
        <row r="918">
          <cell r="O918">
            <v>159</v>
          </cell>
          <cell r="P918">
            <v>165</v>
          </cell>
        </row>
        <row r="919">
          <cell r="O919">
            <v>157</v>
          </cell>
          <cell r="P919">
            <v>160</v>
          </cell>
        </row>
        <row r="920">
          <cell r="O920">
            <v>110</v>
          </cell>
          <cell r="P920">
            <v>112</v>
          </cell>
        </row>
        <row r="921">
          <cell r="O921">
            <v>93</v>
          </cell>
          <cell r="P921">
            <v>97</v>
          </cell>
        </row>
        <row r="922">
          <cell r="O922">
            <v>70</v>
          </cell>
          <cell r="P922">
            <v>72</v>
          </cell>
        </row>
        <row r="923">
          <cell r="O923">
            <v>47</v>
          </cell>
          <cell r="P923">
            <v>51</v>
          </cell>
        </row>
        <row r="924">
          <cell r="O924">
            <v>33</v>
          </cell>
          <cell r="P924">
            <v>34</v>
          </cell>
        </row>
        <row r="925">
          <cell r="O925">
            <v>12</v>
          </cell>
          <cell r="P925">
            <v>14</v>
          </cell>
        </row>
        <row r="926">
          <cell r="O926">
            <v>6</v>
          </cell>
          <cell r="P926">
            <v>7</v>
          </cell>
        </row>
        <row r="927">
          <cell r="O927">
            <v>3</v>
          </cell>
          <cell r="P927">
            <v>3</v>
          </cell>
        </row>
        <row r="928">
          <cell r="O928">
            <v>4</v>
          </cell>
          <cell r="P928">
            <v>4</v>
          </cell>
        </row>
        <row r="929">
          <cell r="O929">
            <v>23</v>
          </cell>
          <cell r="P929">
            <v>24</v>
          </cell>
        </row>
        <row r="930">
          <cell r="O930">
            <v>73</v>
          </cell>
          <cell r="P930">
            <v>74</v>
          </cell>
        </row>
        <row r="931">
          <cell r="O931">
            <v>212</v>
          </cell>
          <cell r="P931">
            <v>216</v>
          </cell>
        </row>
        <row r="932">
          <cell r="O932">
            <v>132</v>
          </cell>
          <cell r="P932">
            <v>140</v>
          </cell>
        </row>
        <row r="933">
          <cell r="O933">
            <v>39</v>
          </cell>
          <cell r="P933">
            <v>44</v>
          </cell>
        </row>
        <row r="934">
          <cell r="O934">
            <v>52</v>
          </cell>
          <cell r="P934">
            <v>64</v>
          </cell>
        </row>
        <row r="935">
          <cell r="O935">
            <v>64</v>
          </cell>
          <cell r="P935">
            <v>71</v>
          </cell>
        </row>
        <row r="936">
          <cell r="O936">
            <v>89</v>
          </cell>
          <cell r="P936">
            <v>110</v>
          </cell>
        </row>
        <row r="937">
          <cell r="O937">
            <v>67</v>
          </cell>
          <cell r="P937">
            <v>84</v>
          </cell>
        </row>
        <row r="938">
          <cell r="O938">
            <v>62</v>
          </cell>
          <cell r="P938">
            <v>74</v>
          </cell>
        </row>
        <row r="939">
          <cell r="O939">
            <v>111</v>
          </cell>
          <cell r="P939">
            <v>125</v>
          </cell>
        </row>
        <row r="940">
          <cell r="O940">
            <v>193</v>
          </cell>
          <cell r="P940">
            <v>211</v>
          </cell>
        </row>
        <row r="941">
          <cell r="O941">
            <v>165</v>
          </cell>
          <cell r="P941">
            <v>174</v>
          </cell>
        </row>
        <row r="942">
          <cell r="O942">
            <v>94</v>
          </cell>
          <cell r="P942">
            <v>101</v>
          </cell>
        </row>
        <row r="943">
          <cell r="O943">
            <v>61</v>
          </cell>
          <cell r="P943">
            <v>63</v>
          </cell>
        </row>
        <row r="944">
          <cell r="O944">
            <v>46</v>
          </cell>
          <cell r="P944">
            <v>47</v>
          </cell>
        </row>
        <row r="945">
          <cell r="O945">
            <v>41</v>
          </cell>
          <cell r="P945">
            <v>43</v>
          </cell>
        </row>
        <row r="946">
          <cell r="O946">
            <v>48</v>
          </cell>
          <cell r="P946">
            <v>53</v>
          </cell>
        </row>
        <row r="947">
          <cell r="O947">
            <v>27</v>
          </cell>
          <cell r="P947">
            <v>30</v>
          </cell>
        </row>
        <row r="948">
          <cell r="O948">
            <v>22</v>
          </cell>
          <cell r="P948">
            <v>24</v>
          </cell>
        </row>
        <row r="949">
          <cell r="O949">
            <v>13</v>
          </cell>
          <cell r="P949">
            <v>15</v>
          </cell>
        </row>
        <row r="950">
          <cell r="O950">
            <v>7</v>
          </cell>
          <cell r="P950">
            <v>10</v>
          </cell>
        </row>
        <row r="951">
          <cell r="O951">
            <v>4</v>
          </cell>
          <cell r="P951">
            <v>4</v>
          </cell>
        </row>
        <row r="952">
          <cell r="O952">
            <v>1</v>
          </cell>
          <cell r="P952">
            <v>1</v>
          </cell>
        </row>
        <row r="953">
          <cell r="O953">
            <v>1</v>
          </cell>
          <cell r="P953">
            <v>2</v>
          </cell>
        </row>
        <row r="954">
          <cell r="O954">
            <v>9</v>
          </cell>
          <cell r="P954">
            <v>11</v>
          </cell>
        </row>
        <row r="955">
          <cell r="O955">
            <v>28</v>
          </cell>
          <cell r="P955">
            <v>30</v>
          </cell>
        </row>
        <row r="956">
          <cell r="O956">
            <v>38</v>
          </cell>
          <cell r="P956">
            <v>43</v>
          </cell>
        </row>
        <row r="957">
          <cell r="O957">
            <v>71</v>
          </cell>
          <cell r="P957">
            <v>84</v>
          </cell>
        </row>
        <row r="958">
          <cell r="O958">
            <v>84</v>
          </cell>
          <cell r="P958">
            <v>114</v>
          </cell>
        </row>
        <row r="959">
          <cell r="O959">
            <v>93</v>
          </cell>
          <cell r="P959">
            <v>120</v>
          </cell>
        </row>
        <row r="960">
          <cell r="O960">
            <v>103</v>
          </cell>
          <cell r="P960">
            <v>135</v>
          </cell>
        </row>
        <row r="961">
          <cell r="O961">
            <v>90</v>
          </cell>
          <cell r="P961">
            <v>120</v>
          </cell>
        </row>
        <row r="962">
          <cell r="O962">
            <v>127</v>
          </cell>
          <cell r="P962">
            <v>174</v>
          </cell>
        </row>
        <row r="963">
          <cell r="O963">
            <v>103</v>
          </cell>
          <cell r="P963">
            <v>145</v>
          </cell>
        </row>
        <row r="964">
          <cell r="O964">
            <v>113</v>
          </cell>
          <cell r="P964">
            <v>137</v>
          </cell>
        </row>
        <row r="965">
          <cell r="O965">
            <v>60</v>
          </cell>
          <cell r="P965">
            <v>64</v>
          </cell>
        </row>
        <row r="966">
          <cell r="O966">
            <v>39</v>
          </cell>
          <cell r="P966">
            <v>41</v>
          </cell>
        </row>
        <row r="967">
          <cell r="O967">
            <v>39</v>
          </cell>
          <cell r="P967">
            <v>40</v>
          </cell>
        </row>
        <row r="968">
          <cell r="O968">
            <v>42</v>
          </cell>
          <cell r="P968">
            <v>51</v>
          </cell>
        </row>
        <row r="969">
          <cell r="O969">
            <v>39</v>
          </cell>
          <cell r="P969">
            <v>45</v>
          </cell>
        </row>
        <row r="970">
          <cell r="O970">
            <v>31</v>
          </cell>
          <cell r="P970">
            <v>32</v>
          </cell>
        </row>
        <row r="971">
          <cell r="O971">
            <v>34</v>
          </cell>
          <cell r="P971">
            <v>39</v>
          </cell>
        </row>
        <row r="972">
          <cell r="O972">
            <v>23</v>
          </cell>
          <cell r="P972">
            <v>24</v>
          </cell>
        </row>
        <row r="973">
          <cell r="O973">
            <v>19</v>
          </cell>
          <cell r="P973">
            <v>20</v>
          </cell>
        </row>
        <row r="974">
          <cell r="O974">
            <v>8</v>
          </cell>
          <cell r="P974">
            <v>12</v>
          </cell>
        </row>
        <row r="975">
          <cell r="O975">
            <v>2</v>
          </cell>
          <cell r="P975">
            <v>2</v>
          </cell>
        </row>
        <row r="976">
          <cell r="O976">
            <v>3</v>
          </cell>
          <cell r="P976">
            <v>5</v>
          </cell>
        </row>
        <row r="977">
          <cell r="O977">
            <v>3</v>
          </cell>
          <cell r="P977">
            <v>3</v>
          </cell>
        </row>
        <row r="978">
          <cell r="O978">
            <v>11</v>
          </cell>
          <cell r="P978">
            <v>12</v>
          </cell>
        </row>
        <row r="979">
          <cell r="O979">
            <v>35</v>
          </cell>
          <cell r="P979">
            <v>47</v>
          </cell>
        </row>
        <row r="980">
          <cell r="O980">
            <v>86</v>
          </cell>
          <cell r="P980">
            <v>105</v>
          </cell>
        </row>
        <row r="981">
          <cell r="O981">
            <v>86</v>
          </cell>
          <cell r="P981">
            <v>112</v>
          </cell>
        </row>
        <row r="982">
          <cell r="O982">
            <v>94</v>
          </cell>
          <cell r="P982">
            <v>152</v>
          </cell>
        </row>
        <row r="983">
          <cell r="O983">
            <v>92</v>
          </cell>
          <cell r="P983">
            <v>154</v>
          </cell>
        </row>
        <row r="984">
          <cell r="O984">
            <v>110</v>
          </cell>
          <cell r="P984">
            <v>161</v>
          </cell>
        </row>
        <row r="985">
          <cell r="O985">
            <v>122</v>
          </cell>
          <cell r="P985">
            <v>162</v>
          </cell>
        </row>
        <row r="986">
          <cell r="O986">
            <v>106</v>
          </cell>
          <cell r="P986">
            <v>134</v>
          </cell>
        </row>
        <row r="987">
          <cell r="O987">
            <v>95</v>
          </cell>
          <cell r="P987">
            <v>125</v>
          </cell>
        </row>
        <row r="988">
          <cell r="O988">
            <v>78</v>
          </cell>
          <cell r="P988">
            <v>95</v>
          </cell>
        </row>
        <row r="989">
          <cell r="O989">
            <v>50</v>
          </cell>
          <cell r="P989">
            <v>61</v>
          </cell>
        </row>
        <row r="990">
          <cell r="O990">
            <v>32</v>
          </cell>
          <cell r="P990">
            <v>47</v>
          </cell>
        </row>
        <row r="991">
          <cell r="O991">
            <v>45</v>
          </cell>
          <cell r="P991">
            <v>51</v>
          </cell>
        </row>
        <row r="992">
          <cell r="O992">
            <v>31</v>
          </cell>
          <cell r="P992">
            <v>36</v>
          </cell>
        </row>
        <row r="993">
          <cell r="O993">
            <v>27</v>
          </cell>
          <cell r="P993">
            <v>30</v>
          </cell>
        </row>
        <row r="994">
          <cell r="O994">
            <v>8</v>
          </cell>
          <cell r="P994">
            <v>11</v>
          </cell>
        </row>
        <row r="995">
          <cell r="O995">
            <v>6</v>
          </cell>
          <cell r="P995">
            <v>7</v>
          </cell>
        </row>
        <row r="996">
          <cell r="O996">
            <v>2</v>
          </cell>
          <cell r="P996">
            <v>2</v>
          </cell>
        </row>
        <row r="997">
          <cell r="O997">
            <v>1</v>
          </cell>
          <cell r="P997">
            <v>2</v>
          </cell>
        </row>
        <row r="998">
          <cell r="O998">
            <v>2</v>
          </cell>
          <cell r="P998">
            <v>2</v>
          </cell>
        </row>
        <row r="999">
          <cell r="O999">
            <v>3</v>
          </cell>
          <cell r="P999">
            <v>3</v>
          </cell>
        </row>
        <row r="1000">
          <cell r="O1000">
            <v>25</v>
          </cell>
          <cell r="P1000">
            <v>26</v>
          </cell>
        </row>
        <row r="1001">
          <cell r="O1001">
            <v>96</v>
          </cell>
          <cell r="P1001">
            <v>98</v>
          </cell>
        </row>
      </sheetData>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ashwi\AppData\Local\Packages\5319275A.WhatsAppDesktop_cv1g1gvanyjgm\LocalState\sessions\269DFA86A7991A69371303A9C6E61B5485C0FA69\transfers\2026-03\Bike_Sharing_Demand_Intelligence.xlsm"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esh" refreshedDate="46040.652507523148" createdVersion="8" refreshedVersion="8" minRefreshableVersion="3" recordCount="1000" xr:uid="{69E35256-9919-410D-B52A-D453B81B865C}">
  <cacheSource type="worksheet">
    <worksheetSource name="Bike_Sharing_Master6" r:id="rId2"/>
  </cacheSource>
  <cacheFields count="23">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2"/>
    </cacheField>
    <cacheField name="Season" numFmtId="1">
      <sharedItems containsSemiMixedTypes="0" containsString="0" containsNumber="1" containsInteger="1" minValue="1" maxValue="1"/>
    </cacheField>
    <cacheField name="Year" numFmtId="1">
      <sharedItems containsSemiMixedTypes="0" containsString="0" containsNumber="1" containsInteger="1" minValue="0" maxValue="0"/>
    </cacheField>
    <cacheField name="Month" numFmtId="1">
      <sharedItems containsSemiMixedTypes="0" containsString="0" containsNumber="1" containsInteger="1" minValue="1" maxValue="2" count="2">
        <n v="1"/>
        <n v="2"/>
      </sharedItems>
    </cacheField>
    <cacheField name="Hr" numFmtId="1">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1">
      <sharedItems containsSemiMixedTypes="0" containsString="0" containsNumber="1" containsInteger="1" minValue="0" maxValue="6"/>
    </cacheField>
    <cacheField name="Weathersit" numFmtId="1">
      <sharedItems containsSemiMixedTypes="0" containsString="0" containsNumber="1" containsInteger="1" minValue="1" maxValue="4"/>
    </cacheField>
    <cacheField name="Temp" numFmtId="2">
      <sharedItems containsSemiMixedTypes="0" containsString="0" containsNumber="1" minValue="0.02" maxValue="0.46"/>
    </cacheField>
    <cacheField name="Atemp" numFmtId="2">
      <sharedItems containsSemiMixedTypes="0" containsString="0" containsNumber="1" minValue="0" maxValue="0.45450000000000002"/>
    </cacheField>
    <cacheField name="Hum" numFmtId="2">
      <sharedItems containsSemiMixedTypes="0" containsString="0" containsNumber="1" minValue="0.21" maxValue="1"/>
    </cacheField>
    <cacheField name="Windspeed" numFmtId="2">
      <sharedItems containsSemiMixedTypes="0" containsString="0" containsNumber="1" minValue="0" maxValue="0.58209999999999995"/>
    </cacheField>
    <cacheField name="Casual" numFmtId="1">
      <sharedItems containsSemiMixedTypes="0" containsString="0" containsNumber="1" containsInteger="1" minValue="0" maxValue="62"/>
    </cacheField>
    <cacheField name="Registered" numFmtId="1">
      <sharedItems containsSemiMixedTypes="0" containsString="0" containsNumber="1" containsInteger="1" minValue="0" maxValue="247"/>
    </cacheField>
    <cacheField name="Cnt" numFmtId="1">
      <sharedItems containsSemiMixedTypes="0" containsString="0" containsNumber="1" containsInteger="1" minValue="1" maxValue="249"/>
    </cacheField>
    <cacheField name="Day Type" numFmtId="1">
      <sharedItems count="2">
        <s v="Weekend"/>
        <s v="Weekday"/>
      </sharedItems>
    </cacheField>
    <cacheField name="Time Slot" numFmtId="0">
      <sharedItems count="5">
        <s v="Late Night"/>
        <s v="Morning Peak"/>
        <s v="Daytime"/>
        <s v="Evening Peak"/>
        <s v="Night"/>
      </sharedItems>
    </cacheField>
    <cacheField name="Holiday2" numFmtId="1">
      <sharedItems/>
    </cacheField>
    <cacheField name="Demand_Level" numFmtId="1">
      <sharedItems/>
    </cacheField>
    <cacheField name="Weather" numFmtId="1">
      <sharedItems count="4">
        <s v="Clear"/>
        <s v="Mist"/>
        <s v="Light Rain"/>
        <s v="Heavy Rain"/>
      </sharedItems>
    </cacheField>
    <cacheField name="Days (Dteday)"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teday)"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6187515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n v="0"/>
    <x v="0"/>
    <x v="0"/>
    <b v="0"/>
    <n v="6"/>
    <n v="1"/>
    <n v="0.24"/>
    <n v="0.28789999999999999"/>
    <n v="0.81"/>
    <n v="0"/>
    <n v="3"/>
    <n v="13"/>
    <n v="16"/>
    <x v="0"/>
    <x v="0"/>
    <s v="Non-Holiday"/>
    <s v="Low"/>
    <x v="0"/>
  </r>
  <r>
    <n v="2"/>
    <x v="0"/>
    <n v="1"/>
    <n v="0"/>
    <x v="0"/>
    <x v="1"/>
    <b v="0"/>
    <n v="6"/>
    <n v="1"/>
    <n v="0.22"/>
    <n v="0.2727"/>
    <n v="0.8"/>
    <n v="0"/>
    <n v="8"/>
    <n v="32"/>
    <n v="40"/>
    <x v="0"/>
    <x v="0"/>
    <s v="Non-Holiday"/>
    <s v="Low"/>
    <x v="0"/>
  </r>
  <r>
    <n v="3"/>
    <x v="0"/>
    <n v="1"/>
    <n v="0"/>
    <x v="0"/>
    <x v="2"/>
    <b v="0"/>
    <n v="6"/>
    <n v="1"/>
    <n v="0.22"/>
    <n v="0.2727"/>
    <n v="0.8"/>
    <n v="0"/>
    <n v="5"/>
    <n v="27"/>
    <n v="32"/>
    <x v="0"/>
    <x v="0"/>
    <s v="Non-Holiday"/>
    <s v="Low"/>
    <x v="0"/>
  </r>
  <r>
    <n v="4"/>
    <x v="0"/>
    <n v="1"/>
    <n v="0"/>
    <x v="0"/>
    <x v="3"/>
    <b v="0"/>
    <n v="6"/>
    <n v="1"/>
    <n v="0.24"/>
    <n v="0.28789999999999999"/>
    <n v="0.75"/>
    <n v="0"/>
    <n v="3"/>
    <n v="10"/>
    <n v="13"/>
    <x v="0"/>
    <x v="0"/>
    <s v="Non-Holiday"/>
    <s v="Low"/>
    <x v="0"/>
  </r>
  <r>
    <n v="5"/>
    <x v="0"/>
    <n v="1"/>
    <n v="0"/>
    <x v="0"/>
    <x v="4"/>
    <b v="0"/>
    <n v="6"/>
    <n v="1"/>
    <n v="0.24"/>
    <n v="0.28789999999999999"/>
    <n v="0.75"/>
    <n v="0"/>
    <n v="0"/>
    <n v="1"/>
    <n v="1"/>
    <x v="0"/>
    <x v="0"/>
    <s v="Non-Holiday"/>
    <s v="Low"/>
    <x v="0"/>
  </r>
  <r>
    <n v="6"/>
    <x v="0"/>
    <n v="1"/>
    <n v="0"/>
    <x v="0"/>
    <x v="5"/>
    <b v="0"/>
    <n v="6"/>
    <n v="2"/>
    <n v="0.24"/>
    <n v="0.2576"/>
    <n v="0.75"/>
    <n v="8.9599999999999999E-2"/>
    <n v="0"/>
    <n v="1"/>
    <n v="1"/>
    <x v="0"/>
    <x v="0"/>
    <s v="Non-Holiday"/>
    <s v="Low"/>
    <x v="1"/>
  </r>
  <r>
    <n v="7"/>
    <x v="0"/>
    <n v="1"/>
    <n v="0"/>
    <x v="0"/>
    <x v="6"/>
    <b v="0"/>
    <n v="6"/>
    <n v="1"/>
    <n v="0.22"/>
    <n v="0.2727"/>
    <n v="0.8"/>
    <n v="0"/>
    <n v="2"/>
    <n v="0"/>
    <n v="2"/>
    <x v="0"/>
    <x v="1"/>
    <s v="Non-Holiday"/>
    <s v="Low"/>
    <x v="0"/>
  </r>
  <r>
    <n v="8"/>
    <x v="0"/>
    <n v="1"/>
    <n v="0"/>
    <x v="0"/>
    <x v="7"/>
    <b v="0"/>
    <n v="6"/>
    <n v="1"/>
    <n v="0.2"/>
    <n v="0.2576"/>
    <n v="0.86"/>
    <n v="0"/>
    <n v="1"/>
    <n v="2"/>
    <n v="3"/>
    <x v="0"/>
    <x v="1"/>
    <s v="Non-Holiday"/>
    <s v="Low"/>
    <x v="0"/>
  </r>
  <r>
    <n v="9"/>
    <x v="0"/>
    <n v="1"/>
    <n v="0"/>
    <x v="0"/>
    <x v="8"/>
    <b v="0"/>
    <n v="6"/>
    <n v="1"/>
    <n v="0.24"/>
    <n v="0.21195783619818026"/>
    <n v="0.75"/>
    <n v="0"/>
    <n v="1"/>
    <n v="7"/>
    <n v="8"/>
    <x v="0"/>
    <x v="1"/>
    <s v="Non-Holiday"/>
    <s v="Low"/>
    <x v="0"/>
  </r>
  <r>
    <n v="10"/>
    <x v="0"/>
    <n v="1"/>
    <n v="0"/>
    <x v="0"/>
    <x v="9"/>
    <b v="0"/>
    <n v="6"/>
    <n v="1"/>
    <n v="0.32"/>
    <n v="0.34849999999999998"/>
    <n v="0.76"/>
    <n v="0"/>
    <n v="8"/>
    <n v="6"/>
    <n v="14"/>
    <x v="0"/>
    <x v="1"/>
    <s v="Non-Holiday"/>
    <s v="Low"/>
    <x v="0"/>
  </r>
  <r>
    <n v="11"/>
    <x v="0"/>
    <n v="1"/>
    <n v="0"/>
    <x v="0"/>
    <x v="10"/>
    <b v="0"/>
    <n v="6"/>
    <n v="1"/>
    <n v="0.38"/>
    <n v="0.39389999999999997"/>
    <n v="0.76"/>
    <n v="0.25369999999999998"/>
    <n v="12"/>
    <n v="24"/>
    <n v="36"/>
    <x v="0"/>
    <x v="2"/>
    <s v="Non-Holiday"/>
    <s v="Low"/>
    <x v="0"/>
  </r>
  <r>
    <n v="12"/>
    <x v="0"/>
    <n v="1"/>
    <n v="0"/>
    <x v="0"/>
    <x v="11"/>
    <b v="0"/>
    <n v="6"/>
    <n v="1"/>
    <n v="0.36"/>
    <n v="0.33329999999999999"/>
    <n v="0.81"/>
    <n v="0.28360000000000002"/>
    <n v="26"/>
    <n v="30"/>
    <n v="56"/>
    <x v="0"/>
    <x v="2"/>
    <s v="Non-Holiday"/>
    <s v="Low"/>
    <x v="0"/>
  </r>
  <r>
    <n v="13"/>
    <x v="0"/>
    <n v="1"/>
    <n v="0"/>
    <x v="0"/>
    <x v="12"/>
    <b v="0"/>
    <n v="6"/>
    <n v="1"/>
    <n v="0.42"/>
    <n v="0.42420000000000002"/>
    <n v="0.77"/>
    <n v="0.28360000000000002"/>
    <n v="29"/>
    <n v="55"/>
    <n v="84"/>
    <x v="0"/>
    <x v="2"/>
    <s v="Non-Holiday"/>
    <s v="Medium"/>
    <x v="0"/>
  </r>
  <r>
    <n v="14"/>
    <x v="0"/>
    <n v="1"/>
    <n v="0"/>
    <x v="0"/>
    <x v="13"/>
    <b v="0"/>
    <n v="6"/>
    <n v="2"/>
    <n v="0.46"/>
    <n v="0.45450000000000002"/>
    <n v="0.72"/>
    <n v="0.29849999999999999"/>
    <n v="47"/>
    <n v="47"/>
    <n v="94"/>
    <x v="0"/>
    <x v="2"/>
    <s v="Non-Holiday"/>
    <s v="Medium"/>
    <x v="1"/>
  </r>
  <r>
    <n v="15"/>
    <x v="0"/>
    <n v="1"/>
    <n v="0"/>
    <x v="0"/>
    <x v="14"/>
    <b v="0"/>
    <n v="6"/>
    <n v="2"/>
    <n v="0.46"/>
    <n v="0.45450000000000002"/>
    <n v="0.72"/>
    <n v="0.28360000000000002"/>
    <n v="35"/>
    <n v="71"/>
    <n v="106"/>
    <x v="0"/>
    <x v="2"/>
    <s v="Non-Holiday"/>
    <s v="Medium"/>
    <x v="1"/>
  </r>
  <r>
    <n v="16"/>
    <x v="0"/>
    <n v="1"/>
    <n v="0"/>
    <x v="0"/>
    <x v="15"/>
    <b v="0"/>
    <n v="6"/>
    <n v="2"/>
    <n v="0.44"/>
    <n v="0.43940000000000001"/>
    <n v="0.77"/>
    <n v="0.29849999999999999"/>
    <n v="40"/>
    <n v="70"/>
    <n v="110"/>
    <x v="0"/>
    <x v="2"/>
    <s v="Non-Holiday"/>
    <s v="Medium"/>
    <x v="1"/>
  </r>
  <r>
    <n v="17"/>
    <x v="0"/>
    <n v="1"/>
    <n v="0"/>
    <x v="0"/>
    <x v="16"/>
    <b v="0"/>
    <n v="6"/>
    <n v="2"/>
    <n v="0.42"/>
    <n v="0.42420000000000002"/>
    <n v="0.82"/>
    <n v="0.29849999999999999"/>
    <n v="41"/>
    <n v="52"/>
    <n v="93"/>
    <x v="0"/>
    <x v="2"/>
    <s v="Non-Holiday"/>
    <s v="Medium"/>
    <x v="1"/>
  </r>
  <r>
    <n v="18"/>
    <x v="0"/>
    <n v="1"/>
    <n v="0"/>
    <x v="0"/>
    <x v="17"/>
    <b v="0"/>
    <n v="6"/>
    <n v="2"/>
    <n v="0.44"/>
    <n v="0.21195783619818026"/>
    <n v="0.82"/>
    <n v="0.28360000000000002"/>
    <n v="15"/>
    <n v="52"/>
    <n v="67"/>
    <x v="0"/>
    <x v="3"/>
    <s v="Non-Holiday"/>
    <s v="Low"/>
    <x v="1"/>
  </r>
  <r>
    <n v="19"/>
    <x v="0"/>
    <n v="1"/>
    <n v="0"/>
    <x v="0"/>
    <x v="18"/>
    <b v="0"/>
    <n v="6"/>
    <n v="3"/>
    <n v="0.42"/>
    <n v="0.42420000000000002"/>
    <n v="0.88"/>
    <n v="0.25369999999999998"/>
    <n v="9"/>
    <n v="26"/>
    <n v="35"/>
    <x v="0"/>
    <x v="3"/>
    <s v="Non-Holiday"/>
    <s v="Low"/>
    <x v="2"/>
  </r>
  <r>
    <n v="20"/>
    <x v="0"/>
    <n v="1"/>
    <n v="0"/>
    <x v="0"/>
    <x v="19"/>
    <b v="0"/>
    <n v="6"/>
    <n v="3"/>
    <n v="0.42"/>
    <n v="0.42420000000000002"/>
    <n v="0.88"/>
    <n v="0.25369999999999998"/>
    <n v="6"/>
    <n v="31"/>
    <n v="37"/>
    <x v="0"/>
    <x v="3"/>
    <s v="Non-Holiday"/>
    <s v="Low"/>
    <x v="2"/>
  </r>
  <r>
    <n v="21"/>
    <x v="0"/>
    <n v="1"/>
    <n v="0"/>
    <x v="0"/>
    <x v="20"/>
    <b v="0"/>
    <n v="6"/>
    <n v="2"/>
    <n v="0.4"/>
    <n v="0.40910000000000002"/>
    <n v="0.87"/>
    <n v="0.25369999999999998"/>
    <n v="11"/>
    <n v="25"/>
    <n v="36"/>
    <x v="0"/>
    <x v="3"/>
    <s v="Non-Holiday"/>
    <s v="Low"/>
    <x v="1"/>
  </r>
  <r>
    <n v="22"/>
    <x v="0"/>
    <n v="1"/>
    <n v="0"/>
    <x v="0"/>
    <x v="21"/>
    <b v="0"/>
    <n v="6"/>
    <n v="2"/>
    <n v="0.4"/>
    <n v="0.40910000000000002"/>
    <n v="0.87"/>
    <n v="0.19400000000000001"/>
    <n v="3"/>
    <n v="31"/>
    <n v="34"/>
    <x v="0"/>
    <x v="4"/>
    <s v="Non-Holiday"/>
    <s v="Low"/>
    <x v="1"/>
  </r>
  <r>
    <n v="23"/>
    <x v="0"/>
    <n v="1"/>
    <n v="0"/>
    <x v="0"/>
    <x v="22"/>
    <b v="0"/>
    <n v="6"/>
    <n v="2"/>
    <n v="0.4"/>
    <n v="0.40910000000000002"/>
    <n v="0.94"/>
    <n v="0.22389999999999999"/>
    <n v="11"/>
    <n v="17"/>
    <n v="28"/>
    <x v="0"/>
    <x v="4"/>
    <s v="Non-Holiday"/>
    <s v="Low"/>
    <x v="1"/>
  </r>
  <r>
    <n v="24"/>
    <x v="0"/>
    <n v="1"/>
    <n v="0"/>
    <x v="0"/>
    <x v="23"/>
    <b v="0"/>
    <n v="6"/>
    <n v="2"/>
    <n v="0.46"/>
    <n v="0.21195783619818026"/>
    <n v="0.88"/>
    <n v="0.29849999999999999"/>
    <n v="15"/>
    <n v="24"/>
    <n v="39"/>
    <x v="0"/>
    <x v="4"/>
    <s v="Non-Holiday"/>
    <s v="Low"/>
    <x v="1"/>
  </r>
  <r>
    <n v="25"/>
    <x v="1"/>
    <n v="1"/>
    <n v="0"/>
    <x v="0"/>
    <x v="0"/>
    <b v="0"/>
    <n v="0"/>
    <n v="2"/>
    <n v="0.46"/>
    <n v="0.45450000000000002"/>
    <n v="0.88"/>
    <n v="0.29849999999999999"/>
    <n v="4"/>
    <n v="13"/>
    <n v="17"/>
    <x v="0"/>
    <x v="0"/>
    <s v="Non-Holiday"/>
    <s v="Low"/>
    <x v="1"/>
  </r>
  <r>
    <n v="26"/>
    <x v="1"/>
    <n v="1"/>
    <n v="0"/>
    <x v="0"/>
    <x v="1"/>
    <b v="0"/>
    <n v="0"/>
    <n v="2"/>
    <n v="0.44"/>
    <n v="0.43940000000000001"/>
    <n v="0.94"/>
    <n v="0.25369999999999998"/>
    <n v="1"/>
    <n v="16"/>
    <n v="17"/>
    <x v="0"/>
    <x v="0"/>
    <s v="Non-Holiday"/>
    <s v="Low"/>
    <x v="1"/>
  </r>
  <r>
    <n v="27"/>
    <x v="1"/>
    <n v="1"/>
    <n v="0"/>
    <x v="0"/>
    <x v="2"/>
    <b v="0"/>
    <n v="0"/>
    <n v="2"/>
    <n v="0.42"/>
    <n v="0.42420000000000002"/>
    <n v="1"/>
    <n v="0.28360000000000002"/>
    <n v="1"/>
    <n v="8"/>
    <n v="9"/>
    <x v="0"/>
    <x v="0"/>
    <s v="Non-Holiday"/>
    <s v="Low"/>
    <x v="1"/>
  </r>
  <r>
    <n v="28"/>
    <x v="1"/>
    <n v="1"/>
    <n v="0"/>
    <x v="0"/>
    <x v="3"/>
    <b v="0"/>
    <n v="0"/>
    <n v="2"/>
    <n v="0.46"/>
    <n v="0.45450000000000002"/>
    <n v="0.94"/>
    <n v="0.19400000000000001"/>
    <n v="2"/>
    <n v="4"/>
    <n v="6"/>
    <x v="0"/>
    <x v="0"/>
    <s v="Non-Holiday"/>
    <s v="Low"/>
    <x v="1"/>
  </r>
  <r>
    <n v="29"/>
    <x v="1"/>
    <n v="1"/>
    <n v="0"/>
    <x v="0"/>
    <x v="4"/>
    <b v="0"/>
    <n v="0"/>
    <n v="2"/>
    <n v="0.46"/>
    <n v="0.21195783619818026"/>
    <n v="0.94"/>
    <n v="0.19400000000000001"/>
    <n v="2"/>
    <n v="1"/>
    <n v="3"/>
    <x v="0"/>
    <x v="0"/>
    <s v="Non-Holiday"/>
    <s v="Low"/>
    <x v="1"/>
  </r>
  <r>
    <n v="30"/>
    <x v="1"/>
    <n v="1"/>
    <n v="0"/>
    <x v="0"/>
    <x v="6"/>
    <b v="0"/>
    <n v="0"/>
    <n v="3"/>
    <n v="0.42"/>
    <n v="0.42420000000000002"/>
    <n v="0.77"/>
    <n v="0.29849999999999999"/>
    <n v="0"/>
    <n v="2"/>
    <n v="2"/>
    <x v="0"/>
    <x v="1"/>
    <s v="Non-Holiday"/>
    <s v="Low"/>
    <x v="2"/>
  </r>
  <r>
    <n v="31"/>
    <x v="1"/>
    <n v="1"/>
    <n v="0"/>
    <x v="0"/>
    <x v="7"/>
    <b v="0"/>
    <n v="0"/>
    <n v="2"/>
    <n v="0.4"/>
    <n v="0.40910000000000002"/>
    <n v="0.76"/>
    <n v="0.19400000000000001"/>
    <n v="0"/>
    <n v="1"/>
    <n v="1"/>
    <x v="0"/>
    <x v="1"/>
    <s v="Non-Holiday"/>
    <s v="Low"/>
    <x v="1"/>
  </r>
  <r>
    <n v="32"/>
    <x v="1"/>
    <n v="1"/>
    <n v="0"/>
    <x v="0"/>
    <x v="8"/>
    <b v="0"/>
    <n v="0"/>
    <n v="3"/>
    <n v="0.4"/>
    <n v="0.40910000000000002"/>
    <n v="0.71"/>
    <n v="0.22389999999999999"/>
    <n v="0"/>
    <n v="8"/>
    <n v="8"/>
    <x v="0"/>
    <x v="1"/>
    <s v="Non-Holiday"/>
    <s v="Low"/>
    <x v="2"/>
  </r>
  <r>
    <n v="33"/>
    <x v="1"/>
    <n v="1"/>
    <n v="0"/>
    <x v="0"/>
    <x v="9"/>
    <b v="0"/>
    <n v="0"/>
    <n v="2"/>
    <n v="0.38"/>
    <n v="0.21195783619818026"/>
    <n v="0.76"/>
    <n v="0.22389999999999999"/>
    <n v="1"/>
    <n v="19"/>
    <n v="20"/>
    <x v="0"/>
    <x v="1"/>
    <s v="Non-Holiday"/>
    <s v="Low"/>
    <x v="1"/>
  </r>
  <r>
    <n v="34"/>
    <x v="1"/>
    <n v="1"/>
    <n v="0"/>
    <x v="0"/>
    <x v="10"/>
    <b v="0"/>
    <n v="0"/>
    <n v="2"/>
    <n v="0.36"/>
    <n v="0.34849999999999998"/>
    <n v="0.81"/>
    <n v="0.22389999999999999"/>
    <n v="7"/>
    <n v="46"/>
    <n v="53"/>
    <x v="0"/>
    <x v="2"/>
    <s v="Non-Holiday"/>
    <s v="Low"/>
    <x v="1"/>
  </r>
  <r>
    <n v="35"/>
    <x v="1"/>
    <n v="1"/>
    <n v="0"/>
    <x v="0"/>
    <x v="11"/>
    <b v="0"/>
    <n v="0"/>
    <n v="2"/>
    <n v="0.36"/>
    <n v="0.33329999999999999"/>
    <n v="0.71"/>
    <n v="0.25369999999999998"/>
    <n v="16"/>
    <n v="54"/>
    <n v="70"/>
    <x v="0"/>
    <x v="2"/>
    <s v="Non-Holiday"/>
    <s v="Low"/>
    <x v="1"/>
  </r>
  <r>
    <n v="36"/>
    <x v="1"/>
    <n v="1"/>
    <n v="0"/>
    <x v="0"/>
    <x v="12"/>
    <b v="0"/>
    <n v="0"/>
    <n v="2"/>
    <n v="0.36"/>
    <n v="0.33329999999999999"/>
    <n v="0.66"/>
    <n v="0.29849999999999999"/>
    <n v="20"/>
    <n v="73"/>
    <n v="93"/>
    <x v="0"/>
    <x v="2"/>
    <s v="Non-Holiday"/>
    <s v="Medium"/>
    <x v="1"/>
  </r>
  <r>
    <n v="37"/>
    <x v="1"/>
    <n v="1"/>
    <n v="0"/>
    <x v="0"/>
    <x v="13"/>
    <b v="0"/>
    <n v="0"/>
    <n v="2"/>
    <n v="0.36"/>
    <n v="0.34849999999999998"/>
    <n v="0.66"/>
    <n v="0.1343"/>
    <n v="11"/>
    <n v="64"/>
    <n v="75"/>
    <x v="0"/>
    <x v="2"/>
    <s v="Non-Holiday"/>
    <s v="Low"/>
    <x v="1"/>
  </r>
  <r>
    <n v="38"/>
    <x v="1"/>
    <n v="1"/>
    <n v="0"/>
    <x v="0"/>
    <x v="14"/>
    <b v="0"/>
    <n v="0"/>
    <n v="3"/>
    <n v="0.36"/>
    <n v="0.21195783619818026"/>
    <n v="0.76"/>
    <n v="0.19400000000000001"/>
    <n v="4"/>
    <n v="55"/>
    <n v="59"/>
    <x v="0"/>
    <x v="2"/>
    <s v="Non-Holiday"/>
    <s v="Low"/>
    <x v="2"/>
  </r>
  <r>
    <n v="39"/>
    <x v="1"/>
    <n v="1"/>
    <n v="0"/>
    <x v="0"/>
    <x v="15"/>
    <b v="0"/>
    <n v="0"/>
    <n v="3"/>
    <n v="0.34"/>
    <n v="0.33329999999999999"/>
    <n v="0.81"/>
    <n v="0.16420000000000001"/>
    <n v="19"/>
    <n v="55"/>
    <n v="74"/>
    <x v="0"/>
    <x v="2"/>
    <s v="Non-Holiday"/>
    <s v="Low"/>
    <x v="2"/>
  </r>
  <r>
    <n v="40"/>
    <x v="1"/>
    <n v="1"/>
    <n v="0"/>
    <x v="0"/>
    <x v="16"/>
    <b v="0"/>
    <n v="0"/>
    <n v="3"/>
    <n v="0.34"/>
    <n v="0.33329999999999999"/>
    <n v="0.71"/>
    <n v="0.16420000000000001"/>
    <n v="9"/>
    <n v="67"/>
    <n v="76"/>
    <x v="0"/>
    <x v="2"/>
    <s v="Non-Holiday"/>
    <s v="Low"/>
    <x v="2"/>
  </r>
  <r>
    <n v="41"/>
    <x v="1"/>
    <n v="1"/>
    <n v="0"/>
    <x v="0"/>
    <x v="17"/>
    <b v="0"/>
    <n v="0"/>
    <n v="1"/>
    <n v="0.34"/>
    <n v="0.33329999999999999"/>
    <n v="0.56999999999999995"/>
    <n v="0.19400000000000001"/>
    <n v="7"/>
    <n v="58"/>
    <n v="65"/>
    <x v="0"/>
    <x v="3"/>
    <s v="Non-Holiday"/>
    <s v="Low"/>
    <x v="0"/>
  </r>
  <r>
    <n v="42"/>
    <x v="1"/>
    <n v="1"/>
    <n v="0"/>
    <x v="0"/>
    <x v="18"/>
    <b v="0"/>
    <n v="0"/>
    <n v="2"/>
    <n v="0.36"/>
    <n v="0.33329999999999999"/>
    <n v="0.46"/>
    <n v="0.32840000000000003"/>
    <n v="10"/>
    <n v="43"/>
    <n v="53"/>
    <x v="0"/>
    <x v="3"/>
    <s v="Non-Holiday"/>
    <s v="Low"/>
    <x v="1"/>
  </r>
  <r>
    <n v="43"/>
    <x v="1"/>
    <n v="1"/>
    <n v="0"/>
    <x v="0"/>
    <x v="19"/>
    <b v="0"/>
    <n v="0"/>
    <n v="1"/>
    <n v="0.32"/>
    <n v="0.28789999999999999"/>
    <n v="0.42"/>
    <n v="0.44779999999999998"/>
    <n v="1"/>
    <n v="29"/>
    <n v="30"/>
    <x v="0"/>
    <x v="3"/>
    <s v="Non-Holiday"/>
    <s v="Low"/>
    <x v="0"/>
  </r>
  <r>
    <n v="44"/>
    <x v="1"/>
    <n v="1"/>
    <n v="0"/>
    <x v="0"/>
    <x v="20"/>
    <b v="0"/>
    <n v="0"/>
    <n v="1"/>
    <n v="0.3"/>
    <n v="0.21195783619818026"/>
    <n v="0.39"/>
    <n v="0.35820000000000002"/>
    <n v="5"/>
    <n v="17"/>
    <n v="22"/>
    <x v="0"/>
    <x v="3"/>
    <s v="Non-Holiday"/>
    <s v="Low"/>
    <x v="0"/>
  </r>
  <r>
    <n v="45"/>
    <x v="1"/>
    <n v="1"/>
    <n v="0"/>
    <x v="0"/>
    <x v="21"/>
    <b v="0"/>
    <n v="0"/>
    <n v="1"/>
    <n v="0.26"/>
    <n v="0.2273"/>
    <n v="0.44"/>
    <n v="0.32840000000000003"/>
    <n v="11"/>
    <n v="20"/>
    <n v="31"/>
    <x v="0"/>
    <x v="4"/>
    <s v="Non-Holiday"/>
    <s v="Low"/>
    <x v="0"/>
  </r>
  <r>
    <n v="46"/>
    <x v="1"/>
    <n v="1"/>
    <n v="0"/>
    <x v="0"/>
    <x v="22"/>
    <b v="0"/>
    <n v="0"/>
    <n v="1"/>
    <n v="0.24"/>
    <n v="0.21210000000000001"/>
    <n v="0.44"/>
    <n v="0.29849999999999999"/>
    <n v="0"/>
    <n v="9"/>
    <n v="9"/>
    <x v="0"/>
    <x v="4"/>
    <s v="Non-Holiday"/>
    <s v="Low"/>
    <x v="0"/>
  </r>
  <r>
    <n v="47"/>
    <x v="1"/>
    <n v="1"/>
    <n v="0"/>
    <x v="0"/>
    <x v="23"/>
    <b v="0"/>
    <n v="0"/>
    <n v="1"/>
    <n v="0.22"/>
    <n v="0.2273"/>
    <n v="0.47"/>
    <n v="0.16420000000000001"/>
    <n v="0"/>
    <n v="8"/>
    <n v="8"/>
    <x v="0"/>
    <x v="4"/>
    <s v="Non-Holiday"/>
    <s v="Low"/>
    <x v="0"/>
  </r>
  <r>
    <n v="48"/>
    <x v="2"/>
    <n v="1"/>
    <n v="0"/>
    <x v="0"/>
    <x v="0"/>
    <b v="0"/>
    <n v="1"/>
    <n v="1"/>
    <n v="0.22"/>
    <n v="0.19700000000000001"/>
    <n v="0.44"/>
    <n v="0.35820000000000002"/>
    <n v="0"/>
    <n v="5"/>
    <n v="5"/>
    <x v="1"/>
    <x v="0"/>
    <s v="Non-Holiday"/>
    <s v="Low"/>
    <x v="0"/>
  </r>
  <r>
    <n v="49"/>
    <x v="2"/>
    <n v="1"/>
    <n v="0"/>
    <x v="0"/>
    <x v="1"/>
    <b v="0"/>
    <n v="1"/>
    <n v="1"/>
    <n v="0.2"/>
    <n v="0.21195783619818026"/>
    <n v="0.44"/>
    <n v="0.41789999999999999"/>
    <n v="0"/>
    <n v="2"/>
    <n v="2"/>
    <x v="1"/>
    <x v="0"/>
    <s v="Non-Holiday"/>
    <s v="Low"/>
    <x v="0"/>
  </r>
  <r>
    <n v="50"/>
    <x v="2"/>
    <n v="1"/>
    <n v="0"/>
    <x v="0"/>
    <x v="4"/>
    <b v="0"/>
    <n v="1"/>
    <n v="1"/>
    <n v="0.16"/>
    <n v="0.13639999999999999"/>
    <n v="0.47"/>
    <n v="0.3881"/>
    <n v="0"/>
    <n v="1"/>
    <n v="1"/>
    <x v="1"/>
    <x v="0"/>
    <s v="Non-Holiday"/>
    <s v="Low"/>
    <x v="0"/>
  </r>
  <r>
    <n v="51"/>
    <x v="2"/>
    <n v="1"/>
    <n v="0"/>
    <x v="0"/>
    <x v="5"/>
    <b v="0"/>
    <n v="1"/>
    <n v="1"/>
    <n v="0.16"/>
    <n v="0.13639999999999999"/>
    <n v="0.47"/>
    <n v="0.28360000000000002"/>
    <n v="0"/>
    <n v="3"/>
    <n v="3"/>
    <x v="1"/>
    <x v="0"/>
    <s v="Non-Holiday"/>
    <s v="Low"/>
    <x v="0"/>
  </r>
  <r>
    <n v="52"/>
    <x v="2"/>
    <n v="1"/>
    <n v="0"/>
    <x v="0"/>
    <x v="6"/>
    <b v="0"/>
    <n v="1"/>
    <n v="1"/>
    <n v="0.14000000000000001"/>
    <n v="0.1061"/>
    <n v="0.5"/>
    <n v="0.3881"/>
    <n v="0"/>
    <n v="30"/>
    <n v="30"/>
    <x v="1"/>
    <x v="1"/>
    <s v="Non-Holiday"/>
    <s v="Low"/>
    <x v="0"/>
  </r>
  <r>
    <n v="53"/>
    <x v="2"/>
    <n v="1"/>
    <n v="0"/>
    <x v="0"/>
    <x v="7"/>
    <b v="0"/>
    <n v="1"/>
    <n v="1"/>
    <n v="0.14000000000000001"/>
    <n v="0.13639999999999999"/>
    <n v="0.5"/>
    <n v="0.19400000000000001"/>
    <n v="1"/>
    <n v="63"/>
    <n v="64"/>
    <x v="1"/>
    <x v="1"/>
    <s v="Non-Holiday"/>
    <s v="Low"/>
    <x v="0"/>
  </r>
  <r>
    <n v="54"/>
    <x v="2"/>
    <n v="1"/>
    <n v="0"/>
    <x v="0"/>
    <x v="8"/>
    <b v="0"/>
    <n v="1"/>
    <n v="1"/>
    <n v="0.14000000000000001"/>
    <n v="0.1212"/>
    <n v="0.5"/>
    <n v="0.28360000000000002"/>
    <n v="1"/>
    <n v="153"/>
    <n v="154"/>
    <x v="1"/>
    <x v="1"/>
    <s v="Non-Holiday"/>
    <s v="Medium"/>
    <x v="0"/>
  </r>
  <r>
    <n v="55"/>
    <x v="2"/>
    <n v="1"/>
    <n v="0"/>
    <x v="0"/>
    <x v="9"/>
    <b v="0"/>
    <n v="1"/>
    <n v="1"/>
    <n v="0.16"/>
    <n v="0.13639999999999999"/>
    <n v="0.43"/>
    <n v="0.3881"/>
    <n v="7"/>
    <n v="81"/>
    <n v="88"/>
    <x v="1"/>
    <x v="1"/>
    <s v="Non-Holiday"/>
    <s v="Medium"/>
    <x v="0"/>
  </r>
  <r>
    <n v="56"/>
    <x v="2"/>
    <n v="1"/>
    <n v="0"/>
    <x v="0"/>
    <x v="10"/>
    <b v="0"/>
    <n v="1"/>
    <n v="1"/>
    <n v="0.18"/>
    <n v="0.16669999999999999"/>
    <n v="0.43"/>
    <n v="0.25369999999999998"/>
    <n v="11"/>
    <n v="33"/>
    <n v="44"/>
    <x v="1"/>
    <x v="2"/>
    <s v="Non-Holiday"/>
    <s v="Low"/>
    <x v="0"/>
  </r>
  <r>
    <n v="57"/>
    <x v="2"/>
    <n v="1"/>
    <n v="0"/>
    <x v="0"/>
    <x v="11"/>
    <b v="0"/>
    <n v="1"/>
    <n v="1"/>
    <n v="0.2"/>
    <n v="0.18179999999999999"/>
    <n v="0.4"/>
    <n v="0.32840000000000003"/>
    <n v="10"/>
    <n v="41"/>
    <n v="51"/>
    <x v="1"/>
    <x v="2"/>
    <s v="Non-Holiday"/>
    <s v="Low"/>
    <x v="0"/>
  </r>
  <r>
    <n v="58"/>
    <x v="2"/>
    <n v="1"/>
    <n v="0"/>
    <x v="0"/>
    <x v="12"/>
    <b v="0"/>
    <n v="1"/>
    <n v="1"/>
    <n v="0.22"/>
    <n v="0.21210000000000001"/>
    <n v="0.35"/>
    <n v="0.29849999999999999"/>
    <n v="13"/>
    <n v="48"/>
    <n v="61"/>
    <x v="1"/>
    <x v="2"/>
    <s v="Non-Holiday"/>
    <s v="Low"/>
    <x v="0"/>
  </r>
  <r>
    <n v="59"/>
    <x v="2"/>
    <n v="1"/>
    <n v="0"/>
    <x v="0"/>
    <x v="13"/>
    <b v="0"/>
    <n v="1"/>
    <n v="1"/>
    <n v="0.24"/>
    <n v="0.21195783619818026"/>
    <n v="0.35"/>
    <n v="0.28360000000000002"/>
    <n v="8"/>
    <n v="53"/>
    <n v="61"/>
    <x v="1"/>
    <x v="2"/>
    <s v="Non-Holiday"/>
    <s v="Low"/>
    <x v="0"/>
  </r>
  <r>
    <n v="60"/>
    <x v="2"/>
    <n v="1"/>
    <n v="0"/>
    <x v="0"/>
    <x v="14"/>
    <b v="0"/>
    <n v="1"/>
    <n v="1"/>
    <n v="0.26"/>
    <n v="0.2424"/>
    <n v="0.3"/>
    <n v="0.28360000000000002"/>
    <n v="11"/>
    <n v="66"/>
    <n v="77"/>
    <x v="1"/>
    <x v="2"/>
    <s v="Non-Holiday"/>
    <s v="Low"/>
    <x v="0"/>
  </r>
  <r>
    <n v="61"/>
    <x v="2"/>
    <n v="1"/>
    <n v="0"/>
    <x v="0"/>
    <x v="15"/>
    <b v="0"/>
    <n v="1"/>
    <n v="1"/>
    <n v="0.26"/>
    <n v="0.2424"/>
    <n v="0.3"/>
    <n v="0.25369999999999998"/>
    <n v="14"/>
    <n v="58"/>
    <n v="72"/>
    <x v="1"/>
    <x v="2"/>
    <s v="Non-Holiday"/>
    <s v="Low"/>
    <x v="0"/>
  </r>
  <r>
    <n v="62"/>
    <x v="2"/>
    <n v="1"/>
    <n v="0"/>
    <x v="0"/>
    <x v="16"/>
    <b v="0"/>
    <n v="1"/>
    <n v="1"/>
    <n v="0.26"/>
    <n v="0.2424"/>
    <n v="0.3"/>
    <n v="0.25369999999999998"/>
    <n v="9"/>
    <n v="67"/>
    <n v="76"/>
    <x v="1"/>
    <x v="2"/>
    <s v="Non-Holiday"/>
    <s v="Low"/>
    <x v="0"/>
  </r>
  <r>
    <n v="63"/>
    <x v="2"/>
    <n v="1"/>
    <n v="0"/>
    <x v="0"/>
    <x v="17"/>
    <b v="0"/>
    <n v="1"/>
    <n v="1"/>
    <n v="0.24"/>
    <n v="0.2273"/>
    <n v="0.3"/>
    <n v="0.22389999999999999"/>
    <n v="11"/>
    <n v="146"/>
    <n v="157"/>
    <x v="1"/>
    <x v="3"/>
    <s v="Non-Holiday"/>
    <s v="Medium"/>
    <x v="0"/>
  </r>
  <r>
    <n v="64"/>
    <x v="2"/>
    <n v="1"/>
    <n v="0"/>
    <x v="0"/>
    <x v="18"/>
    <b v="0"/>
    <n v="1"/>
    <n v="1"/>
    <n v="0.24"/>
    <n v="0.2576"/>
    <n v="0.32"/>
    <n v="0.1045"/>
    <n v="9"/>
    <n v="148"/>
    <n v="157"/>
    <x v="1"/>
    <x v="3"/>
    <s v="Non-Holiday"/>
    <s v="Medium"/>
    <x v="0"/>
  </r>
  <r>
    <n v="65"/>
    <x v="2"/>
    <n v="1"/>
    <n v="0"/>
    <x v="0"/>
    <x v="19"/>
    <b v="0"/>
    <n v="1"/>
    <n v="1"/>
    <n v="0.2"/>
    <n v="0.2576"/>
    <n v="0.47"/>
    <n v="0"/>
    <n v="8"/>
    <n v="102"/>
    <n v="110"/>
    <x v="1"/>
    <x v="3"/>
    <s v="Non-Holiday"/>
    <s v="Medium"/>
    <x v="0"/>
  </r>
  <r>
    <n v="66"/>
    <x v="2"/>
    <n v="1"/>
    <n v="0"/>
    <x v="0"/>
    <x v="20"/>
    <b v="0"/>
    <n v="1"/>
    <n v="1"/>
    <n v="0.2"/>
    <n v="0.21195783619818026"/>
    <n v="0.47"/>
    <n v="0.1045"/>
    <n v="3"/>
    <n v="49"/>
    <n v="52"/>
    <x v="1"/>
    <x v="3"/>
    <s v="Non-Holiday"/>
    <s v="Low"/>
    <x v="0"/>
  </r>
  <r>
    <n v="67"/>
    <x v="2"/>
    <n v="1"/>
    <n v="0"/>
    <x v="0"/>
    <x v="21"/>
    <b v="0"/>
    <n v="1"/>
    <n v="1"/>
    <n v="0.18"/>
    <n v="0.19700000000000001"/>
    <n v="0.64"/>
    <n v="0.1343"/>
    <n v="3"/>
    <n v="49"/>
    <n v="52"/>
    <x v="1"/>
    <x v="4"/>
    <s v="Non-Holiday"/>
    <s v="Low"/>
    <x v="0"/>
  </r>
  <r>
    <n v="68"/>
    <x v="2"/>
    <n v="1"/>
    <n v="0"/>
    <x v="0"/>
    <x v="22"/>
    <b v="0"/>
    <n v="1"/>
    <n v="1"/>
    <n v="0.14000000000000001"/>
    <n v="0.1515"/>
    <n v="0.69"/>
    <n v="0.1343"/>
    <n v="0"/>
    <n v="20"/>
    <n v="20"/>
    <x v="1"/>
    <x v="4"/>
    <s v="Non-Holiday"/>
    <s v="Low"/>
    <x v="0"/>
  </r>
  <r>
    <n v="69"/>
    <x v="2"/>
    <n v="1"/>
    <n v="0"/>
    <x v="0"/>
    <x v="23"/>
    <b v="0"/>
    <n v="1"/>
    <n v="1"/>
    <n v="0.18"/>
    <n v="0.21210000000000001"/>
    <n v="0.55000000000000004"/>
    <n v="0.1045"/>
    <n v="1"/>
    <n v="11"/>
    <n v="12"/>
    <x v="1"/>
    <x v="4"/>
    <s v="Non-Holiday"/>
    <s v="Low"/>
    <x v="0"/>
  </r>
  <r>
    <n v="70"/>
    <x v="3"/>
    <n v="1"/>
    <n v="0"/>
    <x v="0"/>
    <x v="0"/>
    <b v="0"/>
    <n v="2"/>
    <n v="1"/>
    <n v="0.16"/>
    <n v="0.21195783619818026"/>
    <n v="0.55000000000000004"/>
    <n v="0.1045"/>
    <n v="0"/>
    <n v="5"/>
    <n v="5"/>
    <x v="1"/>
    <x v="0"/>
    <s v="Non-Holiday"/>
    <s v="Low"/>
    <x v="0"/>
  </r>
  <r>
    <n v="71"/>
    <x v="3"/>
    <n v="1"/>
    <n v="0"/>
    <x v="0"/>
    <x v="1"/>
    <b v="0"/>
    <n v="2"/>
    <n v="1"/>
    <n v="0.16"/>
    <n v="0.18179999999999999"/>
    <n v="0.59"/>
    <n v="0.1045"/>
    <n v="0"/>
    <n v="2"/>
    <n v="2"/>
    <x v="1"/>
    <x v="0"/>
    <s v="Non-Holiday"/>
    <s v="Low"/>
    <x v="0"/>
  </r>
  <r>
    <n v="72"/>
    <x v="3"/>
    <n v="1"/>
    <n v="0"/>
    <x v="0"/>
    <x v="2"/>
    <b v="0"/>
    <n v="2"/>
    <n v="1"/>
    <n v="0.14000000000000001"/>
    <n v="0.1515"/>
    <n v="0.63"/>
    <n v="0.1343"/>
    <n v="0"/>
    <n v="1"/>
    <n v="1"/>
    <x v="1"/>
    <x v="0"/>
    <s v="Non-Holiday"/>
    <s v="Low"/>
    <x v="0"/>
  </r>
  <r>
    <n v="73"/>
    <x v="3"/>
    <n v="1"/>
    <n v="0"/>
    <x v="0"/>
    <x v="4"/>
    <b v="0"/>
    <n v="2"/>
    <n v="1"/>
    <n v="0.14000000000000001"/>
    <n v="0.18179999999999999"/>
    <n v="0.63"/>
    <n v="8.9599999999999999E-2"/>
    <n v="0"/>
    <n v="2"/>
    <n v="2"/>
    <x v="1"/>
    <x v="0"/>
    <s v="Non-Holiday"/>
    <s v="Low"/>
    <x v="0"/>
  </r>
  <r>
    <n v="74"/>
    <x v="3"/>
    <n v="1"/>
    <n v="0"/>
    <x v="0"/>
    <x v="5"/>
    <b v="0"/>
    <n v="2"/>
    <n v="1"/>
    <n v="0.12"/>
    <n v="0.1515"/>
    <n v="0.68"/>
    <n v="0.1045"/>
    <n v="0"/>
    <n v="4"/>
    <n v="4"/>
    <x v="1"/>
    <x v="0"/>
    <s v="Non-Holiday"/>
    <s v="Low"/>
    <x v="0"/>
  </r>
  <r>
    <n v="75"/>
    <x v="3"/>
    <n v="1"/>
    <n v="0"/>
    <x v="0"/>
    <x v="6"/>
    <b v="0"/>
    <n v="2"/>
    <n v="1"/>
    <n v="0.12"/>
    <n v="0.1515"/>
    <n v="0.74"/>
    <n v="0.1045"/>
    <n v="0"/>
    <n v="36"/>
    <n v="36"/>
    <x v="1"/>
    <x v="1"/>
    <s v="Non-Holiday"/>
    <s v="Low"/>
    <x v="0"/>
  </r>
  <r>
    <n v="76"/>
    <x v="3"/>
    <n v="1"/>
    <n v="0"/>
    <x v="0"/>
    <x v="7"/>
    <b v="0"/>
    <n v="2"/>
    <n v="1"/>
    <n v="0.12"/>
    <n v="0.1515"/>
    <n v="0.74"/>
    <n v="0.1343"/>
    <n v="2"/>
    <n v="92"/>
    <n v="94"/>
    <x v="1"/>
    <x v="1"/>
    <s v="Non-Holiday"/>
    <s v="Medium"/>
    <x v="0"/>
  </r>
  <r>
    <n v="77"/>
    <x v="3"/>
    <n v="1"/>
    <n v="0"/>
    <x v="0"/>
    <x v="8"/>
    <b v="0"/>
    <n v="2"/>
    <n v="1"/>
    <n v="0.14000000000000001"/>
    <n v="0.1515"/>
    <n v="0.69"/>
    <n v="0.16420000000000001"/>
    <n v="2"/>
    <n v="177"/>
    <n v="179"/>
    <x v="1"/>
    <x v="1"/>
    <s v="Non-Holiday"/>
    <s v="High"/>
    <x v="0"/>
  </r>
  <r>
    <n v="78"/>
    <x v="3"/>
    <n v="1"/>
    <n v="0"/>
    <x v="0"/>
    <x v="9"/>
    <b v="0"/>
    <n v="2"/>
    <n v="1"/>
    <n v="0.16"/>
    <n v="0.1515"/>
    <n v="0.64"/>
    <n v="0.22389999999999999"/>
    <n v="2"/>
    <n v="98"/>
    <n v="100"/>
    <x v="1"/>
    <x v="1"/>
    <s v="Non-Holiday"/>
    <s v="Medium"/>
    <x v="0"/>
  </r>
  <r>
    <n v="79"/>
    <x v="3"/>
    <n v="1"/>
    <n v="0"/>
    <x v="0"/>
    <x v="10"/>
    <b v="0"/>
    <n v="2"/>
    <n v="2"/>
    <n v="0.16"/>
    <n v="0.13639999999999999"/>
    <n v="0.69"/>
    <n v="0.32840000000000003"/>
    <n v="5"/>
    <n v="37"/>
    <n v="42"/>
    <x v="1"/>
    <x v="2"/>
    <s v="Non-Holiday"/>
    <s v="Low"/>
    <x v="1"/>
  </r>
  <r>
    <n v="80"/>
    <x v="3"/>
    <n v="1"/>
    <n v="0"/>
    <x v="0"/>
    <x v="11"/>
    <b v="0"/>
    <n v="2"/>
    <n v="1"/>
    <n v="0.22"/>
    <n v="0.21210000000000001"/>
    <n v="0.51"/>
    <n v="0.29849999999999999"/>
    <n v="7"/>
    <n v="50"/>
    <n v="57"/>
    <x v="1"/>
    <x v="2"/>
    <s v="Non-Holiday"/>
    <s v="Low"/>
    <x v="0"/>
  </r>
  <r>
    <n v="81"/>
    <x v="3"/>
    <n v="1"/>
    <n v="0"/>
    <x v="0"/>
    <x v="12"/>
    <b v="0"/>
    <n v="2"/>
    <n v="1"/>
    <n v="0.22"/>
    <n v="0.2273"/>
    <n v="0.51"/>
    <n v="0.16420000000000001"/>
    <n v="12"/>
    <n v="66"/>
    <n v="78"/>
    <x v="1"/>
    <x v="2"/>
    <s v="Non-Holiday"/>
    <s v="Low"/>
    <x v="0"/>
  </r>
  <r>
    <n v="82"/>
    <x v="3"/>
    <n v="1"/>
    <n v="0"/>
    <x v="0"/>
    <x v="13"/>
    <b v="0"/>
    <n v="2"/>
    <n v="1"/>
    <n v="0.24"/>
    <n v="0.2273"/>
    <n v="0.56000000000000005"/>
    <n v="0.19400000000000001"/>
    <n v="18"/>
    <n v="79"/>
    <n v="97"/>
    <x v="1"/>
    <x v="2"/>
    <s v="Non-Holiday"/>
    <s v="Medium"/>
    <x v="0"/>
  </r>
  <r>
    <n v="83"/>
    <x v="3"/>
    <n v="1"/>
    <n v="0"/>
    <x v="0"/>
    <x v="14"/>
    <b v="0"/>
    <n v="2"/>
    <n v="1"/>
    <n v="0.26"/>
    <n v="0.2576"/>
    <n v="0.52"/>
    <n v="0.22389999999999999"/>
    <n v="9"/>
    <n v="54"/>
    <n v="63"/>
    <x v="1"/>
    <x v="2"/>
    <s v="Non-Holiday"/>
    <s v="Low"/>
    <x v="0"/>
  </r>
  <r>
    <n v="84"/>
    <x v="3"/>
    <n v="1"/>
    <n v="0"/>
    <x v="0"/>
    <x v="15"/>
    <b v="0"/>
    <n v="2"/>
    <n v="1"/>
    <n v="0.28000000000000003"/>
    <n v="0.2727"/>
    <n v="0.52"/>
    <n v="0.25369999999999998"/>
    <n v="17"/>
    <n v="48"/>
    <n v="65"/>
    <x v="1"/>
    <x v="2"/>
    <s v="Non-Holiday"/>
    <s v="Low"/>
    <x v="0"/>
  </r>
  <r>
    <n v="85"/>
    <x v="3"/>
    <n v="1"/>
    <n v="0"/>
    <x v="0"/>
    <x v="16"/>
    <b v="0"/>
    <n v="2"/>
    <n v="1"/>
    <n v="0.3"/>
    <n v="0.28789999999999999"/>
    <n v="0.49"/>
    <n v="0.25369999999999998"/>
    <n v="15"/>
    <n v="68"/>
    <n v="83"/>
    <x v="1"/>
    <x v="2"/>
    <s v="Non-Holiday"/>
    <s v="Medium"/>
    <x v="0"/>
  </r>
  <r>
    <n v="86"/>
    <x v="3"/>
    <n v="1"/>
    <n v="0"/>
    <x v="0"/>
    <x v="17"/>
    <b v="0"/>
    <n v="2"/>
    <n v="1"/>
    <n v="0.28000000000000003"/>
    <n v="0.2727"/>
    <n v="0.48"/>
    <n v="0.22389999999999999"/>
    <n v="10"/>
    <n v="202"/>
    <n v="212"/>
    <x v="1"/>
    <x v="3"/>
    <s v="Non-Holiday"/>
    <s v="High"/>
    <x v="0"/>
  </r>
  <r>
    <n v="87"/>
    <x v="3"/>
    <n v="1"/>
    <n v="0"/>
    <x v="0"/>
    <x v="18"/>
    <b v="0"/>
    <n v="2"/>
    <n v="1"/>
    <n v="0.26"/>
    <n v="0.2576"/>
    <n v="0.48"/>
    <n v="0.19400000000000001"/>
    <n v="3"/>
    <n v="179"/>
    <n v="182"/>
    <x v="1"/>
    <x v="3"/>
    <s v="Non-Holiday"/>
    <s v="High"/>
    <x v="0"/>
  </r>
  <r>
    <n v="88"/>
    <x v="3"/>
    <n v="1"/>
    <n v="0"/>
    <x v="0"/>
    <x v="19"/>
    <b v="0"/>
    <n v="2"/>
    <n v="1"/>
    <n v="0.24"/>
    <n v="0.2576"/>
    <n v="0.48"/>
    <n v="0.1045"/>
    <n v="2"/>
    <n v="110"/>
    <n v="112"/>
    <x v="1"/>
    <x v="3"/>
    <s v="Non-Holiday"/>
    <s v="Medium"/>
    <x v="0"/>
  </r>
  <r>
    <n v="89"/>
    <x v="3"/>
    <n v="1"/>
    <n v="0"/>
    <x v="0"/>
    <x v="20"/>
    <b v="0"/>
    <n v="2"/>
    <n v="1"/>
    <n v="0.24"/>
    <n v="0.2576"/>
    <n v="0.48"/>
    <n v="0.1045"/>
    <n v="1"/>
    <n v="53"/>
    <n v="54"/>
    <x v="1"/>
    <x v="3"/>
    <s v="Non-Holiday"/>
    <s v="Low"/>
    <x v="0"/>
  </r>
  <r>
    <n v="90"/>
    <x v="3"/>
    <n v="1"/>
    <n v="0"/>
    <x v="0"/>
    <x v="21"/>
    <b v="0"/>
    <n v="2"/>
    <n v="1"/>
    <n v="0.22"/>
    <n v="0.2727"/>
    <n v="0.64"/>
    <n v="0"/>
    <n v="0"/>
    <n v="48"/>
    <n v="48"/>
    <x v="1"/>
    <x v="4"/>
    <s v="Non-Holiday"/>
    <s v="Low"/>
    <x v="0"/>
  </r>
  <r>
    <n v="91"/>
    <x v="3"/>
    <n v="1"/>
    <n v="0"/>
    <x v="0"/>
    <x v="22"/>
    <b v="0"/>
    <n v="2"/>
    <n v="1"/>
    <n v="0.22"/>
    <n v="0.2576"/>
    <n v="0.64"/>
    <n v="8.9599999999999999E-2"/>
    <n v="1"/>
    <n v="34"/>
    <n v="35"/>
    <x v="1"/>
    <x v="4"/>
    <s v="Non-Holiday"/>
    <s v="Low"/>
    <x v="0"/>
  </r>
  <r>
    <n v="92"/>
    <x v="3"/>
    <n v="1"/>
    <n v="0"/>
    <x v="0"/>
    <x v="23"/>
    <b v="0"/>
    <n v="2"/>
    <n v="1"/>
    <n v="0.2"/>
    <n v="0.2273"/>
    <n v="0.69"/>
    <n v="8.9599999999999999E-2"/>
    <n v="2"/>
    <n v="9"/>
    <n v="11"/>
    <x v="1"/>
    <x v="4"/>
    <s v="Non-Holiday"/>
    <s v="Low"/>
    <x v="0"/>
  </r>
  <r>
    <n v="93"/>
    <x v="4"/>
    <n v="1"/>
    <n v="0"/>
    <x v="0"/>
    <x v="0"/>
    <b v="0"/>
    <n v="3"/>
    <n v="1"/>
    <n v="0.2"/>
    <n v="0.2576"/>
    <n v="0.64"/>
    <n v="0"/>
    <n v="0"/>
    <n v="6"/>
    <n v="6"/>
    <x v="1"/>
    <x v="0"/>
    <s v="Non-Holiday"/>
    <s v="Low"/>
    <x v="0"/>
  </r>
  <r>
    <n v="94"/>
    <x v="4"/>
    <n v="1"/>
    <n v="0"/>
    <x v="0"/>
    <x v="1"/>
    <b v="0"/>
    <n v="3"/>
    <n v="1"/>
    <n v="0.16"/>
    <n v="0.19700000000000001"/>
    <n v="0.74"/>
    <n v="8.9599999999999999E-2"/>
    <n v="0"/>
    <n v="6"/>
    <n v="6"/>
    <x v="1"/>
    <x v="0"/>
    <s v="Non-Holiday"/>
    <s v="Low"/>
    <x v="0"/>
  </r>
  <r>
    <n v="95"/>
    <x v="4"/>
    <n v="1"/>
    <n v="0"/>
    <x v="0"/>
    <x v="2"/>
    <b v="0"/>
    <n v="3"/>
    <n v="1"/>
    <n v="0.16"/>
    <n v="0.19700000000000001"/>
    <n v="0.74"/>
    <n v="8.9599999999999999E-2"/>
    <n v="0"/>
    <n v="2"/>
    <n v="2"/>
    <x v="1"/>
    <x v="0"/>
    <s v="Non-Holiday"/>
    <s v="Low"/>
    <x v="0"/>
  </r>
  <r>
    <n v="96"/>
    <x v="4"/>
    <n v="1"/>
    <n v="0"/>
    <x v="0"/>
    <x v="4"/>
    <b v="0"/>
    <n v="3"/>
    <n v="1"/>
    <n v="0.24"/>
    <n v="0.2273"/>
    <n v="0.48"/>
    <n v="0.22389999999999999"/>
    <n v="0"/>
    <n v="2"/>
    <n v="2"/>
    <x v="1"/>
    <x v="0"/>
    <s v="Non-Holiday"/>
    <s v="Low"/>
    <x v="0"/>
  </r>
  <r>
    <n v="97"/>
    <x v="4"/>
    <n v="1"/>
    <n v="0"/>
    <x v="0"/>
    <x v="5"/>
    <b v="0"/>
    <n v="3"/>
    <n v="1"/>
    <n v="0.22"/>
    <n v="0.2273"/>
    <n v="0.47"/>
    <n v="0.16420000000000001"/>
    <n v="0"/>
    <n v="3"/>
    <n v="3"/>
    <x v="1"/>
    <x v="0"/>
    <s v="Non-Holiday"/>
    <s v="Low"/>
    <x v="0"/>
  </r>
  <r>
    <n v="98"/>
    <x v="4"/>
    <n v="1"/>
    <n v="0"/>
    <x v="0"/>
    <x v="6"/>
    <b v="0"/>
    <n v="3"/>
    <n v="1"/>
    <n v="0.2"/>
    <n v="0.19700000000000001"/>
    <n v="0.47"/>
    <n v="0.22389999999999999"/>
    <n v="0"/>
    <n v="33"/>
    <n v="33"/>
    <x v="1"/>
    <x v="1"/>
    <s v="Non-Holiday"/>
    <s v="Low"/>
    <x v="0"/>
  </r>
  <r>
    <n v="99"/>
    <x v="4"/>
    <n v="1"/>
    <n v="0"/>
    <x v="0"/>
    <x v="7"/>
    <b v="0"/>
    <n v="3"/>
    <n v="1"/>
    <n v="0.18"/>
    <n v="0.18179999999999999"/>
    <n v="0.43"/>
    <n v="0.19400000000000001"/>
    <n v="1"/>
    <n v="87"/>
    <n v="88"/>
    <x v="1"/>
    <x v="1"/>
    <s v="Non-Holiday"/>
    <s v="Medium"/>
    <x v="0"/>
  </r>
  <r>
    <n v="100"/>
    <x v="4"/>
    <n v="1"/>
    <n v="0"/>
    <x v="0"/>
    <x v="8"/>
    <b v="0"/>
    <n v="3"/>
    <n v="1"/>
    <n v="0.2"/>
    <n v="0.18179999999999999"/>
    <n v="0.4"/>
    <n v="0.29849999999999999"/>
    <n v="3"/>
    <n v="192"/>
    <n v="195"/>
    <x v="1"/>
    <x v="1"/>
    <s v="Non-Holiday"/>
    <s v="High"/>
    <x v="0"/>
  </r>
  <r>
    <n v="101"/>
    <x v="4"/>
    <n v="1"/>
    <n v="0"/>
    <x v="0"/>
    <x v="9"/>
    <b v="0"/>
    <n v="3"/>
    <n v="1"/>
    <n v="0.22"/>
    <n v="0.19700000000000001"/>
    <n v="0.37"/>
    <n v="0.32840000000000003"/>
    <n v="6"/>
    <n v="109"/>
    <n v="115"/>
    <x v="1"/>
    <x v="1"/>
    <s v="Non-Holiday"/>
    <s v="Medium"/>
    <x v="0"/>
  </r>
  <r>
    <n v="102"/>
    <x v="4"/>
    <n v="1"/>
    <n v="0"/>
    <x v="0"/>
    <x v="10"/>
    <b v="0"/>
    <n v="3"/>
    <n v="1"/>
    <n v="0.22"/>
    <n v="0.19700000000000001"/>
    <n v="0.37"/>
    <n v="0.32840000000000003"/>
    <n v="4"/>
    <n v="53"/>
    <n v="57"/>
    <x v="1"/>
    <x v="2"/>
    <s v="Non-Holiday"/>
    <s v="Low"/>
    <x v="0"/>
  </r>
  <r>
    <n v="103"/>
    <x v="4"/>
    <n v="1"/>
    <n v="0"/>
    <x v="0"/>
    <x v="11"/>
    <b v="0"/>
    <n v="3"/>
    <n v="1"/>
    <n v="0.26"/>
    <n v="0.2273"/>
    <n v="0.33"/>
    <n v="0.32840000000000003"/>
    <n v="12"/>
    <n v="34"/>
    <n v="46"/>
    <x v="1"/>
    <x v="2"/>
    <s v="Non-Holiday"/>
    <s v="Low"/>
    <x v="0"/>
  </r>
  <r>
    <n v="104"/>
    <x v="4"/>
    <n v="1"/>
    <n v="0"/>
    <x v="0"/>
    <x v="12"/>
    <b v="0"/>
    <n v="3"/>
    <n v="1"/>
    <n v="0.26"/>
    <n v="0.2273"/>
    <n v="0.33"/>
    <n v="0.32840000000000003"/>
    <n v="5"/>
    <n v="74"/>
    <n v="79"/>
    <x v="1"/>
    <x v="2"/>
    <s v="Non-Holiday"/>
    <s v="Low"/>
    <x v="0"/>
  </r>
  <r>
    <n v="105"/>
    <x v="4"/>
    <n v="1"/>
    <n v="0"/>
    <x v="0"/>
    <x v="13"/>
    <b v="0"/>
    <n v="3"/>
    <n v="1"/>
    <n v="0.28000000000000003"/>
    <n v="0.2576"/>
    <n v="0.3"/>
    <n v="0.29849999999999999"/>
    <n v="6"/>
    <n v="65"/>
    <n v="71"/>
    <x v="1"/>
    <x v="2"/>
    <s v="Non-Holiday"/>
    <s v="Low"/>
    <x v="0"/>
  </r>
  <r>
    <n v="106"/>
    <x v="4"/>
    <n v="1"/>
    <n v="0"/>
    <x v="0"/>
    <x v="14"/>
    <b v="0"/>
    <n v="3"/>
    <n v="1"/>
    <n v="0.3"/>
    <n v="0.28789999999999999"/>
    <n v="0.28000000000000003"/>
    <n v="0.19400000000000001"/>
    <n v="10"/>
    <n v="52"/>
    <n v="62"/>
    <x v="1"/>
    <x v="2"/>
    <s v="Non-Holiday"/>
    <s v="Low"/>
    <x v="0"/>
  </r>
  <r>
    <n v="107"/>
    <x v="4"/>
    <n v="1"/>
    <n v="0"/>
    <x v="0"/>
    <x v="15"/>
    <b v="0"/>
    <n v="3"/>
    <n v="1"/>
    <n v="0.3"/>
    <n v="0.28789999999999999"/>
    <n v="0.28000000000000003"/>
    <n v="0.19400000000000001"/>
    <n v="7"/>
    <n v="55"/>
    <n v="62"/>
    <x v="1"/>
    <x v="2"/>
    <s v="Non-Holiday"/>
    <s v="Low"/>
    <x v="0"/>
  </r>
  <r>
    <n v="108"/>
    <x v="4"/>
    <n v="1"/>
    <n v="0"/>
    <x v="0"/>
    <x v="16"/>
    <b v="0"/>
    <n v="3"/>
    <n v="1"/>
    <n v="0.3"/>
    <n v="0.31819999999999998"/>
    <n v="0.28000000000000003"/>
    <n v="8.9599999999999999E-2"/>
    <n v="4"/>
    <n v="85"/>
    <n v="89"/>
    <x v="1"/>
    <x v="2"/>
    <s v="Non-Holiday"/>
    <s v="Medium"/>
    <x v="0"/>
  </r>
  <r>
    <n v="109"/>
    <x v="4"/>
    <n v="1"/>
    <n v="0"/>
    <x v="0"/>
    <x v="17"/>
    <b v="0"/>
    <n v="3"/>
    <n v="1"/>
    <n v="0.24"/>
    <n v="0.2273"/>
    <n v="0.38"/>
    <n v="0.19400000000000001"/>
    <n v="4"/>
    <n v="186"/>
    <n v="190"/>
    <x v="1"/>
    <x v="3"/>
    <s v="Non-Holiday"/>
    <s v="High"/>
    <x v="0"/>
  </r>
  <r>
    <n v="110"/>
    <x v="4"/>
    <n v="1"/>
    <n v="0"/>
    <x v="0"/>
    <x v="18"/>
    <b v="0"/>
    <n v="3"/>
    <n v="1"/>
    <n v="0.24"/>
    <n v="0.2424"/>
    <n v="0.38"/>
    <n v="0.1343"/>
    <n v="3"/>
    <n v="166"/>
    <n v="169"/>
    <x v="1"/>
    <x v="3"/>
    <s v="Non-Holiday"/>
    <s v="High"/>
    <x v="0"/>
  </r>
  <r>
    <n v="111"/>
    <x v="4"/>
    <n v="1"/>
    <n v="0"/>
    <x v="0"/>
    <x v="19"/>
    <b v="0"/>
    <n v="3"/>
    <n v="1"/>
    <n v="0.24"/>
    <n v="0.2576"/>
    <n v="0.38"/>
    <n v="0.1045"/>
    <n v="5"/>
    <n v="127"/>
    <n v="132"/>
    <x v="1"/>
    <x v="3"/>
    <s v="Non-Holiday"/>
    <s v="Medium"/>
    <x v="0"/>
  </r>
  <r>
    <n v="112"/>
    <x v="4"/>
    <n v="1"/>
    <n v="0"/>
    <x v="0"/>
    <x v="20"/>
    <b v="0"/>
    <n v="3"/>
    <n v="1"/>
    <n v="0.22"/>
    <n v="0.2273"/>
    <n v="0.47"/>
    <n v="0.16420000000000001"/>
    <n v="7"/>
    <n v="82"/>
    <n v="89"/>
    <x v="1"/>
    <x v="3"/>
    <s v="Non-Holiday"/>
    <s v="Medium"/>
    <x v="0"/>
  </r>
  <r>
    <n v="113"/>
    <x v="4"/>
    <n v="1"/>
    <n v="0"/>
    <x v="0"/>
    <x v="21"/>
    <b v="0"/>
    <n v="3"/>
    <n v="1"/>
    <n v="0.2"/>
    <n v="0.19700000000000001"/>
    <n v="0.51"/>
    <n v="0.19400000000000001"/>
    <n v="3"/>
    <n v="40"/>
    <n v="43"/>
    <x v="1"/>
    <x v="4"/>
    <s v="Non-Holiday"/>
    <s v="Low"/>
    <x v="0"/>
  </r>
  <r>
    <n v="114"/>
    <x v="4"/>
    <n v="1"/>
    <n v="0"/>
    <x v="0"/>
    <x v="22"/>
    <b v="0"/>
    <n v="3"/>
    <n v="1"/>
    <n v="0.18"/>
    <n v="0.19700000000000001"/>
    <n v="0.55000000000000004"/>
    <n v="0.1343"/>
    <n v="1"/>
    <n v="41"/>
    <n v="42"/>
    <x v="1"/>
    <x v="4"/>
    <s v="Non-Holiday"/>
    <s v="Low"/>
    <x v="0"/>
  </r>
  <r>
    <n v="115"/>
    <x v="4"/>
    <n v="1"/>
    <n v="0"/>
    <x v="0"/>
    <x v="23"/>
    <b v="0"/>
    <n v="3"/>
    <n v="1"/>
    <n v="0.2"/>
    <n v="0.2576"/>
    <n v="0.47"/>
    <n v="0"/>
    <n v="1"/>
    <n v="18"/>
    <n v="19"/>
    <x v="1"/>
    <x v="4"/>
    <s v="Non-Holiday"/>
    <s v="Low"/>
    <x v="0"/>
  </r>
  <r>
    <n v="116"/>
    <x v="5"/>
    <n v="1"/>
    <n v="0"/>
    <x v="0"/>
    <x v="0"/>
    <b v="0"/>
    <n v="4"/>
    <n v="1"/>
    <n v="0.18"/>
    <n v="0.2424"/>
    <n v="0.55000000000000004"/>
    <n v="0"/>
    <n v="0"/>
    <n v="11"/>
    <n v="11"/>
    <x v="1"/>
    <x v="0"/>
    <s v="Non-Holiday"/>
    <s v="Low"/>
    <x v="0"/>
  </r>
  <r>
    <n v="117"/>
    <x v="5"/>
    <n v="1"/>
    <n v="0"/>
    <x v="0"/>
    <x v="1"/>
    <b v="0"/>
    <n v="4"/>
    <n v="1"/>
    <n v="0.16"/>
    <n v="0.2273"/>
    <n v="0.64"/>
    <n v="0"/>
    <n v="0"/>
    <n v="4"/>
    <n v="4"/>
    <x v="1"/>
    <x v="0"/>
    <s v="Non-Holiday"/>
    <s v="Low"/>
    <x v="0"/>
  </r>
  <r>
    <n v="118"/>
    <x v="5"/>
    <n v="1"/>
    <n v="0"/>
    <x v="0"/>
    <x v="2"/>
    <b v="0"/>
    <n v="4"/>
    <n v="1"/>
    <n v="0.16"/>
    <n v="0.2273"/>
    <n v="0.64"/>
    <n v="0"/>
    <n v="0"/>
    <n v="2"/>
    <n v="2"/>
    <x v="1"/>
    <x v="0"/>
    <s v="Non-Holiday"/>
    <s v="Low"/>
    <x v="0"/>
  </r>
  <r>
    <n v="119"/>
    <x v="5"/>
    <n v="1"/>
    <n v="0"/>
    <x v="0"/>
    <x v="4"/>
    <b v="0"/>
    <n v="4"/>
    <n v="2"/>
    <n v="0.16"/>
    <n v="0.19700000000000001"/>
    <n v="0.64"/>
    <n v="8.9599999999999999E-2"/>
    <n v="0"/>
    <n v="1"/>
    <n v="1"/>
    <x v="1"/>
    <x v="0"/>
    <s v="Non-Holiday"/>
    <s v="Low"/>
    <x v="1"/>
  </r>
  <r>
    <n v="120"/>
    <x v="5"/>
    <n v="1"/>
    <n v="0"/>
    <x v="0"/>
    <x v="5"/>
    <b v="0"/>
    <n v="4"/>
    <n v="2"/>
    <n v="0.14000000000000001"/>
    <n v="0.18179999999999999"/>
    <n v="0.69"/>
    <n v="8.9599999999999999E-2"/>
    <n v="0"/>
    <n v="4"/>
    <n v="4"/>
    <x v="1"/>
    <x v="0"/>
    <s v="Non-Holiday"/>
    <s v="Low"/>
    <x v="1"/>
  </r>
  <r>
    <n v="121"/>
    <x v="5"/>
    <n v="1"/>
    <n v="0"/>
    <x v="0"/>
    <x v="6"/>
    <b v="0"/>
    <n v="4"/>
    <n v="2"/>
    <n v="0.14000000000000001"/>
    <n v="0.16669999999999999"/>
    <n v="0.63"/>
    <n v="0.1045"/>
    <n v="0"/>
    <n v="36"/>
    <n v="36"/>
    <x v="1"/>
    <x v="1"/>
    <s v="Non-Holiday"/>
    <s v="Low"/>
    <x v="1"/>
  </r>
  <r>
    <n v="122"/>
    <x v="5"/>
    <n v="1"/>
    <n v="0"/>
    <x v="0"/>
    <x v="7"/>
    <b v="0"/>
    <n v="4"/>
    <n v="2"/>
    <n v="0.16"/>
    <n v="0.2273"/>
    <n v="0.59"/>
    <n v="0"/>
    <n v="0"/>
    <n v="95"/>
    <n v="95"/>
    <x v="1"/>
    <x v="1"/>
    <s v="Non-Holiday"/>
    <s v="Medium"/>
    <x v="1"/>
  </r>
  <r>
    <n v="123"/>
    <x v="5"/>
    <n v="1"/>
    <n v="0"/>
    <x v="0"/>
    <x v="8"/>
    <b v="0"/>
    <n v="4"/>
    <n v="1"/>
    <n v="0.16"/>
    <n v="0.2273"/>
    <n v="0.59"/>
    <n v="0"/>
    <n v="3"/>
    <n v="216"/>
    <n v="219"/>
    <x v="1"/>
    <x v="1"/>
    <s v="Non-Holiday"/>
    <s v="High"/>
    <x v="0"/>
  </r>
  <r>
    <n v="124"/>
    <x v="5"/>
    <n v="1"/>
    <n v="0"/>
    <x v="0"/>
    <x v="9"/>
    <b v="0"/>
    <n v="4"/>
    <n v="2"/>
    <n v="0.18"/>
    <n v="0.2424"/>
    <n v="0.51"/>
    <n v="0"/>
    <n v="6"/>
    <n v="116"/>
    <n v="122"/>
    <x v="1"/>
    <x v="1"/>
    <s v="Non-Holiday"/>
    <s v="Medium"/>
    <x v="1"/>
  </r>
  <r>
    <n v="125"/>
    <x v="5"/>
    <n v="1"/>
    <n v="0"/>
    <x v="0"/>
    <x v="10"/>
    <b v="0"/>
    <n v="4"/>
    <n v="1"/>
    <n v="0.2"/>
    <n v="0.2576"/>
    <n v="0.47"/>
    <n v="0"/>
    <n v="3"/>
    <n v="42"/>
    <n v="45"/>
    <x v="1"/>
    <x v="2"/>
    <s v="Non-Holiday"/>
    <s v="Low"/>
    <x v="0"/>
  </r>
  <r>
    <n v="126"/>
    <x v="5"/>
    <n v="1"/>
    <n v="0"/>
    <x v="0"/>
    <x v="11"/>
    <b v="0"/>
    <n v="4"/>
    <n v="1"/>
    <n v="0.22"/>
    <n v="0.2576"/>
    <n v="0.44"/>
    <n v="8.9599999999999999E-2"/>
    <n v="2"/>
    <n v="57"/>
    <n v="59"/>
    <x v="1"/>
    <x v="2"/>
    <s v="Non-Holiday"/>
    <s v="Low"/>
    <x v="0"/>
  </r>
  <r>
    <n v="127"/>
    <x v="5"/>
    <n v="1"/>
    <n v="0"/>
    <x v="0"/>
    <x v="12"/>
    <b v="0"/>
    <n v="4"/>
    <n v="1"/>
    <n v="0.26"/>
    <n v="0.28789999999999999"/>
    <n v="0.35"/>
    <n v="0"/>
    <n v="6"/>
    <n v="78"/>
    <n v="84"/>
    <x v="1"/>
    <x v="2"/>
    <s v="Non-Holiday"/>
    <s v="Medium"/>
    <x v="0"/>
  </r>
  <r>
    <n v="128"/>
    <x v="5"/>
    <n v="1"/>
    <n v="0"/>
    <x v="0"/>
    <x v="13"/>
    <b v="0"/>
    <n v="4"/>
    <n v="1"/>
    <n v="0.26"/>
    <n v="0.2727"/>
    <n v="0.35"/>
    <n v="0.1045"/>
    <n v="12"/>
    <n v="55"/>
    <n v="67"/>
    <x v="1"/>
    <x v="2"/>
    <s v="Non-Holiday"/>
    <s v="Low"/>
    <x v="0"/>
  </r>
  <r>
    <n v="129"/>
    <x v="5"/>
    <n v="1"/>
    <n v="0"/>
    <x v="0"/>
    <x v="14"/>
    <b v="0"/>
    <n v="4"/>
    <n v="1"/>
    <n v="0.28000000000000003"/>
    <n v="0.2727"/>
    <n v="0.36"/>
    <n v="0.16420000000000001"/>
    <n v="11"/>
    <n v="59"/>
    <n v="70"/>
    <x v="1"/>
    <x v="2"/>
    <s v="Non-Holiday"/>
    <s v="Low"/>
    <x v="0"/>
  </r>
  <r>
    <n v="130"/>
    <x v="5"/>
    <n v="1"/>
    <n v="0"/>
    <x v="0"/>
    <x v="15"/>
    <b v="0"/>
    <n v="4"/>
    <n v="1"/>
    <n v="0.28000000000000003"/>
    <n v="0.2727"/>
    <n v="0.36"/>
    <n v="0"/>
    <n v="8"/>
    <n v="54"/>
    <n v="62"/>
    <x v="1"/>
    <x v="2"/>
    <s v="Non-Holiday"/>
    <s v="Low"/>
    <x v="0"/>
  </r>
  <r>
    <n v="131"/>
    <x v="5"/>
    <n v="1"/>
    <n v="0"/>
    <x v="0"/>
    <x v="16"/>
    <b v="0"/>
    <n v="4"/>
    <n v="1"/>
    <n v="0.26"/>
    <n v="0.2576"/>
    <n v="0.38"/>
    <n v="0.16420000000000001"/>
    <n v="12"/>
    <n v="74"/>
    <n v="86"/>
    <x v="1"/>
    <x v="2"/>
    <s v="Non-Holiday"/>
    <s v="Medium"/>
    <x v="0"/>
  </r>
  <r>
    <n v="132"/>
    <x v="5"/>
    <n v="1"/>
    <n v="0"/>
    <x v="0"/>
    <x v="17"/>
    <b v="0"/>
    <n v="4"/>
    <n v="1"/>
    <n v="0.22"/>
    <n v="0.2273"/>
    <n v="0.51"/>
    <n v="0.16420000000000001"/>
    <n v="9"/>
    <n v="163"/>
    <n v="172"/>
    <x v="1"/>
    <x v="3"/>
    <s v="Non-Holiday"/>
    <s v="High"/>
    <x v="0"/>
  </r>
  <r>
    <n v="133"/>
    <x v="5"/>
    <n v="1"/>
    <n v="0"/>
    <x v="0"/>
    <x v="18"/>
    <b v="0"/>
    <n v="4"/>
    <n v="1"/>
    <n v="0.22"/>
    <n v="0.2273"/>
    <n v="0.51"/>
    <n v="0.1343"/>
    <n v="5"/>
    <n v="158"/>
    <n v="163"/>
    <x v="1"/>
    <x v="3"/>
    <s v="Non-Holiday"/>
    <s v="High"/>
    <x v="0"/>
  </r>
  <r>
    <n v="134"/>
    <x v="5"/>
    <n v="1"/>
    <n v="0"/>
    <x v="0"/>
    <x v="19"/>
    <b v="0"/>
    <n v="4"/>
    <n v="1"/>
    <n v="0.22"/>
    <n v="0.2576"/>
    <n v="0.55000000000000004"/>
    <n v="8.9599999999999999E-2"/>
    <n v="3"/>
    <n v="109"/>
    <n v="112"/>
    <x v="1"/>
    <x v="3"/>
    <s v="Non-Holiday"/>
    <s v="Medium"/>
    <x v="0"/>
  </r>
  <r>
    <n v="135"/>
    <x v="5"/>
    <n v="1"/>
    <n v="0"/>
    <x v="0"/>
    <x v="20"/>
    <b v="0"/>
    <n v="4"/>
    <n v="1"/>
    <n v="0.2"/>
    <n v="0.21210000000000001"/>
    <n v="0.51"/>
    <n v="0.16420000000000001"/>
    <n v="3"/>
    <n v="66"/>
    <n v="69"/>
    <x v="1"/>
    <x v="3"/>
    <s v="Non-Holiday"/>
    <s v="Low"/>
    <x v="0"/>
  </r>
  <r>
    <n v="136"/>
    <x v="5"/>
    <n v="1"/>
    <n v="0"/>
    <x v="0"/>
    <x v="21"/>
    <b v="0"/>
    <n v="4"/>
    <n v="2"/>
    <n v="0.22"/>
    <n v="0.21210000000000001"/>
    <n v="0.55000000000000004"/>
    <n v="0.22389999999999999"/>
    <n v="0"/>
    <n v="48"/>
    <n v="48"/>
    <x v="1"/>
    <x v="4"/>
    <s v="Non-Holiday"/>
    <s v="Low"/>
    <x v="1"/>
  </r>
  <r>
    <n v="137"/>
    <x v="5"/>
    <n v="1"/>
    <n v="0"/>
    <x v="0"/>
    <x v="22"/>
    <b v="0"/>
    <n v="4"/>
    <n v="2"/>
    <n v="0.22"/>
    <n v="0.21210000000000001"/>
    <n v="0.51"/>
    <n v="0.28360000000000002"/>
    <n v="1"/>
    <n v="51"/>
    <n v="52"/>
    <x v="1"/>
    <x v="4"/>
    <s v="Non-Holiday"/>
    <s v="Low"/>
    <x v="1"/>
  </r>
  <r>
    <n v="138"/>
    <x v="5"/>
    <n v="1"/>
    <n v="0"/>
    <x v="0"/>
    <x v="23"/>
    <b v="0"/>
    <n v="4"/>
    <n v="2"/>
    <n v="0.2"/>
    <n v="0.19700000000000001"/>
    <n v="0.59"/>
    <n v="0.19400000000000001"/>
    <n v="4"/>
    <n v="19"/>
    <n v="23"/>
    <x v="1"/>
    <x v="4"/>
    <s v="Non-Holiday"/>
    <s v="Low"/>
    <x v="1"/>
  </r>
  <r>
    <n v="139"/>
    <x v="6"/>
    <n v="1"/>
    <n v="0"/>
    <x v="0"/>
    <x v="0"/>
    <b v="0"/>
    <n v="5"/>
    <n v="2"/>
    <n v="0.2"/>
    <n v="0.19700000000000001"/>
    <n v="0.64"/>
    <n v="0.19400000000000001"/>
    <n v="4"/>
    <n v="13"/>
    <n v="17"/>
    <x v="1"/>
    <x v="0"/>
    <s v="Non-Holiday"/>
    <s v="Low"/>
    <x v="1"/>
  </r>
  <r>
    <n v="140"/>
    <x v="6"/>
    <n v="1"/>
    <n v="0"/>
    <x v="0"/>
    <x v="1"/>
    <b v="0"/>
    <n v="5"/>
    <n v="2"/>
    <n v="0.2"/>
    <n v="0.19700000000000001"/>
    <n v="0.69"/>
    <n v="0.22389999999999999"/>
    <n v="2"/>
    <n v="5"/>
    <n v="7"/>
    <x v="1"/>
    <x v="0"/>
    <s v="Non-Holiday"/>
    <s v="Low"/>
    <x v="1"/>
  </r>
  <r>
    <n v="141"/>
    <x v="6"/>
    <n v="1"/>
    <n v="0"/>
    <x v="0"/>
    <x v="2"/>
    <b v="0"/>
    <n v="5"/>
    <n v="2"/>
    <n v="0.2"/>
    <n v="0.19700000000000001"/>
    <n v="0.69"/>
    <n v="0.22389999999999999"/>
    <n v="0"/>
    <n v="1"/>
    <n v="1"/>
    <x v="1"/>
    <x v="0"/>
    <s v="Non-Holiday"/>
    <s v="Low"/>
    <x v="1"/>
  </r>
  <r>
    <n v="142"/>
    <x v="6"/>
    <n v="1"/>
    <n v="0"/>
    <x v="0"/>
    <x v="4"/>
    <b v="0"/>
    <n v="5"/>
    <n v="2"/>
    <n v="0.2"/>
    <n v="0.21210000000000001"/>
    <n v="0.69"/>
    <n v="0.1343"/>
    <n v="0"/>
    <n v="1"/>
    <n v="1"/>
    <x v="1"/>
    <x v="0"/>
    <s v="Non-Holiday"/>
    <s v="Low"/>
    <x v="1"/>
  </r>
  <r>
    <n v="143"/>
    <x v="6"/>
    <n v="1"/>
    <n v="0"/>
    <x v="0"/>
    <x v="5"/>
    <b v="0"/>
    <n v="5"/>
    <n v="3"/>
    <n v="0.22"/>
    <n v="0.2727"/>
    <n v="0.55000000000000004"/>
    <n v="0"/>
    <n v="0"/>
    <n v="5"/>
    <n v="5"/>
    <x v="1"/>
    <x v="0"/>
    <s v="Non-Holiday"/>
    <s v="Low"/>
    <x v="2"/>
  </r>
  <r>
    <n v="144"/>
    <x v="6"/>
    <n v="1"/>
    <n v="0"/>
    <x v="0"/>
    <x v="6"/>
    <b v="0"/>
    <n v="5"/>
    <n v="2"/>
    <n v="0.2"/>
    <n v="0.2576"/>
    <n v="0.69"/>
    <n v="0"/>
    <n v="8"/>
    <n v="26"/>
    <n v="34"/>
    <x v="1"/>
    <x v="1"/>
    <s v="Non-Holiday"/>
    <s v="Low"/>
    <x v="1"/>
  </r>
  <r>
    <n v="145"/>
    <x v="6"/>
    <n v="1"/>
    <n v="0"/>
    <x v="0"/>
    <x v="7"/>
    <b v="0"/>
    <n v="5"/>
    <n v="1"/>
    <n v="0.2"/>
    <n v="0.21210000000000001"/>
    <n v="0.69"/>
    <n v="0.1343"/>
    <n v="8"/>
    <n v="76"/>
    <n v="84"/>
    <x v="1"/>
    <x v="1"/>
    <s v="Non-Holiday"/>
    <s v="Medium"/>
    <x v="0"/>
  </r>
  <r>
    <n v="146"/>
    <x v="6"/>
    <n v="1"/>
    <n v="0"/>
    <x v="0"/>
    <x v="8"/>
    <b v="0"/>
    <n v="5"/>
    <n v="1"/>
    <n v="0.2"/>
    <n v="0.19700000000000001"/>
    <n v="0.51"/>
    <n v="0.25369999999999998"/>
    <n v="20"/>
    <n v="190"/>
    <n v="210"/>
    <x v="1"/>
    <x v="1"/>
    <s v="Non-Holiday"/>
    <s v="High"/>
    <x v="0"/>
  </r>
  <r>
    <n v="147"/>
    <x v="6"/>
    <n v="1"/>
    <n v="0"/>
    <x v="0"/>
    <x v="9"/>
    <b v="0"/>
    <n v="5"/>
    <n v="1"/>
    <n v="0.2"/>
    <n v="0.18179999999999999"/>
    <n v="0.47"/>
    <n v="0.29849999999999999"/>
    <n v="9"/>
    <n v="125"/>
    <n v="134"/>
    <x v="1"/>
    <x v="1"/>
    <s v="Non-Holiday"/>
    <s v="Medium"/>
    <x v="0"/>
  </r>
  <r>
    <n v="148"/>
    <x v="6"/>
    <n v="1"/>
    <n v="0"/>
    <x v="0"/>
    <x v="10"/>
    <b v="0"/>
    <n v="5"/>
    <n v="1"/>
    <n v="0.22"/>
    <n v="0.19700000000000001"/>
    <n v="0.37"/>
    <n v="0.32840000000000003"/>
    <n v="16"/>
    <n v="47"/>
    <n v="63"/>
    <x v="1"/>
    <x v="2"/>
    <s v="Non-Holiday"/>
    <s v="Low"/>
    <x v="0"/>
  </r>
  <r>
    <n v="149"/>
    <x v="6"/>
    <n v="1"/>
    <n v="0"/>
    <x v="0"/>
    <x v="11"/>
    <b v="0"/>
    <n v="5"/>
    <n v="2"/>
    <n v="0.2"/>
    <n v="0.19700000000000001"/>
    <n v="0.4"/>
    <n v="0.22389999999999999"/>
    <n v="19"/>
    <n v="48"/>
    <n v="67"/>
    <x v="1"/>
    <x v="2"/>
    <s v="Non-Holiday"/>
    <s v="Low"/>
    <x v="1"/>
  </r>
  <r>
    <n v="150"/>
    <x v="6"/>
    <n v="1"/>
    <n v="0"/>
    <x v="0"/>
    <x v="12"/>
    <b v="0"/>
    <n v="5"/>
    <n v="2"/>
    <n v="0.2"/>
    <n v="0.19700000000000001"/>
    <n v="0.37"/>
    <n v="0.25369999999999998"/>
    <n v="9"/>
    <n v="50"/>
    <n v="59"/>
    <x v="1"/>
    <x v="2"/>
    <s v="Non-Holiday"/>
    <s v="Low"/>
    <x v="1"/>
  </r>
  <r>
    <n v="151"/>
    <x v="6"/>
    <n v="1"/>
    <n v="0"/>
    <x v="0"/>
    <x v="13"/>
    <b v="0"/>
    <n v="5"/>
    <n v="2"/>
    <n v="0.2"/>
    <n v="0.18179999999999999"/>
    <n v="0.37"/>
    <n v="0.28360000000000002"/>
    <n v="9"/>
    <n v="64"/>
    <n v="73"/>
    <x v="1"/>
    <x v="2"/>
    <s v="Non-Holiday"/>
    <s v="Low"/>
    <x v="1"/>
  </r>
  <r>
    <n v="152"/>
    <x v="6"/>
    <n v="1"/>
    <n v="0"/>
    <x v="0"/>
    <x v="14"/>
    <b v="0"/>
    <n v="5"/>
    <n v="2"/>
    <n v="0.2"/>
    <n v="0.19700000000000001"/>
    <n v="0.4"/>
    <n v="0.25369999999999998"/>
    <n v="7"/>
    <n v="43"/>
    <n v="50"/>
    <x v="1"/>
    <x v="2"/>
    <s v="Non-Holiday"/>
    <s v="Low"/>
    <x v="1"/>
  </r>
  <r>
    <n v="153"/>
    <x v="6"/>
    <n v="1"/>
    <n v="0"/>
    <x v="0"/>
    <x v="15"/>
    <b v="0"/>
    <n v="5"/>
    <n v="2"/>
    <n v="0.2"/>
    <n v="0.21210000000000001"/>
    <n v="0.37"/>
    <n v="0.16420000000000001"/>
    <n v="9"/>
    <n v="63"/>
    <n v="72"/>
    <x v="1"/>
    <x v="2"/>
    <s v="Non-Holiday"/>
    <s v="Low"/>
    <x v="1"/>
  </r>
  <r>
    <n v="154"/>
    <x v="6"/>
    <n v="1"/>
    <n v="0"/>
    <x v="0"/>
    <x v="16"/>
    <b v="0"/>
    <n v="5"/>
    <n v="2"/>
    <n v="0.2"/>
    <n v="0.21210000000000001"/>
    <n v="0.37"/>
    <n v="0.16420000000000001"/>
    <n v="5"/>
    <n v="82"/>
    <n v="87"/>
    <x v="1"/>
    <x v="2"/>
    <s v="Non-Holiday"/>
    <s v="Medium"/>
    <x v="1"/>
  </r>
  <r>
    <n v="155"/>
    <x v="6"/>
    <n v="1"/>
    <n v="0"/>
    <x v="0"/>
    <x v="17"/>
    <b v="0"/>
    <n v="5"/>
    <n v="2"/>
    <n v="0.2"/>
    <n v="0.2576"/>
    <n v="0.37"/>
    <n v="0"/>
    <n v="9"/>
    <n v="178"/>
    <n v="187"/>
    <x v="1"/>
    <x v="3"/>
    <s v="Non-Holiday"/>
    <s v="High"/>
    <x v="1"/>
  </r>
  <r>
    <n v="156"/>
    <x v="6"/>
    <n v="1"/>
    <n v="0"/>
    <x v="0"/>
    <x v="18"/>
    <b v="0"/>
    <n v="5"/>
    <n v="1"/>
    <n v="0.2"/>
    <n v="0.2273"/>
    <n v="0.4"/>
    <n v="8.9599999999999999E-2"/>
    <n v="7"/>
    <n v="116"/>
    <n v="123"/>
    <x v="1"/>
    <x v="3"/>
    <s v="Non-Holiday"/>
    <s v="Medium"/>
    <x v="0"/>
  </r>
  <r>
    <n v="157"/>
    <x v="6"/>
    <n v="1"/>
    <n v="0"/>
    <x v="0"/>
    <x v="19"/>
    <b v="0"/>
    <n v="5"/>
    <n v="1"/>
    <n v="0.16"/>
    <n v="0.19700000000000001"/>
    <n v="0.55000000000000004"/>
    <n v="8.9599999999999999E-2"/>
    <n v="3"/>
    <n v="92"/>
    <n v="95"/>
    <x v="1"/>
    <x v="3"/>
    <s v="Non-Holiday"/>
    <s v="Medium"/>
    <x v="0"/>
  </r>
  <r>
    <n v="158"/>
    <x v="6"/>
    <n v="1"/>
    <n v="0"/>
    <x v="0"/>
    <x v="20"/>
    <b v="0"/>
    <n v="5"/>
    <n v="1"/>
    <n v="0.18"/>
    <n v="0.21210000000000001"/>
    <n v="0.47"/>
    <n v="0.1045"/>
    <n v="1"/>
    <n v="50"/>
    <n v="51"/>
    <x v="1"/>
    <x v="3"/>
    <s v="Non-Holiday"/>
    <s v="Low"/>
    <x v="0"/>
  </r>
  <r>
    <n v="159"/>
    <x v="6"/>
    <n v="1"/>
    <n v="0"/>
    <x v="0"/>
    <x v="21"/>
    <b v="0"/>
    <n v="5"/>
    <n v="1"/>
    <n v="0.18"/>
    <n v="0.19700000000000001"/>
    <n v="0.47"/>
    <n v="0.1343"/>
    <n v="0"/>
    <n v="39"/>
    <n v="39"/>
    <x v="1"/>
    <x v="4"/>
    <s v="Non-Holiday"/>
    <s v="Low"/>
    <x v="0"/>
  </r>
  <r>
    <n v="160"/>
    <x v="6"/>
    <n v="1"/>
    <n v="0"/>
    <x v="0"/>
    <x v="22"/>
    <b v="0"/>
    <n v="5"/>
    <n v="2"/>
    <n v="0.18"/>
    <n v="0.19700000000000001"/>
    <n v="0.43"/>
    <n v="0.16420000000000001"/>
    <n v="2"/>
    <n v="34"/>
    <n v="36"/>
    <x v="1"/>
    <x v="4"/>
    <s v="Non-Holiday"/>
    <s v="Low"/>
    <x v="1"/>
  </r>
  <r>
    <n v="161"/>
    <x v="6"/>
    <n v="1"/>
    <n v="0"/>
    <x v="0"/>
    <x v="23"/>
    <b v="0"/>
    <n v="5"/>
    <n v="2"/>
    <n v="0.18"/>
    <n v="0.19700000000000001"/>
    <n v="0.51"/>
    <n v="0.16420000000000001"/>
    <n v="1"/>
    <n v="14"/>
    <n v="15"/>
    <x v="1"/>
    <x v="4"/>
    <s v="Non-Holiday"/>
    <s v="Low"/>
    <x v="1"/>
  </r>
  <r>
    <n v="162"/>
    <x v="7"/>
    <n v="1"/>
    <n v="0"/>
    <x v="0"/>
    <x v="0"/>
    <b v="0"/>
    <n v="6"/>
    <n v="2"/>
    <n v="0.18"/>
    <n v="0.19700000000000001"/>
    <n v="0.51"/>
    <n v="0.16420000000000001"/>
    <n v="1"/>
    <n v="24"/>
    <n v="25"/>
    <x v="0"/>
    <x v="0"/>
    <s v="Non-Holiday"/>
    <s v="Low"/>
    <x v="1"/>
  </r>
  <r>
    <n v="163"/>
    <x v="7"/>
    <n v="1"/>
    <n v="0"/>
    <x v="0"/>
    <x v="1"/>
    <b v="0"/>
    <n v="6"/>
    <n v="2"/>
    <n v="0.18"/>
    <n v="0.21210000000000001"/>
    <n v="0.55000000000000004"/>
    <n v="8.9599999999999999E-2"/>
    <n v="1"/>
    <n v="15"/>
    <n v="16"/>
    <x v="0"/>
    <x v="0"/>
    <s v="Non-Holiday"/>
    <s v="Low"/>
    <x v="1"/>
  </r>
  <r>
    <n v="164"/>
    <x v="7"/>
    <n v="1"/>
    <n v="0"/>
    <x v="0"/>
    <x v="2"/>
    <b v="0"/>
    <n v="6"/>
    <n v="2"/>
    <n v="0.18"/>
    <n v="0.2424"/>
    <n v="0.55000000000000004"/>
    <n v="0"/>
    <n v="3"/>
    <n v="13"/>
    <n v="16"/>
    <x v="0"/>
    <x v="0"/>
    <s v="Non-Holiday"/>
    <s v="Low"/>
    <x v="1"/>
  </r>
  <r>
    <n v="165"/>
    <x v="7"/>
    <n v="1"/>
    <n v="0"/>
    <x v="0"/>
    <x v="3"/>
    <b v="0"/>
    <n v="6"/>
    <n v="3"/>
    <n v="0.18"/>
    <n v="0.19700000000000001"/>
    <n v="0.55000000000000004"/>
    <n v="0.16420000000000001"/>
    <n v="0"/>
    <n v="7"/>
    <n v="7"/>
    <x v="0"/>
    <x v="0"/>
    <s v="Non-Holiday"/>
    <s v="Low"/>
    <x v="2"/>
  </r>
  <r>
    <n v="166"/>
    <x v="7"/>
    <n v="1"/>
    <n v="0"/>
    <x v="0"/>
    <x v="4"/>
    <b v="0"/>
    <n v="6"/>
    <n v="3"/>
    <n v="0.18"/>
    <n v="0.19700000000000001"/>
    <n v="0.55000000000000004"/>
    <n v="0.16420000000000001"/>
    <n v="0"/>
    <n v="1"/>
    <n v="1"/>
    <x v="0"/>
    <x v="0"/>
    <s v="Non-Holiday"/>
    <s v="Low"/>
    <x v="2"/>
  </r>
  <r>
    <n v="167"/>
    <x v="7"/>
    <n v="1"/>
    <n v="0"/>
    <x v="0"/>
    <x v="5"/>
    <b v="0"/>
    <n v="6"/>
    <n v="2"/>
    <n v="0.16"/>
    <n v="0.16669999999999999"/>
    <n v="0.74"/>
    <n v="0.16420000000000001"/>
    <n v="0"/>
    <n v="5"/>
    <n v="5"/>
    <x v="0"/>
    <x v="0"/>
    <s v="Non-Holiday"/>
    <s v="Low"/>
    <x v="1"/>
  </r>
  <r>
    <n v="168"/>
    <x v="7"/>
    <n v="1"/>
    <n v="0"/>
    <x v="0"/>
    <x v="6"/>
    <b v="0"/>
    <n v="6"/>
    <n v="2"/>
    <n v="0.16"/>
    <n v="0.16669999999999999"/>
    <n v="0.74"/>
    <n v="0.16420000000000001"/>
    <n v="0"/>
    <n v="2"/>
    <n v="2"/>
    <x v="0"/>
    <x v="1"/>
    <s v="Non-Holiday"/>
    <s v="Low"/>
    <x v="1"/>
  </r>
  <r>
    <n v="169"/>
    <x v="7"/>
    <n v="1"/>
    <n v="0"/>
    <x v="0"/>
    <x v="7"/>
    <b v="0"/>
    <n v="6"/>
    <n v="2"/>
    <n v="0.16"/>
    <n v="0.18179999999999999"/>
    <n v="0.74"/>
    <n v="0.1045"/>
    <n v="1"/>
    <n v="8"/>
    <n v="9"/>
    <x v="0"/>
    <x v="1"/>
    <s v="Non-Holiday"/>
    <s v="Low"/>
    <x v="1"/>
  </r>
  <r>
    <n v="170"/>
    <x v="7"/>
    <n v="1"/>
    <n v="0"/>
    <x v="0"/>
    <x v="8"/>
    <b v="0"/>
    <n v="6"/>
    <n v="3"/>
    <n v="0.16"/>
    <n v="0.18179999999999999"/>
    <n v="0.93"/>
    <n v="0.1045"/>
    <n v="0"/>
    <n v="15"/>
    <n v="15"/>
    <x v="0"/>
    <x v="1"/>
    <s v="Non-Holiday"/>
    <s v="Low"/>
    <x v="2"/>
  </r>
  <r>
    <n v="171"/>
    <x v="7"/>
    <n v="1"/>
    <n v="0"/>
    <x v="0"/>
    <x v="9"/>
    <b v="0"/>
    <n v="6"/>
    <n v="3"/>
    <n v="0.16"/>
    <n v="0.18179999999999999"/>
    <n v="0.93"/>
    <n v="0.1045"/>
    <n v="0"/>
    <n v="20"/>
    <n v="20"/>
    <x v="0"/>
    <x v="1"/>
    <s v="Non-Holiday"/>
    <s v="Low"/>
    <x v="2"/>
  </r>
  <r>
    <n v="172"/>
    <x v="7"/>
    <n v="1"/>
    <n v="0"/>
    <x v="0"/>
    <x v="10"/>
    <b v="0"/>
    <n v="6"/>
    <n v="2"/>
    <n v="0.18"/>
    <n v="0.19700000000000001"/>
    <n v="0.8"/>
    <n v="0.16420000000000001"/>
    <n v="5"/>
    <n v="56"/>
    <n v="61"/>
    <x v="0"/>
    <x v="2"/>
    <s v="Non-Holiday"/>
    <s v="Low"/>
    <x v="1"/>
  </r>
  <r>
    <n v="173"/>
    <x v="7"/>
    <n v="1"/>
    <n v="0"/>
    <x v="0"/>
    <x v="11"/>
    <b v="0"/>
    <n v="6"/>
    <n v="2"/>
    <n v="0.2"/>
    <n v="0.18179999999999999"/>
    <n v="0.69"/>
    <n v="0.3881"/>
    <n v="2"/>
    <n v="60"/>
    <n v="62"/>
    <x v="0"/>
    <x v="2"/>
    <s v="Non-Holiday"/>
    <s v="Low"/>
    <x v="1"/>
  </r>
  <r>
    <n v="174"/>
    <x v="7"/>
    <n v="1"/>
    <n v="0"/>
    <x v="0"/>
    <x v="12"/>
    <b v="0"/>
    <n v="6"/>
    <n v="2"/>
    <n v="0.2"/>
    <n v="0.18179999999999999"/>
    <n v="0.59"/>
    <n v="0.35820000000000002"/>
    <n v="8"/>
    <n v="90"/>
    <n v="98"/>
    <x v="0"/>
    <x v="2"/>
    <s v="Non-Holiday"/>
    <s v="Medium"/>
    <x v="1"/>
  </r>
  <r>
    <n v="175"/>
    <x v="7"/>
    <n v="1"/>
    <n v="0"/>
    <x v="0"/>
    <x v="13"/>
    <b v="0"/>
    <n v="6"/>
    <n v="1"/>
    <n v="0.2"/>
    <n v="0.18179999999999999"/>
    <n v="0.44"/>
    <n v="0.32840000000000003"/>
    <n v="7"/>
    <n v="95"/>
    <n v="102"/>
    <x v="0"/>
    <x v="2"/>
    <s v="Non-Holiday"/>
    <s v="Medium"/>
    <x v="0"/>
  </r>
  <r>
    <n v="176"/>
    <x v="7"/>
    <n v="1"/>
    <n v="0"/>
    <x v="0"/>
    <x v="14"/>
    <b v="0"/>
    <n v="6"/>
    <n v="1"/>
    <n v="0.2"/>
    <n v="0.16669999999999999"/>
    <n v="0.32"/>
    <n v="0.49249999999999999"/>
    <n v="12"/>
    <n v="83"/>
    <n v="95"/>
    <x v="0"/>
    <x v="2"/>
    <s v="Non-Holiday"/>
    <s v="Medium"/>
    <x v="0"/>
  </r>
  <r>
    <n v="177"/>
    <x v="7"/>
    <n v="1"/>
    <n v="0"/>
    <x v="0"/>
    <x v="15"/>
    <b v="0"/>
    <n v="6"/>
    <n v="1"/>
    <n v="0.2"/>
    <n v="0.16669999999999999"/>
    <n v="0.32"/>
    <n v="0.44779999999999998"/>
    <n v="5"/>
    <n v="69"/>
    <n v="74"/>
    <x v="0"/>
    <x v="2"/>
    <s v="Non-Holiday"/>
    <s v="Low"/>
    <x v="0"/>
  </r>
  <r>
    <n v="178"/>
    <x v="7"/>
    <n v="1"/>
    <n v="0"/>
    <x v="0"/>
    <x v="16"/>
    <b v="0"/>
    <n v="6"/>
    <n v="1"/>
    <n v="0.18"/>
    <n v="0.13639999999999999"/>
    <n v="0.28999999999999998"/>
    <n v="0.44779999999999998"/>
    <n v="8"/>
    <n v="68"/>
    <n v="76"/>
    <x v="0"/>
    <x v="2"/>
    <s v="Non-Holiday"/>
    <s v="Low"/>
    <x v="0"/>
  </r>
  <r>
    <n v="179"/>
    <x v="7"/>
    <n v="1"/>
    <n v="0"/>
    <x v="0"/>
    <x v="17"/>
    <b v="0"/>
    <n v="6"/>
    <n v="1"/>
    <n v="0.16"/>
    <n v="0.1212"/>
    <n v="0.37"/>
    <n v="0.55220000000000002"/>
    <n v="5"/>
    <n v="64"/>
    <n v="69"/>
    <x v="0"/>
    <x v="3"/>
    <s v="Non-Holiday"/>
    <s v="Low"/>
    <x v="0"/>
  </r>
  <r>
    <n v="180"/>
    <x v="7"/>
    <n v="1"/>
    <n v="0"/>
    <x v="0"/>
    <x v="18"/>
    <b v="0"/>
    <n v="6"/>
    <n v="1"/>
    <n v="0.14000000000000001"/>
    <n v="0.1212"/>
    <n v="0.39"/>
    <n v="0.29849999999999999"/>
    <n v="3"/>
    <n v="52"/>
    <n v="55"/>
    <x v="0"/>
    <x v="3"/>
    <s v="Non-Holiday"/>
    <s v="Low"/>
    <x v="0"/>
  </r>
  <r>
    <n v="181"/>
    <x v="7"/>
    <n v="1"/>
    <n v="0"/>
    <x v="0"/>
    <x v="19"/>
    <b v="0"/>
    <n v="6"/>
    <n v="1"/>
    <n v="0.14000000000000001"/>
    <n v="0.1212"/>
    <n v="0.36"/>
    <n v="0.25369999999999998"/>
    <n v="4"/>
    <n v="26"/>
    <n v="30"/>
    <x v="0"/>
    <x v="3"/>
    <s v="Non-Holiday"/>
    <s v="Low"/>
    <x v="0"/>
  </r>
  <r>
    <n v="182"/>
    <x v="7"/>
    <n v="1"/>
    <n v="0"/>
    <x v="0"/>
    <x v="20"/>
    <b v="0"/>
    <n v="6"/>
    <n v="1"/>
    <n v="0.12"/>
    <n v="0.1212"/>
    <n v="0.36"/>
    <n v="0.25369999999999998"/>
    <n v="0"/>
    <n v="28"/>
    <n v="28"/>
    <x v="0"/>
    <x v="3"/>
    <s v="Non-Holiday"/>
    <s v="Low"/>
    <x v="0"/>
  </r>
  <r>
    <n v="183"/>
    <x v="7"/>
    <n v="1"/>
    <n v="0"/>
    <x v="0"/>
    <x v="21"/>
    <b v="0"/>
    <n v="6"/>
    <n v="1"/>
    <n v="0.12"/>
    <n v="0.1061"/>
    <n v="0.39"/>
    <n v="0.35820000000000002"/>
    <n v="2"/>
    <n v="35"/>
    <n v="37"/>
    <x v="0"/>
    <x v="4"/>
    <s v="Non-Holiday"/>
    <s v="Low"/>
    <x v="0"/>
  </r>
  <r>
    <n v="184"/>
    <x v="7"/>
    <n v="1"/>
    <n v="0"/>
    <x v="0"/>
    <x v="22"/>
    <b v="0"/>
    <n v="6"/>
    <n v="1"/>
    <n v="0.12"/>
    <n v="0.1061"/>
    <n v="0.36"/>
    <n v="0.3881"/>
    <n v="1"/>
    <n v="33"/>
    <n v="34"/>
    <x v="0"/>
    <x v="4"/>
    <s v="Non-Holiday"/>
    <s v="Low"/>
    <x v="0"/>
  </r>
  <r>
    <n v="185"/>
    <x v="7"/>
    <n v="1"/>
    <n v="0"/>
    <x v="0"/>
    <x v="23"/>
    <b v="0"/>
    <n v="6"/>
    <n v="1"/>
    <n v="0.1"/>
    <n v="6.0600000000000001E-2"/>
    <n v="0.39"/>
    <n v="0.44779999999999998"/>
    <n v="0"/>
    <n v="22"/>
    <n v="22"/>
    <x v="0"/>
    <x v="4"/>
    <s v="Non-Holiday"/>
    <s v="Low"/>
    <x v="0"/>
  </r>
  <r>
    <n v="186"/>
    <x v="8"/>
    <n v="1"/>
    <n v="0"/>
    <x v="0"/>
    <x v="0"/>
    <b v="0"/>
    <n v="0"/>
    <n v="1"/>
    <n v="0.1"/>
    <n v="7.5800000000000006E-2"/>
    <n v="0.42"/>
    <n v="0.3881"/>
    <n v="1"/>
    <n v="24"/>
    <n v="25"/>
    <x v="0"/>
    <x v="0"/>
    <s v="Non-Holiday"/>
    <s v="Low"/>
    <x v="0"/>
  </r>
  <r>
    <n v="187"/>
    <x v="8"/>
    <n v="1"/>
    <n v="0"/>
    <x v="0"/>
    <x v="1"/>
    <b v="0"/>
    <n v="0"/>
    <n v="1"/>
    <n v="0.1"/>
    <n v="6.0600000000000001E-2"/>
    <n v="0.42"/>
    <n v="0.4627"/>
    <n v="0"/>
    <n v="12"/>
    <n v="12"/>
    <x v="0"/>
    <x v="0"/>
    <s v="Non-Holiday"/>
    <s v="Low"/>
    <x v="0"/>
  </r>
  <r>
    <n v="188"/>
    <x v="8"/>
    <n v="1"/>
    <n v="0"/>
    <x v="0"/>
    <x v="2"/>
    <b v="0"/>
    <n v="0"/>
    <n v="1"/>
    <n v="0.1"/>
    <n v="6.0600000000000001E-2"/>
    <n v="0.46"/>
    <n v="0.4627"/>
    <n v="0"/>
    <n v="11"/>
    <n v="11"/>
    <x v="0"/>
    <x v="0"/>
    <s v="Non-Holiday"/>
    <s v="Low"/>
    <x v="0"/>
  </r>
  <r>
    <n v="189"/>
    <x v="8"/>
    <n v="1"/>
    <n v="0"/>
    <x v="0"/>
    <x v="3"/>
    <b v="0"/>
    <n v="0"/>
    <n v="1"/>
    <n v="0.1"/>
    <n v="7.5800000000000006E-2"/>
    <n v="0.46"/>
    <n v="0.41789999999999999"/>
    <n v="0"/>
    <n v="4"/>
    <n v="4"/>
    <x v="0"/>
    <x v="0"/>
    <s v="Non-Holiday"/>
    <s v="Low"/>
    <x v="0"/>
  </r>
  <r>
    <n v="190"/>
    <x v="8"/>
    <n v="1"/>
    <n v="0"/>
    <x v="0"/>
    <x v="4"/>
    <b v="0"/>
    <n v="0"/>
    <n v="1"/>
    <n v="0.08"/>
    <n v="9.0899999999999995E-2"/>
    <n v="0.53"/>
    <n v="0.19400000000000001"/>
    <n v="0"/>
    <n v="1"/>
    <n v="1"/>
    <x v="0"/>
    <x v="0"/>
    <s v="Non-Holiday"/>
    <s v="Low"/>
    <x v="0"/>
  </r>
  <r>
    <n v="191"/>
    <x v="8"/>
    <n v="1"/>
    <n v="0"/>
    <x v="0"/>
    <x v="5"/>
    <b v="0"/>
    <n v="0"/>
    <n v="1"/>
    <n v="0.08"/>
    <n v="9.0899999999999995E-2"/>
    <n v="0.53"/>
    <n v="0.19400000000000001"/>
    <n v="0"/>
    <n v="1"/>
    <n v="1"/>
    <x v="0"/>
    <x v="0"/>
    <s v="Non-Holiday"/>
    <s v="Low"/>
    <x v="0"/>
  </r>
  <r>
    <n v="192"/>
    <x v="8"/>
    <n v="1"/>
    <n v="0"/>
    <x v="0"/>
    <x v="6"/>
    <b v="0"/>
    <n v="0"/>
    <n v="1"/>
    <n v="0.1"/>
    <n v="9.0899999999999995E-2"/>
    <n v="0.49"/>
    <n v="0.28360000000000002"/>
    <n v="0"/>
    <n v="1"/>
    <n v="1"/>
    <x v="0"/>
    <x v="1"/>
    <s v="Non-Holiday"/>
    <s v="Low"/>
    <x v="0"/>
  </r>
  <r>
    <n v="193"/>
    <x v="8"/>
    <n v="1"/>
    <n v="0"/>
    <x v="0"/>
    <x v="7"/>
    <b v="0"/>
    <n v="0"/>
    <n v="1"/>
    <n v="0.08"/>
    <n v="9.0899999999999995E-2"/>
    <n v="0.53"/>
    <n v="0.19400000000000001"/>
    <n v="1"/>
    <n v="5"/>
    <n v="6"/>
    <x v="0"/>
    <x v="1"/>
    <s v="Non-Holiday"/>
    <s v="Low"/>
    <x v="0"/>
  </r>
  <r>
    <n v="194"/>
    <x v="8"/>
    <n v="1"/>
    <n v="0"/>
    <x v="0"/>
    <x v="8"/>
    <b v="0"/>
    <n v="0"/>
    <n v="1"/>
    <n v="0.1"/>
    <n v="9.0899999999999995E-2"/>
    <n v="0.49"/>
    <n v="0.28360000000000002"/>
    <n v="0"/>
    <n v="10"/>
    <n v="10"/>
    <x v="0"/>
    <x v="1"/>
    <s v="Non-Holiday"/>
    <s v="Low"/>
    <x v="0"/>
  </r>
  <r>
    <n v="195"/>
    <x v="8"/>
    <n v="1"/>
    <n v="0"/>
    <x v="0"/>
    <x v="9"/>
    <b v="0"/>
    <n v="0"/>
    <n v="1"/>
    <n v="0.12"/>
    <n v="7.5800000000000006E-2"/>
    <n v="0.46"/>
    <n v="0.52239999999999998"/>
    <n v="0"/>
    <n v="19"/>
    <n v="19"/>
    <x v="0"/>
    <x v="1"/>
    <s v="Non-Holiday"/>
    <s v="Low"/>
    <x v="0"/>
  </r>
  <r>
    <n v="196"/>
    <x v="8"/>
    <n v="1"/>
    <n v="0"/>
    <x v="0"/>
    <x v="10"/>
    <b v="0"/>
    <n v="0"/>
    <n v="1"/>
    <n v="0.14000000000000001"/>
    <n v="0.1061"/>
    <n v="0.43"/>
    <n v="0.3881"/>
    <n v="0"/>
    <n v="49"/>
    <n v="49"/>
    <x v="0"/>
    <x v="2"/>
    <s v="Non-Holiday"/>
    <s v="Low"/>
    <x v="0"/>
  </r>
  <r>
    <n v="197"/>
    <x v="8"/>
    <n v="1"/>
    <n v="0"/>
    <x v="0"/>
    <x v="11"/>
    <b v="0"/>
    <n v="0"/>
    <n v="1"/>
    <n v="0.16"/>
    <n v="0.1212"/>
    <n v="0.4"/>
    <n v="0.52239999999999998"/>
    <n v="2"/>
    <n v="47"/>
    <n v="49"/>
    <x v="0"/>
    <x v="2"/>
    <s v="Non-Holiday"/>
    <s v="Low"/>
    <x v="0"/>
  </r>
  <r>
    <n v="198"/>
    <x v="8"/>
    <n v="1"/>
    <n v="0"/>
    <x v="0"/>
    <x v="12"/>
    <b v="0"/>
    <n v="0"/>
    <n v="1"/>
    <n v="0.18"/>
    <n v="0.13639999999999999"/>
    <n v="0.37"/>
    <n v="0.44779999999999998"/>
    <n v="4"/>
    <n v="79"/>
    <n v="83"/>
    <x v="0"/>
    <x v="2"/>
    <s v="Non-Holiday"/>
    <s v="Medium"/>
    <x v="0"/>
  </r>
  <r>
    <n v="199"/>
    <x v="8"/>
    <n v="1"/>
    <n v="0"/>
    <x v="0"/>
    <x v="13"/>
    <b v="0"/>
    <n v="0"/>
    <n v="1"/>
    <n v="0.2"/>
    <n v="0.16669999999999999"/>
    <n v="0.34"/>
    <n v="0.44779999999999998"/>
    <n v="6"/>
    <n v="69"/>
    <n v="75"/>
    <x v="0"/>
    <x v="2"/>
    <s v="Non-Holiday"/>
    <s v="Low"/>
    <x v="0"/>
  </r>
  <r>
    <n v="200"/>
    <x v="8"/>
    <n v="1"/>
    <n v="0"/>
    <x v="0"/>
    <x v="14"/>
    <b v="0"/>
    <n v="0"/>
    <n v="1"/>
    <n v="0.22"/>
    <n v="0.18179999999999999"/>
    <n v="0.32"/>
    <n v="0.4627"/>
    <n v="8"/>
    <n v="64"/>
    <n v="72"/>
    <x v="0"/>
    <x v="2"/>
    <s v="Non-Holiday"/>
    <s v="Low"/>
    <x v="0"/>
  </r>
  <r>
    <n v="201"/>
    <x v="8"/>
    <n v="1"/>
    <n v="0"/>
    <x v="0"/>
    <x v="15"/>
    <b v="0"/>
    <n v="0"/>
    <n v="1"/>
    <n v="0.22"/>
    <n v="0.19700000000000001"/>
    <n v="0.35"/>
    <n v="0.35820000000000002"/>
    <n v="5"/>
    <n v="77"/>
    <n v="82"/>
    <x v="0"/>
    <x v="2"/>
    <s v="Non-Holiday"/>
    <s v="Medium"/>
    <x v="0"/>
  </r>
  <r>
    <n v="202"/>
    <x v="8"/>
    <n v="1"/>
    <n v="0"/>
    <x v="0"/>
    <x v="16"/>
    <b v="0"/>
    <n v="0"/>
    <n v="1"/>
    <n v="0.2"/>
    <n v="0.16669999999999999"/>
    <n v="0.34"/>
    <n v="0.44779999999999998"/>
    <n v="13"/>
    <n v="79"/>
    <n v="92"/>
    <x v="0"/>
    <x v="2"/>
    <s v="Non-Holiday"/>
    <s v="Medium"/>
    <x v="0"/>
  </r>
  <r>
    <n v="203"/>
    <x v="8"/>
    <n v="1"/>
    <n v="0"/>
    <x v="0"/>
    <x v="17"/>
    <b v="0"/>
    <n v="0"/>
    <n v="1"/>
    <n v="0.18"/>
    <n v="0.1515"/>
    <n v="0.37"/>
    <n v="0.3881"/>
    <n v="3"/>
    <n v="59"/>
    <n v="62"/>
    <x v="0"/>
    <x v="3"/>
    <s v="Non-Holiday"/>
    <s v="Low"/>
    <x v="0"/>
  </r>
  <r>
    <n v="204"/>
    <x v="8"/>
    <n v="1"/>
    <n v="0"/>
    <x v="0"/>
    <x v="18"/>
    <b v="0"/>
    <n v="0"/>
    <n v="1"/>
    <n v="0.16"/>
    <n v="0.13639999999999999"/>
    <n v="0.4"/>
    <n v="0.32840000000000003"/>
    <n v="4"/>
    <n v="44"/>
    <n v="48"/>
    <x v="0"/>
    <x v="3"/>
    <s v="Non-Holiday"/>
    <s v="Low"/>
    <x v="0"/>
  </r>
  <r>
    <n v="205"/>
    <x v="8"/>
    <n v="1"/>
    <n v="0"/>
    <x v="0"/>
    <x v="19"/>
    <b v="0"/>
    <n v="0"/>
    <n v="1"/>
    <n v="0.16"/>
    <n v="0.13639999999999999"/>
    <n v="0.43"/>
    <n v="0.32840000000000003"/>
    <n v="1"/>
    <n v="40"/>
    <n v="41"/>
    <x v="0"/>
    <x v="3"/>
    <s v="Non-Holiday"/>
    <s v="Low"/>
    <x v="0"/>
  </r>
  <r>
    <n v="206"/>
    <x v="8"/>
    <n v="1"/>
    <n v="0"/>
    <x v="0"/>
    <x v="20"/>
    <b v="0"/>
    <n v="0"/>
    <n v="1"/>
    <n v="0.14000000000000001"/>
    <n v="0.1212"/>
    <n v="0.46"/>
    <n v="0.25369999999999998"/>
    <n v="0"/>
    <n v="38"/>
    <n v="38"/>
    <x v="0"/>
    <x v="3"/>
    <s v="Non-Holiday"/>
    <s v="Low"/>
    <x v="0"/>
  </r>
  <r>
    <n v="207"/>
    <x v="8"/>
    <n v="1"/>
    <n v="0"/>
    <x v="0"/>
    <x v="21"/>
    <b v="0"/>
    <n v="0"/>
    <n v="1"/>
    <n v="0.14000000000000001"/>
    <n v="0.1061"/>
    <n v="0.46"/>
    <n v="0.41789999999999999"/>
    <n v="1"/>
    <n v="19"/>
    <n v="20"/>
    <x v="0"/>
    <x v="4"/>
    <s v="Non-Holiday"/>
    <s v="Low"/>
    <x v="0"/>
  </r>
  <r>
    <n v="208"/>
    <x v="8"/>
    <n v="1"/>
    <n v="0"/>
    <x v="0"/>
    <x v="22"/>
    <b v="0"/>
    <n v="0"/>
    <n v="1"/>
    <n v="0.14000000000000001"/>
    <n v="0.1212"/>
    <n v="0.46"/>
    <n v="0.29849999999999999"/>
    <n v="5"/>
    <n v="10"/>
    <n v="15"/>
    <x v="0"/>
    <x v="4"/>
    <s v="Non-Holiday"/>
    <s v="Low"/>
    <x v="0"/>
  </r>
  <r>
    <n v="209"/>
    <x v="8"/>
    <n v="1"/>
    <n v="0"/>
    <x v="0"/>
    <x v="23"/>
    <b v="0"/>
    <n v="0"/>
    <n v="1"/>
    <n v="0.12"/>
    <n v="0.13639999999999999"/>
    <n v="0.5"/>
    <n v="0.19400000000000001"/>
    <n v="0"/>
    <n v="6"/>
    <n v="6"/>
    <x v="0"/>
    <x v="4"/>
    <s v="Non-Holiday"/>
    <s v="Low"/>
    <x v="0"/>
  </r>
  <r>
    <n v="210"/>
    <x v="9"/>
    <n v="1"/>
    <n v="0"/>
    <x v="0"/>
    <x v="0"/>
    <b v="0"/>
    <n v="1"/>
    <n v="1"/>
    <n v="0.12"/>
    <n v="0.1212"/>
    <n v="0.5"/>
    <n v="0.28360000000000002"/>
    <n v="2"/>
    <n v="3"/>
    <n v="5"/>
    <x v="1"/>
    <x v="0"/>
    <s v="Non-Holiday"/>
    <s v="Low"/>
    <x v="0"/>
  </r>
  <r>
    <n v="211"/>
    <x v="9"/>
    <n v="1"/>
    <n v="0"/>
    <x v="0"/>
    <x v="1"/>
    <b v="0"/>
    <n v="1"/>
    <n v="1"/>
    <n v="0.12"/>
    <n v="0.1212"/>
    <n v="0.5"/>
    <n v="0.28360000000000002"/>
    <n v="1"/>
    <n v="0"/>
    <n v="1"/>
    <x v="1"/>
    <x v="0"/>
    <s v="Non-Holiday"/>
    <s v="Low"/>
    <x v="0"/>
  </r>
  <r>
    <n v="212"/>
    <x v="9"/>
    <n v="1"/>
    <n v="0"/>
    <x v="0"/>
    <x v="2"/>
    <b v="0"/>
    <n v="1"/>
    <n v="1"/>
    <n v="0.12"/>
    <n v="0.1212"/>
    <n v="0.5"/>
    <n v="0.22389999999999999"/>
    <n v="0"/>
    <n v="3"/>
    <n v="3"/>
    <x v="1"/>
    <x v="0"/>
    <s v="Non-Holiday"/>
    <s v="Low"/>
    <x v="0"/>
  </r>
  <r>
    <n v="213"/>
    <x v="9"/>
    <n v="1"/>
    <n v="0"/>
    <x v="0"/>
    <x v="3"/>
    <b v="0"/>
    <n v="1"/>
    <n v="1"/>
    <n v="0.12"/>
    <n v="0.1212"/>
    <n v="0.5"/>
    <n v="0.22389999999999999"/>
    <n v="0"/>
    <n v="1"/>
    <n v="1"/>
    <x v="1"/>
    <x v="0"/>
    <s v="Non-Holiday"/>
    <s v="Low"/>
    <x v="0"/>
  </r>
  <r>
    <n v="214"/>
    <x v="9"/>
    <n v="1"/>
    <n v="0"/>
    <x v="0"/>
    <x v="4"/>
    <b v="0"/>
    <n v="1"/>
    <n v="1"/>
    <n v="0.1"/>
    <n v="0.1212"/>
    <n v="0.54"/>
    <n v="0.1343"/>
    <n v="1"/>
    <n v="2"/>
    <n v="3"/>
    <x v="1"/>
    <x v="0"/>
    <s v="Non-Holiday"/>
    <s v="Low"/>
    <x v="0"/>
  </r>
  <r>
    <n v="215"/>
    <x v="9"/>
    <n v="1"/>
    <n v="0"/>
    <x v="0"/>
    <x v="5"/>
    <b v="0"/>
    <n v="1"/>
    <n v="1"/>
    <n v="0.1"/>
    <n v="0.1061"/>
    <n v="0.54"/>
    <n v="0.25369999999999998"/>
    <n v="0"/>
    <n v="3"/>
    <n v="3"/>
    <x v="1"/>
    <x v="0"/>
    <s v="Non-Holiday"/>
    <s v="Low"/>
    <x v="0"/>
  </r>
  <r>
    <n v="216"/>
    <x v="9"/>
    <n v="1"/>
    <n v="0"/>
    <x v="0"/>
    <x v="6"/>
    <b v="0"/>
    <n v="1"/>
    <n v="1"/>
    <n v="0.12"/>
    <n v="0.1212"/>
    <n v="0.5"/>
    <n v="0.28360000000000002"/>
    <n v="0"/>
    <n v="31"/>
    <n v="31"/>
    <x v="1"/>
    <x v="1"/>
    <s v="Non-Holiday"/>
    <s v="Low"/>
    <x v="0"/>
  </r>
  <r>
    <n v="217"/>
    <x v="9"/>
    <n v="1"/>
    <n v="0"/>
    <x v="0"/>
    <x v="7"/>
    <b v="0"/>
    <n v="1"/>
    <n v="1"/>
    <n v="0.12"/>
    <n v="0.1212"/>
    <n v="0.5"/>
    <n v="0.22389999999999999"/>
    <n v="2"/>
    <n v="75"/>
    <n v="77"/>
    <x v="1"/>
    <x v="1"/>
    <s v="Non-Holiday"/>
    <s v="Low"/>
    <x v="0"/>
  </r>
  <r>
    <n v="218"/>
    <x v="9"/>
    <n v="1"/>
    <n v="0"/>
    <x v="0"/>
    <x v="8"/>
    <b v="0"/>
    <n v="1"/>
    <n v="2"/>
    <n v="0.12"/>
    <n v="0.1212"/>
    <n v="0.5"/>
    <n v="0.28360000000000002"/>
    <n v="4"/>
    <n v="184"/>
    <n v="188"/>
    <x v="1"/>
    <x v="1"/>
    <s v="Non-Holiday"/>
    <s v="High"/>
    <x v="1"/>
  </r>
  <r>
    <n v="219"/>
    <x v="9"/>
    <n v="1"/>
    <n v="0"/>
    <x v="0"/>
    <x v="9"/>
    <b v="0"/>
    <n v="1"/>
    <n v="2"/>
    <n v="0.14000000000000001"/>
    <n v="0.1212"/>
    <n v="0.5"/>
    <n v="0.25369999999999998"/>
    <n v="2"/>
    <n v="92"/>
    <n v="94"/>
    <x v="1"/>
    <x v="1"/>
    <s v="Non-Holiday"/>
    <s v="Medium"/>
    <x v="1"/>
  </r>
  <r>
    <n v="220"/>
    <x v="9"/>
    <n v="1"/>
    <n v="0"/>
    <x v="0"/>
    <x v="10"/>
    <b v="0"/>
    <n v="1"/>
    <n v="2"/>
    <n v="0.14000000000000001"/>
    <n v="0.1212"/>
    <n v="0.5"/>
    <n v="0.29849999999999999"/>
    <n v="0"/>
    <n v="31"/>
    <n v="31"/>
    <x v="1"/>
    <x v="2"/>
    <s v="Non-Holiday"/>
    <s v="Low"/>
    <x v="1"/>
  </r>
  <r>
    <n v="221"/>
    <x v="9"/>
    <n v="1"/>
    <n v="0"/>
    <x v="0"/>
    <x v="11"/>
    <b v="0"/>
    <n v="1"/>
    <n v="2"/>
    <n v="0.16"/>
    <n v="0.13639999999999999"/>
    <n v="0.47"/>
    <n v="0.28360000000000002"/>
    <n v="2"/>
    <n v="28"/>
    <n v="30"/>
    <x v="1"/>
    <x v="2"/>
    <s v="Non-Holiday"/>
    <s v="Low"/>
    <x v="1"/>
  </r>
  <r>
    <n v="222"/>
    <x v="9"/>
    <n v="1"/>
    <n v="0"/>
    <x v="0"/>
    <x v="12"/>
    <b v="0"/>
    <n v="1"/>
    <n v="2"/>
    <n v="0.2"/>
    <n v="0.18179999999999999"/>
    <n v="0.4"/>
    <n v="0.28360000000000002"/>
    <n v="5"/>
    <n v="47"/>
    <n v="52"/>
    <x v="1"/>
    <x v="2"/>
    <s v="Non-Holiday"/>
    <s v="Low"/>
    <x v="1"/>
  </r>
  <r>
    <n v="223"/>
    <x v="9"/>
    <n v="1"/>
    <n v="0"/>
    <x v="0"/>
    <x v="13"/>
    <b v="0"/>
    <n v="1"/>
    <n v="2"/>
    <n v="0.2"/>
    <n v="0.18179999999999999"/>
    <n v="0.4"/>
    <n v="0.28360000000000002"/>
    <n v="4"/>
    <n v="50"/>
    <n v="54"/>
    <x v="1"/>
    <x v="2"/>
    <s v="Non-Holiday"/>
    <s v="Low"/>
    <x v="1"/>
  </r>
  <r>
    <n v="224"/>
    <x v="9"/>
    <n v="1"/>
    <n v="0"/>
    <x v="0"/>
    <x v="14"/>
    <b v="0"/>
    <n v="1"/>
    <n v="2"/>
    <n v="0.2"/>
    <n v="0.19700000000000001"/>
    <n v="0.4"/>
    <n v="0.22389999999999999"/>
    <n v="0"/>
    <n v="47"/>
    <n v="47"/>
    <x v="1"/>
    <x v="2"/>
    <s v="Non-Holiday"/>
    <s v="Low"/>
    <x v="1"/>
  </r>
  <r>
    <n v="225"/>
    <x v="9"/>
    <n v="1"/>
    <n v="0"/>
    <x v="0"/>
    <x v="15"/>
    <b v="0"/>
    <n v="1"/>
    <n v="2"/>
    <n v="0.2"/>
    <n v="0.19700000000000001"/>
    <n v="0.4"/>
    <n v="0.22389999999999999"/>
    <n v="2"/>
    <n v="43"/>
    <n v="45"/>
    <x v="1"/>
    <x v="2"/>
    <s v="Non-Holiday"/>
    <s v="Low"/>
    <x v="1"/>
  </r>
  <r>
    <n v="226"/>
    <x v="9"/>
    <n v="1"/>
    <n v="0"/>
    <x v="0"/>
    <x v="16"/>
    <b v="0"/>
    <n v="1"/>
    <n v="1"/>
    <n v="0.2"/>
    <n v="0.21210000000000001"/>
    <n v="0.4"/>
    <n v="0.1343"/>
    <n v="4"/>
    <n v="70"/>
    <n v="74"/>
    <x v="1"/>
    <x v="2"/>
    <s v="Non-Holiday"/>
    <s v="Low"/>
    <x v="0"/>
  </r>
  <r>
    <n v="227"/>
    <x v="9"/>
    <n v="1"/>
    <n v="0"/>
    <x v="0"/>
    <x v="17"/>
    <b v="0"/>
    <n v="1"/>
    <n v="1"/>
    <n v="0.2"/>
    <n v="0.2273"/>
    <n v="0.4"/>
    <n v="0.1045"/>
    <n v="4"/>
    <n v="174"/>
    <n v="178"/>
    <x v="1"/>
    <x v="3"/>
    <s v="Non-Holiday"/>
    <s v="High"/>
    <x v="0"/>
  </r>
  <r>
    <n v="228"/>
    <x v="9"/>
    <n v="1"/>
    <n v="0"/>
    <x v="0"/>
    <x v="18"/>
    <b v="0"/>
    <n v="1"/>
    <n v="1"/>
    <n v="0.2"/>
    <n v="0.19700000000000001"/>
    <n v="0.4"/>
    <n v="0.22389999999999999"/>
    <n v="1"/>
    <n v="154"/>
    <n v="155"/>
    <x v="1"/>
    <x v="3"/>
    <s v="Non-Holiday"/>
    <s v="Medium"/>
    <x v="0"/>
  </r>
  <r>
    <n v="229"/>
    <x v="9"/>
    <n v="1"/>
    <n v="0"/>
    <x v="0"/>
    <x v="19"/>
    <b v="0"/>
    <n v="1"/>
    <n v="1"/>
    <n v="0.16"/>
    <n v="0.16669999999999999"/>
    <n v="0.47"/>
    <n v="0.16420000000000001"/>
    <n v="3"/>
    <n v="92"/>
    <n v="95"/>
    <x v="1"/>
    <x v="3"/>
    <s v="Non-Holiday"/>
    <s v="Medium"/>
    <x v="0"/>
  </r>
  <r>
    <n v="230"/>
    <x v="9"/>
    <n v="1"/>
    <n v="0"/>
    <x v="0"/>
    <x v="20"/>
    <b v="0"/>
    <n v="1"/>
    <n v="1"/>
    <n v="0.16"/>
    <n v="0.16669999999999999"/>
    <n v="0.5"/>
    <n v="0.16420000000000001"/>
    <n v="1"/>
    <n v="73"/>
    <n v="74"/>
    <x v="1"/>
    <x v="3"/>
    <s v="Non-Holiday"/>
    <s v="Low"/>
    <x v="0"/>
  </r>
  <r>
    <n v="231"/>
    <x v="9"/>
    <n v="1"/>
    <n v="0"/>
    <x v="0"/>
    <x v="21"/>
    <b v="0"/>
    <n v="1"/>
    <n v="1"/>
    <n v="0.14000000000000001"/>
    <n v="0.13639999999999999"/>
    <n v="0.59"/>
    <n v="0.19400000000000001"/>
    <n v="1"/>
    <n v="37"/>
    <n v="38"/>
    <x v="1"/>
    <x v="4"/>
    <s v="Non-Holiday"/>
    <s v="Low"/>
    <x v="0"/>
  </r>
  <r>
    <n v="232"/>
    <x v="9"/>
    <n v="1"/>
    <n v="0"/>
    <x v="0"/>
    <x v="22"/>
    <b v="0"/>
    <n v="1"/>
    <n v="1"/>
    <n v="0.14000000000000001"/>
    <n v="0.1515"/>
    <n v="0.59"/>
    <n v="0.16420000000000001"/>
    <n v="2"/>
    <n v="22"/>
    <n v="24"/>
    <x v="1"/>
    <x v="4"/>
    <s v="Non-Holiday"/>
    <s v="Low"/>
    <x v="0"/>
  </r>
  <r>
    <n v="233"/>
    <x v="9"/>
    <n v="1"/>
    <n v="0"/>
    <x v="0"/>
    <x v="23"/>
    <b v="0"/>
    <n v="1"/>
    <n v="1"/>
    <n v="0.14000000000000001"/>
    <n v="0.1515"/>
    <n v="0.59"/>
    <n v="0.16420000000000001"/>
    <n v="0"/>
    <n v="18"/>
    <n v="18"/>
    <x v="1"/>
    <x v="4"/>
    <s v="Non-Holiday"/>
    <s v="Low"/>
    <x v="0"/>
  </r>
  <r>
    <n v="234"/>
    <x v="10"/>
    <n v="1"/>
    <n v="0"/>
    <x v="0"/>
    <x v="0"/>
    <b v="0"/>
    <n v="2"/>
    <n v="1"/>
    <n v="0.14000000000000001"/>
    <n v="0.16669999999999999"/>
    <n v="0.59"/>
    <n v="0.1045"/>
    <n v="2"/>
    <n v="10"/>
    <n v="12"/>
    <x v="1"/>
    <x v="0"/>
    <s v="Non-Holiday"/>
    <s v="Low"/>
    <x v="0"/>
  </r>
  <r>
    <n v="235"/>
    <x v="10"/>
    <n v="1"/>
    <n v="0"/>
    <x v="0"/>
    <x v="1"/>
    <b v="0"/>
    <n v="2"/>
    <n v="1"/>
    <n v="0.14000000000000001"/>
    <n v="0.1515"/>
    <n v="0.59"/>
    <n v="0.16420000000000001"/>
    <n v="0"/>
    <n v="3"/>
    <n v="3"/>
    <x v="1"/>
    <x v="0"/>
    <s v="Non-Holiday"/>
    <s v="Low"/>
    <x v="0"/>
  </r>
  <r>
    <n v="236"/>
    <x v="10"/>
    <n v="1"/>
    <n v="0"/>
    <x v="0"/>
    <x v="2"/>
    <b v="0"/>
    <n v="2"/>
    <n v="2"/>
    <n v="0.16"/>
    <n v="0.1515"/>
    <n v="0.55000000000000004"/>
    <n v="0.19400000000000001"/>
    <n v="0"/>
    <n v="3"/>
    <n v="3"/>
    <x v="1"/>
    <x v="0"/>
    <s v="Non-Holiday"/>
    <s v="Low"/>
    <x v="1"/>
  </r>
  <r>
    <n v="237"/>
    <x v="10"/>
    <n v="1"/>
    <n v="0"/>
    <x v="0"/>
    <x v="5"/>
    <b v="0"/>
    <n v="2"/>
    <n v="2"/>
    <n v="0.16"/>
    <n v="0.18179999999999999"/>
    <n v="0.55000000000000004"/>
    <n v="0.1343"/>
    <n v="0"/>
    <n v="6"/>
    <n v="6"/>
    <x v="1"/>
    <x v="0"/>
    <s v="Non-Holiday"/>
    <s v="Low"/>
    <x v="1"/>
  </r>
  <r>
    <n v="238"/>
    <x v="10"/>
    <n v="1"/>
    <n v="0"/>
    <x v="0"/>
    <x v="6"/>
    <b v="0"/>
    <n v="2"/>
    <n v="2"/>
    <n v="0.16"/>
    <n v="0.18179999999999999"/>
    <n v="0.55000000000000004"/>
    <n v="0.1343"/>
    <n v="0"/>
    <n v="27"/>
    <n v="27"/>
    <x v="1"/>
    <x v="1"/>
    <s v="Non-Holiday"/>
    <s v="Low"/>
    <x v="1"/>
  </r>
  <r>
    <n v="239"/>
    <x v="10"/>
    <n v="1"/>
    <n v="0"/>
    <x v="0"/>
    <x v="7"/>
    <b v="0"/>
    <n v="2"/>
    <n v="2"/>
    <n v="0.16"/>
    <n v="0.2273"/>
    <n v="0.55000000000000004"/>
    <n v="0"/>
    <n v="2"/>
    <n v="97"/>
    <n v="99"/>
    <x v="1"/>
    <x v="1"/>
    <s v="Non-Holiday"/>
    <s v="Medium"/>
    <x v="1"/>
  </r>
  <r>
    <n v="240"/>
    <x v="10"/>
    <n v="1"/>
    <n v="0"/>
    <x v="0"/>
    <x v="8"/>
    <b v="0"/>
    <n v="2"/>
    <n v="2"/>
    <n v="0.18"/>
    <n v="0.21210000000000001"/>
    <n v="0.51"/>
    <n v="8.9599999999999999E-2"/>
    <n v="3"/>
    <n v="214"/>
    <n v="217"/>
    <x v="1"/>
    <x v="1"/>
    <s v="Non-Holiday"/>
    <s v="High"/>
    <x v="1"/>
  </r>
  <r>
    <n v="241"/>
    <x v="10"/>
    <n v="1"/>
    <n v="0"/>
    <x v="0"/>
    <x v="9"/>
    <b v="0"/>
    <n v="2"/>
    <n v="2"/>
    <n v="0.18"/>
    <n v="0.19700000000000001"/>
    <n v="0.51"/>
    <n v="0.16420000000000001"/>
    <n v="3"/>
    <n v="127"/>
    <n v="130"/>
    <x v="1"/>
    <x v="1"/>
    <s v="Non-Holiday"/>
    <s v="Medium"/>
    <x v="1"/>
  </r>
  <r>
    <n v="242"/>
    <x v="10"/>
    <n v="1"/>
    <n v="0"/>
    <x v="0"/>
    <x v="10"/>
    <b v="0"/>
    <n v="2"/>
    <n v="2"/>
    <n v="0.2"/>
    <n v="0.21210000000000001"/>
    <n v="0.51"/>
    <n v="0.16420000000000001"/>
    <n v="3"/>
    <n v="51"/>
    <n v="54"/>
    <x v="1"/>
    <x v="2"/>
    <s v="Non-Holiday"/>
    <s v="Low"/>
    <x v="1"/>
  </r>
  <r>
    <n v="243"/>
    <x v="10"/>
    <n v="1"/>
    <n v="0"/>
    <x v="0"/>
    <x v="11"/>
    <b v="0"/>
    <n v="2"/>
    <n v="2"/>
    <n v="0.2"/>
    <n v="0.21210000000000001"/>
    <n v="0.47"/>
    <n v="0.1343"/>
    <n v="4"/>
    <n v="31"/>
    <n v="35"/>
    <x v="1"/>
    <x v="2"/>
    <s v="Non-Holiday"/>
    <s v="Low"/>
    <x v="1"/>
  </r>
  <r>
    <n v="244"/>
    <x v="10"/>
    <n v="1"/>
    <n v="0"/>
    <x v="0"/>
    <x v="12"/>
    <b v="0"/>
    <n v="2"/>
    <n v="2"/>
    <n v="0.2"/>
    <n v="0.2273"/>
    <n v="0.51"/>
    <n v="0.1045"/>
    <n v="2"/>
    <n v="55"/>
    <n v="57"/>
    <x v="1"/>
    <x v="2"/>
    <s v="Non-Holiday"/>
    <s v="Low"/>
    <x v="1"/>
  </r>
  <r>
    <n v="245"/>
    <x v="10"/>
    <n v="1"/>
    <n v="0"/>
    <x v="0"/>
    <x v="13"/>
    <b v="0"/>
    <n v="2"/>
    <n v="2"/>
    <n v="0.2"/>
    <n v="0.2273"/>
    <n v="0.59"/>
    <n v="8.9599999999999999E-2"/>
    <n v="6"/>
    <n v="46"/>
    <n v="52"/>
    <x v="1"/>
    <x v="2"/>
    <s v="Non-Holiday"/>
    <s v="Low"/>
    <x v="1"/>
  </r>
  <r>
    <n v="246"/>
    <x v="10"/>
    <n v="1"/>
    <n v="0"/>
    <x v="0"/>
    <x v="14"/>
    <b v="0"/>
    <n v="2"/>
    <n v="2"/>
    <n v="0.2"/>
    <n v="0.2273"/>
    <n v="0.59"/>
    <n v="8.9599999999999999E-2"/>
    <n v="3"/>
    <n v="60"/>
    <n v="63"/>
    <x v="1"/>
    <x v="2"/>
    <s v="Non-Holiday"/>
    <s v="Low"/>
    <x v="1"/>
  </r>
  <r>
    <n v="247"/>
    <x v="10"/>
    <n v="1"/>
    <n v="0"/>
    <x v="0"/>
    <x v="15"/>
    <b v="0"/>
    <n v="2"/>
    <n v="2"/>
    <n v="0.16"/>
    <n v="0.19700000000000001"/>
    <n v="0.8"/>
    <n v="8.9599999999999999E-2"/>
    <n v="2"/>
    <n v="45"/>
    <n v="47"/>
    <x v="1"/>
    <x v="2"/>
    <s v="Non-Holiday"/>
    <s v="Low"/>
    <x v="1"/>
  </r>
  <r>
    <n v="248"/>
    <x v="10"/>
    <n v="1"/>
    <n v="0"/>
    <x v="0"/>
    <x v="16"/>
    <b v="0"/>
    <n v="2"/>
    <n v="2"/>
    <n v="0.16"/>
    <n v="0.1515"/>
    <n v="0.86"/>
    <n v="0.22389999999999999"/>
    <n v="4"/>
    <n v="72"/>
    <n v="76"/>
    <x v="1"/>
    <x v="2"/>
    <s v="Non-Holiday"/>
    <s v="Low"/>
    <x v="1"/>
  </r>
  <r>
    <n v="249"/>
    <x v="10"/>
    <n v="1"/>
    <n v="0"/>
    <x v="0"/>
    <x v="17"/>
    <b v="0"/>
    <n v="2"/>
    <n v="2"/>
    <n v="0.16"/>
    <n v="0.1515"/>
    <n v="0.86"/>
    <n v="0.22389999999999999"/>
    <n v="6"/>
    <n v="130"/>
    <n v="136"/>
    <x v="1"/>
    <x v="3"/>
    <s v="Non-Holiday"/>
    <s v="Medium"/>
    <x v="1"/>
  </r>
  <r>
    <n v="250"/>
    <x v="10"/>
    <n v="1"/>
    <n v="0"/>
    <x v="0"/>
    <x v="18"/>
    <b v="0"/>
    <n v="2"/>
    <n v="3"/>
    <n v="0.16"/>
    <n v="0.18179999999999999"/>
    <n v="0.93"/>
    <n v="0.1045"/>
    <n v="1"/>
    <n v="94"/>
    <n v="95"/>
    <x v="1"/>
    <x v="3"/>
    <s v="Non-Holiday"/>
    <s v="Medium"/>
    <x v="2"/>
  </r>
  <r>
    <n v="251"/>
    <x v="10"/>
    <n v="1"/>
    <n v="0"/>
    <x v="0"/>
    <x v="19"/>
    <b v="0"/>
    <n v="2"/>
    <n v="3"/>
    <n v="0.16"/>
    <n v="0.2273"/>
    <n v="0.93"/>
    <n v="0"/>
    <n v="0"/>
    <n v="51"/>
    <n v="51"/>
    <x v="1"/>
    <x v="3"/>
    <s v="Non-Holiday"/>
    <s v="Low"/>
    <x v="2"/>
  </r>
  <r>
    <n v="252"/>
    <x v="10"/>
    <n v="1"/>
    <n v="0"/>
    <x v="0"/>
    <x v="20"/>
    <b v="0"/>
    <n v="2"/>
    <n v="3"/>
    <n v="0.16"/>
    <n v="0.1515"/>
    <n v="0.93"/>
    <n v="0.19400000000000001"/>
    <n v="0"/>
    <n v="32"/>
    <n v="32"/>
    <x v="1"/>
    <x v="3"/>
    <s v="Non-Holiday"/>
    <s v="Low"/>
    <x v="2"/>
  </r>
  <r>
    <n v="253"/>
    <x v="10"/>
    <n v="1"/>
    <n v="0"/>
    <x v="0"/>
    <x v="21"/>
    <b v="0"/>
    <n v="2"/>
    <n v="3"/>
    <n v="0.16"/>
    <n v="0.19700000000000001"/>
    <n v="0.86"/>
    <n v="8.9599999999999999E-2"/>
    <n v="0"/>
    <n v="20"/>
    <n v="20"/>
    <x v="1"/>
    <x v="4"/>
    <s v="Non-Holiday"/>
    <s v="Low"/>
    <x v="2"/>
  </r>
  <r>
    <n v="254"/>
    <x v="10"/>
    <n v="1"/>
    <n v="0"/>
    <x v="0"/>
    <x v="22"/>
    <b v="0"/>
    <n v="2"/>
    <n v="3"/>
    <n v="0.16"/>
    <n v="0.18179999999999999"/>
    <n v="0.93"/>
    <n v="0.1045"/>
    <n v="1"/>
    <n v="28"/>
    <n v="29"/>
    <x v="1"/>
    <x v="4"/>
    <s v="Non-Holiday"/>
    <s v="Low"/>
    <x v="2"/>
  </r>
  <r>
    <n v="255"/>
    <x v="10"/>
    <n v="1"/>
    <n v="0"/>
    <x v="0"/>
    <x v="23"/>
    <b v="0"/>
    <n v="2"/>
    <n v="3"/>
    <n v="0.16"/>
    <n v="0.19700000000000001"/>
    <n v="0.93"/>
    <n v="8.9599999999999999E-2"/>
    <n v="1"/>
    <n v="18"/>
    <n v="19"/>
    <x v="1"/>
    <x v="4"/>
    <s v="Non-Holiday"/>
    <s v="Low"/>
    <x v="2"/>
  </r>
  <r>
    <n v="256"/>
    <x v="11"/>
    <n v="1"/>
    <n v="0"/>
    <x v="0"/>
    <x v="0"/>
    <b v="0"/>
    <n v="3"/>
    <n v="2"/>
    <n v="0.16"/>
    <n v="0.19700000000000001"/>
    <n v="0.86"/>
    <n v="8.9599999999999999E-2"/>
    <n v="0"/>
    <n v="7"/>
    <n v="7"/>
    <x v="1"/>
    <x v="0"/>
    <s v="Non-Holiday"/>
    <s v="Low"/>
    <x v="1"/>
  </r>
  <r>
    <n v="257"/>
    <x v="11"/>
    <n v="1"/>
    <n v="0"/>
    <x v="0"/>
    <x v="1"/>
    <b v="0"/>
    <n v="3"/>
    <n v="2"/>
    <n v="0.16"/>
    <n v="0.18179999999999999"/>
    <n v="0.86"/>
    <n v="0.1045"/>
    <n v="0"/>
    <n v="6"/>
    <n v="6"/>
    <x v="1"/>
    <x v="0"/>
    <s v="Non-Holiday"/>
    <s v="Low"/>
    <x v="1"/>
  </r>
  <r>
    <n v="258"/>
    <x v="11"/>
    <n v="1"/>
    <n v="0"/>
    <x v="0"/>
    <x v="2"/>
    <b v="0"/>
    <n v="3"/>
    <n v="1"/>
    <n v="0.14000000000000001"/>
    <n v="0.1515"/>
    <n v="0.86"/>
    <n v="0.1343"/>
    <n v="0"/>
    <n v="1"/>
    <n v="1"/>
    <x v="1"/>
    <x v="0"/>
    <s v="Non-Holiday"/>
    <s v="Low"/>
    <x v="0"/>
  </r>
  <r>
    <n v="259"/>
    <x v="11"/>
    <n v="1"/>
    <n v="0"/>
    <x v="0"/>
    <x v="5"/>
    <b v="0"/>
    <n v="3"/>
    <n v="1"/>
    <n v="0.14000000000000001"/>
    <n v="0.1515"/>
    <n v="0.86"/>
    <n v="0.16420000000000001"/>
    <n v="0"/>
    <n v="5"/>
    <n v="5"/>
    <x v="1"/>
    <x v="0"/>
    <s v="Non-Holiday"/>
    <s v="Low"/>
    <x v="0"/>
  </r>
  <r>
    <n v="260"/>
    <x v="11"/>
    <n v="1"/>
    <n v="0"/>
    <x v="0"/>
    <x v="6"/>
    <b v="0"/>
    <n v="3"/>
    <n v="1"/>
    <n v="0.12"/>
    <n v="0.1515"/>
    <n v="0.93"/>
    <n v="0.1343"/>
    <n v="0"/>
    <n v="16"/>
    <n v="16"/>
    <x v="1"/>
    <x v="1"/>
    <s v="Non-Holiday"/>
    <s v="Low"/>
    <x v="0"/>
  </r>
  <r>
    <n v="261"/>
    <x v="11"/>
    <n v="1"/>
    <n v="0"/>
    <x v="0"/>
    <x v="7"/>
    <b v="0"/>
    <n v="3"/>
    <n v="1"/>
    <n v="0.14000000000000001"/>
    <n v="0.1515"/>
    <n v="0.69"/>
    <n v="0.1343"/>
    <n v="0"/>
    <n v="54"/>
    <n v="54"/>
    <x v="1"/>
    <x v="1"/>
    <s v="Non-Holiday"/>
    <s v="Low"/>
    <x v="0"/>
  </r>
  <r>
    <n v="262"/>
    <x v="11"/>
    <n v="1"/>
    <n v="0"/>
    <x v="0"/>
    <x v="8"/>
    <b v="0"/>
    <n v="3"/>
    <n v="1"/>
    <n v="0.16"/>
    <n v="0.16669999999999999"/>
    <n v="0.59"/>
    <n v="0.16420000000000001"/>
    <n v="3"/>
    <n v="125"/>
    <n v="128"/>
    <x v="1"/>
    <x v="1"/>
    <s v="Non-Holiday"/>
    <s v="Medium"/>
    <x v="0"/>
  </r>
  <r>
    <n v="263"/>
    <x v="11"/>
    <n v="1"/>
    <n v="0"/>
    <x v="0"/>
    <x v="9"/>
    <b v="0"/>
    <n v="3"/>
    <n v="1"/>
    <n v="0.16"/>
    <n v="0.13639999999999999"/>
    <n v="0.59"/>
    <n v="0.32840000000000003"/>
    <n v="3"/>
    <n v="78"/>
    <n v="81"/>
    <x v="1"/>
    <x v="1"/>
    <s v="Non-Holiday"/>
    <s v="Medium"/>
    <x v="0"/>
  </r>
  <r>
    <n v="264"/>
    <x v="11"/>
    <n v="1"/>
    <n v="0"/>
    <x v="0"/>
    <x v="10"/>
    <b v="0"/>
    <n v="3"/>
    <n v="1"/>
    <n v="0.18"/>
    <n v="0.18179999999999999"/>
    <n v="0.55000000000000004"/>
    <n v="0.22389999999999999"/>
    <n v="0"/>
    <n v="39"/>
    <n v="39"/>
    <x v="1"/>
    <x v="2"/>
    <s v="Non-Holiday"/>
    <s v="Low"/>
    <x v="0"/>
  </r>
  <r>
    <n v="265"/>
    <x v="11"/>
    <n v="1"/>
    <n v="0"/>
    <x v="0"/>
    <x v="11"/>
    <b v="0"/>
    <n v="3"/>
    <n v="1"/>
    <n v="0.2"/>
    <n v="0.18179999999999999"/>
    <n v="0.51"/>
    <n v="0.3881"/>
    <n v="3"/>
    <n v="32"/>
    <n v="35"/>
    <x v="1"/>
    <x v="2"/>
    <s v="Non-Holiday"/>
    <s v="Low"/>
    <x v="0"/>
  </r>
  <r>
    <n v="266"/>
    <x v="11"/>
    <n v="1"/>
    <n v="0"/>
    <x v="0"/>
    <x v="12"/>
    <b v="0"/>
    <n v="3"/>
    <n v="1"/>
    <n v="0.2"/>
    <n v="0.1515"/>
    <n v="0.47"/>
    <n v="0.58209999999999995"/>
    <n v="3"/>
    <n v="52"/>
    <n v="55"/>
    <x v="1"/>
    <x v="2"/>
    <s v="Non-Holiday"/>
    <s v="Low"/>
    <x v="0"/>
  </r>
  <r>
    <n v="267"/>
    <x v="11"/>
    <n v="1"/>
    <n v="0"/>
    <x v="0"/>
    <x v="13"/>
    <b v="0"/>
    <n v="3"/>
    <n v="1"/>
    <n v="0.22"/>
    <n v="0.19700000000000001"/>
    <n v="0.44"/>
    <n v="0.35820000000000002"/>
    <n v="0"/>
    <n v="49"/>
    <n v="49"/>
    <x v="1"/>
    <x v="2"/>
    <s v="Non-Holiday"/>
    <s v="Low"/>
    <x v="0"/>
  </r>
  <r>
    <n v="268"/>
    <x v="11"/>
    <n v="1"/>
    <n v="0"/>
    <x v="0"/>
    <x v="14"/>
    <b v="0"/>
    <n v="3"/>
    <n v="1"/>
    <n v="0.2"/>
    <n v="0.18179999999999999"/>
    <n v="0.47"/>
    <n v="0.32840000000000003"/>
    <n v="0"/>
    <n v="44"/>
    <n v="44"/>
    <x v="1"/>
    <x v="2"/>
    <s v="Non-Holiday"/>
    <s v="Low"/>
    <x v="0"/>
  </r>
  <r>
    <n v="269"/>
    <x v="11"/>
    <n v="1"/>
    <n v="0"/>
    <x v="0"/>
    <x v="15"/>
    <b v="0"/>
    <n v="3"/>
    <n v="1"/>
    <n v="0.2"/>
    <n v="0.16669999999999999"/>
    <n v="0.47"/>
    <n v="0.41789999999999999"/>
    <n v="1"/>
    <n v="48"/>
    <n v="49"/>
    <x v="1"/>
    <x v="2"/>
    <s v="Non-Holiday"/>
    <s v="Low"/>
    <x v="0"/>
  </r>
  <r>
    <n v="270"/>
    <x v="11"/>
    <n v="1"/>
    <n v="0"/>
    <x v="0"/>
    <x v="16"/>
    <b v="0"/>
    <n v="3"/>
    <n v="1"/>
    <n v="0.22"/>
    <n v="0.19700000000000001"/>
    <n v="0.44"/>
    <n v="0.32840000000000003"/>
    <n v="5"/>
    <n v="63"/>
    <n v="68"/>
    <x v="1"/>
    <x v="2"/>
    <s v="Non-Holiday"/>
    <s v="Low"/>
    <x v="0"/>
  </r>
  <r>
    <n v="271"/>
    <x v="11"/>
    <n v="1"/>
    <n v="0"/>
    <x v="0"/>
    <x v="17"/>
    <b v="0"/>
    <n v="3"/>
    <n v="1"/>
    <n v="0.2"/>
    <n v="0.18179999999999999"/>
    <n v="0.47"/>
    <n v="0.35820000000000002"/>
    <n v="0"/>
    <n v="139"/>
    <n v="139"/>
    <x v="1"/>
    <x v="3"/>
    <s v="Non-Holiday"/>
    <s v="Medium"/>
    <x v="0"/>
  </r>
  <r>
    <n v="272"/>
    <x v="11"/>
    <n v="1"/>
    <n v="0"/>
    <x v="0"/>
    <x v="18"/>
    <b v="0"/>
    <n v="3"/>
    <n v="1"/>
    <n v="0.2"/>
    <n v="0.1515"/>
    <n v="0.47"/>
    <n v="0.52239999999999998"/>
    <n v="2"/>
    <n v="135"/>
    <n v="137"/>
    <x v="1"/>
    <x v="3"/>
    <s v="Non-Holiday"/>
    <s v="Medium"/>
    <x v="0"/>
  </r>
  <r>
    <n v="273"/>
    <x v="11"/>
    <n v="1"/>
    <n v="0"/>
    <x v="0"/>
    <x v="19"/>
    <b v="0"/>
    <n v="3"/>
    <n v="1"/>
    <n v="0.18"/>
    <n v="0.1515"/>
    <n v="0.47"/>
    <n v="0.41789999999999999"/>
    <n v="1"/>
    <n v="82"/>
    <n v="83"/>
    <x v="1"/>
    <x v="3"/>
    <s v="Non-Holiday"/>
    <s v="Medium"/>
    <x v="0"/>
  </r>
  <r>
    <n v="274"/>
    <x v="11"/>
    <n v="1"/>
    <n v="0"/>
    <x v="0"/>
    <x v="20"/>
    <b v="0"/>
    <n v="3"/>
    <n v="1"/>
    <n v="0.16"/>
    <n v="0.13639999999999999"/>
    <n v="0.5"/>
    <n v="0.32840000000000003"/>
    <n v="2"/>
    <n v="54"/>
    <n v="56"/>
    <x v="1"/>
    <x v="3"/>
    <s v="Non-Holiday"/>
    <s v="Low"/>
    <x v="0"/>
  </r>
  <r>
    <n v="275"/>
    <x v="11"/>
    <n v="1"/>
    <n v="0"/>
    <x v="0"/>
    <x v="21"/>
    <b v="0"/>
    <n v="3"/>
    <n v="1"/>
    <n v="0.16"/>
    <n v="0.13639999999999999"/>
    <n v="0.55000000000000004"/>
    <n v="0.32840000000000003"/>
    <n v="0"/>
    <n v="57"/>
    <n v="57"/>
    <x v="1"/>
    <x v="4"/>
    <s v="Non-Holiday"/>
    <s v="Low"/>
    <x v="0"/>
  </r>
  <r>
    <n v="276"/>
    <x v="11"/>
    <n v="1"/>
    <n v="0"/>
    <x v="0"/>
    <x v="22"/>
    <b v="0"/>
    <n v="3"/>
    <n v="1"/>
    <n v="0.16"/>
    <n v="0.1212"/>
    <n v="0.55000000000000004"/>
    <n v="0.44779999999999998"/>
    <n v="1"/>
    <n v="32"/>
    <n v="33"/>
    <x v="1"/>
    <x v="4"/>
    <s v="Non-Holiday"/>
    <s v="Low"/>
    <x v="0"/>
  </r>
  <r>
    <n v="277"/>
    <x v="11"/>
    <n v="1"/>
    <n v="0"/>
    <x v="0"/>
    <x v="23"/>
    <b v="0"/>
    <n v="3"/>
    <n v="1"/>
    <n v="0.14000000000000001"/>
    <n v="0.1061"/>
    <n v="0.59"/>
    <n v="0.41789999999999999"/>
    <n v="1"/>
    <n v="19"/>
    <n v="20"/>
    <x v="1"/>
    <x v="4"/>
    <s v="Non-Holiday"/>
    <s v="Low"/>
    <x v="0"/>
  </r>
  <r>
    <n v="278"/>
    <x v="12"/>
    <n v="1"/>
    <n v="0"/>
    <x v="0"/>
    <x v="0"/>
    <b v="0"/>
    <n v="4"/>
    <n v="1"/>
    <n v="0.14000000000000001"/>
    <n v="0.1212"/>
    <n v="0.59"/>
    <n v="0.28360000000000002"/>
    <n v="1"/>
    <n v="6"/>
    <n v="7"/>
    <x v="1"/>
    <x v="0"/>
    <s v="Non-Holiday"/>
    <s v="Low"/>
    <x v="0"/>
  </r>
  <r>
    <n v="279"/>
    <x v="12"/>
    <n v="1"/>
    <n v="0"/>
    <x v="0"/>
    <x v="1"/>
    <b v="0"/>
    <n v="4"/>
    <n v="1"/>
    <n v="0.14000000000000001"/>
    <n v="0.1212"/>
    <n v="0.5"/>
    <n v="0.28360000000000002"/>
    <n v="0"/>
    <n v="2"/>
    <n v="2"/>
    <x v="1"/>
    <x v="0"/>
    <s v="Non-Holiday"/>
    <s v="Low"/>
    <x v="0"/>
  </r>
  <r>
    <n v="280"/>
    <x v="12"/>
    <n v="1"/>
    <n v="0"/>
    <x v="0"/>
    <x v="2"/>
    <b v="0"/>
    <n v="4"/>
    <n v="1"/>
    <n v="0.14000000000000001"/>
    <n v="0.1212"/>
    <n v="0.5"/>
    <n v="0.35820000000000002"/>
    <n v="0"/>
    <n v="2"/>
    <n v="2"/>
    <x v="1"/>
    <x v="0"/>
    <s v="Non-Holiday"/>
    <s v="Low"/>
    <x v="0"/>
  </r>
  <r>
    <n v="281"/>
    <x v="12"/>
    <n v="1"/>
    <n v="0"/>
    <x v="0"/>
    <x v="3"/>
    <b v="0"/>
    <n v="4"/>
    <n v="1"/>
    <n v="0.14000000000000001"/>
    <n v="0.1212"/>
    <n v="0.5"/>
    <n v="0.32840000000000003"/>
    <n v="0"/>
    <n v="3"/>
    <n v="3"/>
    <x v="1"/>
    <x v="0"/>
    <s v="Non-Holiday"/>
    <s v="Low"/>
    <x v="0"/>
  </r>
  <r>
    <n v="282"/>
    <x v="12"/>
    <n v="1"/>
    <n v="0"/>
    <x v="0"/>
    <x v="4"/>
    <b v="0"/>
    <n v="4"/>
    <n v="1"/>
    <n v="0.14000000000000001"/>
    <n v="0.1212"/>
    <n v="0.5"/>
    <n v="0.25369999999999998"/>
    <n v="0"/>
    <n v="4"/>
    <n v="4"/>
    <x v="1"/>
    <x v="0"/>
    <s v="Non-Holiday"/>
    <s v="Low"/>
    <x v="0"/>
  </r>
  <r>
    <n v="283"/>
    <x v="12"/>
    <n v="1"/>
    <n v="0"/>
    <x v="0"/>
    <x v="5"/>
    <b v="0"/>
    <n v="4"/>
    <n v="1"/>
    <n v="0.14000000000000001"/>
    <n v="0.1212"/>
    <n v="0.5"/>
    <n v="0.29849999999999999"/>
    <n v="0"/>
    <n v="3"/>
    <n v="3"/>
    <x v="1"/>
    <x v="0"/>
    <s v="Non-Holiday"/>
    <s v="Low"/>
    <x v="0"/>
  </r>
  <r>
    <n v="284"/>
    <x v="12"/>
    <n v="1"/>
    <n v="0"/>
    <x v="0"/>
    <x v="6"/>
    <b v="0"/>
    <n v="4"/>
    <n v="1"/>
    <n v="0.12"/>
    <n v="0.1515"/>
    <n v="0.54"/>
    <n v="0.1343"/>
    <n v="0"/>
    <n v="28"/>
    <n v="28"/>
    <x v="1"/>
    <x v="1"/>
    <s v="Non-Holiday"/>
    <s v="Low"/>
    <x v="0"/>
  </r>
  <r>
    <n v="285"/>
    <x v="12"/>
    <n v="1"/>
    <n v="0"/>
    <x v="0"/>
    <x v="7"/>
    <b v="0"/>
    <n v="4"/>
    <n v="1"/>
    <n v="0.12"/>
    <n v="0.1515"/>
    <n v="0.54"/>
    <n v="0.1343"/>
    <n v="0"/>
    <n v="72"/>
    <n v="72"/>
    <x v="1"/>
    <x v="1"/>
    <s v="Non-Holiday"/>
    <s v="Low"/>
    <x v="0"/>
  </r>
  <r>
    <n v="286"/>
    <x v="12"/>
    <n v="1"/>
    <n v="0"/>
    <x v="0"/>
    <x v="8"/>
    <b v="0"/>
    <n v="4"/>
    <n v="1"/>
    <n v="0.14000000000000001"/>
    <n v="0.13639999999999999"/>
    <n v="0.5"/>
    <n v="0.19400000000000001"/>
    <n v="5"/>
    <n v="197"/>
    <n v="202"/>
    <x v="1"/>
    <x v="1"/>
    <s v="Non-Holiday"/>
    <s v="High"/>
    <x v="0"/>
  </r>
  <r>
    <n v="287"/>
    <x v="12"/>
    <n v="1"/>
    <n v="0"/>
    <x v="0"/>
    <x v="9"/>
    <b v="0"/>
    <n v="4"/>
    <n v="1"/>
    <n v="0.14000000000000001"/>
    <n v="0.1212"/>
    <n v="0.5"/>
    <n v="0.32840000000000003"/>
    <n v="2"/>
    <n v="137"/>
    <n v="139"/>
    <x v="1"/>
    <x v="1"/>
    <s v="Non-Holiday"/>
    <s v="Medium"/>
    <x v="0"/>
  </r>
  <r>
    <n v="288"/>
    <x v="12"/>
    <n v="1"/>
    <n v="0"/>
    <x v="0"/>
    <x v="10"/>
    <b v="0"/>
    <n v="4"/>
    <n v="2"/>
    <n v="0.16"/>
    <n v="0.13639999999999999"/>
    <n v="0.5"/>
    <n v="0.35820000000000002"/>
    <n v="2"/>
    <n v="36"/>
    <n v="38"/>
    <x v="1"/>
    <x v="2"/>
    <s v="Non-Holiday"/>
    <s v="Low"/>
    <x v="1"/>
  </r>
  <r>
    <n v="289"/>
    <x v="12"/>
    <n v="1"/>
    <n v="0"/>
    <x v="0"/>
    <x v="11"/>
    <b v="0"/>
    <n v="4"/>
    <n v="2"/>
    <n v="0.2"/>
    <n v="0.16669999999999999"/>
    <n v="0.44"/>
    <n v="0.44779999999999998"/>
    <n v="4"/>
    <n v="33"/>
    <n v="37"/>
    <x v="1"/>
    <x v="2"/>
    <s v="Non-Holiday"/>
    <s v="Low"/>
    <x v="1"/>
  </r>
  <r>
    <n v="290"/>
    <x v="12"/>
    <n v="1"/>
    <n v="0"/>
    <x v="0"/>
    <x v="12"/>
    <b v="0"/>
    <n v="4"/>
    <n v="1"/>
    <n v="0.2"/>
    <n v="0.16669999999999999"/>
    <n v="0.44"/>
    <n v="0.41789999999999999"/>
    <n v="3"/>
    <n v="49"/>
    <n v="52"/>
    <x v="1"/>
    <x v="2"/>
    <s v="Non-Holiday"/>
    <s v="Low"/>
    <x v="0"/>
  </r>
  <r>
    <n v="291"/>
    <x v="12"/>
    <n v="1"/>
    <n v="0"/>
    <x v="0"/>
    <x v="13"/>
    <b v="0"/>
    <n v="4"/>
    <n v="1"/>
    <n v="0.22"/>
    <n v="0.19700000000000001"/>
    <n v="0.41"/>
    <n v="0.44779999999999998"/>
    <n v="2"/>
    <n v="81"/>
    <n v="83"/>
    <x v="1"/>
    <x v="2"/>
    <s v="Non-Holiday"/>
    <s v="Medium"/>
    <x v="0"/>
  </r>
  <r>
    <n v="292"/>
    <x v="12"/>
    <n v="1"/>
    <n v="0"/>
    <x v="0"/>
    <x v="14"/>
    <b v="0"/>
    <n v="4"/>
    <n v="1"/>
    <n v="0.22"/>
    <n v="0.19700000000000001"/>
    <n v="0.41"/>
    <n v="0.3881"/>
    <n v="3"/>
    <n v="39"/>
    <n v="42"/>
    <x v="1"/>
    <x v="2"/>
    <s v="Non-Holiday"/>
    <s v="Low"/>
    <x v="0"/>
  </r>
  <r>
    <n v="293"/>
    <x v="12"/>
    <n v="1"/>
    <n v="0"/>
    <x v="0"/>
    <x v="15"/>
    <b v="0"/>
    <n v="4"/>
    <n v="1"/>
    <n v="0.24"/>
    <n v="0.21210000000000001"/>
    <n v="0.38"/>
    <n v="0.29849999999999999"/>
    <n v="5"/>
    <n v="55"/>
    <n v="60"/>
    <x v="1"/>
    <x v="2"/>
    <s v="Non-Holiday"/>
    <s v="Low"/>
    <x v="0"/>
  </r>
  <r>
    <n v="294"/>
    <x v="12"/>
    <n v="1"/>
    <n v="0"/>
    <x v="0"/>
    <x v="16"/>
    <b v="0"/>
    <n v="4"/>
    <n v="1"/>
    <n v="0.24"/>
    <n v="0.21210000000000001"/>
    <n v="0.38"/>
    <n v="0.35820000000000002"/>
    <n v="2"/>
    <n v="76"/>
    <n v="78"/>
    <x v="1"/>
    <x v="2"/>
    <s v="Non-Holiday"/>
    <s v="Low"/>
    <x v="0"/>
  </r>
  <r>
    <n v="295"/>
    <x v="12"/>
    <n v="1"/>
    <n v="0"/>
    <x v="0"/>
    <x v="17"/>
    <b v="0"/>
    <n v="4"/>
    <n v="1"/>
    <n v="0.2"/>
    <n v="0.18179999999999999"/>
    <n v="0.4"/>
    <n v="0.28360000000000002"/>
    <n v="4"/>
    <n v="158"/>
    <n v="162"/>
    <x v="1"/>
    <x v="3"/>
    <s v="Non-Holiday"/>
    <s v="High"/>
    <x v="0"/>
  </r>
  <r>
    <n v="296"/>
    <x v="12"/>
    <n v="1"/>
    <n v="0"/>
    <x v="0"/>
    <x v="18"/>
    <b v="0"/>
    <n v="4"/>
    <n v="1"/>
    <n v="0.2"/>
    <n v="0.18179999999999999"/>
    <n v="0.4"/>
    <n v="0.32840000000000003"/>
    <n v="3"/>
    <n v="141"/>
    <n v="144"/>
    <x v="1"/>
    <x v="3"/>
    <s v="Non-Holiday"/>
    <s v="Medium"/>
    <x v="0"/>
  </r>
  <r>
    <n v="297"/>
    <x v="12"/>
    <n v="1"/>
    <n v="0"/>
    <x v="0"/>
    <x v="19"/>
    <b v="0"/>
    <n v="4"/>
    <n v="1"/>
    <n v="0.16"/>
    <n v="0.1515"/>
    <n v="0.47"/>
    <n v="0.25369999999999998"/>
    <n v="1"/>
    <n v="98"/>
    <n v="99"/>
    <x v="1"/>
    <x v="3"/>
    <s v="Non-Holiday"/>
    <s v="Medium"/>
    <x v="0"/>
  </r>
  <r>
    <n v="298"/>
    <x v="12"/>
    <n v="1"/>
    <n v="0"/>
    <x v="0"/>
    <x v="20"/>
    <b v="0"/>
    <n v="4"/>
    <n v="1"/>
    <n v="0.16"/>
    <n v="0.1515"/>
    <n v="0.47"/>
    <n v="0.22389999999999999"/>
    <n v="0"/>
    <n v="64"/>
    <n v="64"/>
    <x v="1"/>
    <x v="3"/>
    <s v="Non-Holiday"/>
    <s v="Low"/>
    <x v="0"/>
  </r>
  <r>
    <n v="299"/>
    <x v="12"/>
    <n v="1"/>
    <n v="0"/>
    <x v="0"/>
    <x v="21"/>
    <b v="0"/>
    <n v="4"/>
    <n v="1"/>
    <n v="0.14000000000000001"/>
    <n v="0.1212"/>
    <n v="0.46"/>
    <n v="0.29849999999999999"/>
    <n v="0"/>
    <n v="40"/>
    <n v="40"/>
    <x v="1"/>
    <x v="4"/>
    <s v="Non-Holiday"/>
    <s v="Low"/>
    <x v="0"/>
  </r>
  <r>
    <n v="300"/>
    <x v="12"/>
    <n v="1"/>
    <n v="0"/>
    <x v="0"/>
    <x v="22"/>
    <b v="0"/>
    <n v="4"/>
    <n v="1"/>
    <n v="0.14000000000000001"/>
    <n v="0.1212"/>
    <n v="0.46"/>
    <n v="0.32840000000000003"/>
    <n v="0"/>
    <n v="30"/>
    <n v="30"/>
    <x v="1"/>
    <x v="4"/>
    <s v="Non-Holiday"/>
    <s v="Low"/>
    <x v="0"/>
  </r>
  <r>
    <n v="301"/>
    <x v="12"/>
    <n v="1"/>
    <n v="0"/>
    <x v="0"/>
    <x v="23"/>
    <b v="0"/>
    <n v="4"/>
    <n v="1"/>
    <n v="0.12"/>
    <n v="0.13639999999999999"/>
    <n v="0.5"/>
    <n v="0.19400000000000001"/>
    <n v="1"/>
    <n v="14"/>
    <n v="15"/>
    <x v="1"/>
    <x v="4"/>
    <s v="Non-Holiday"/>
    <s v="Low"/>
    <x v="0"/>
  </r>
  <r>
    <n v="302"/>
    <x v="13"/>
    <n v="1"/>
    <n v="0"/>
    <x v="0"/>
    <x v="0"/>
    <b v="0"/>
    <n v="5"/>
    <n v="1"/>
    <n v="0.12"/>
    <n v="0.13639999999999999"/>
    <n v="0.5"/>
    <n v="0.19400000000000001"/>
    <n v="0"/>
    <n v="14"/>
    <n v="14"/>
    <x v="1"/>
    <x v="0"/>
    <s v="Non-Holiday"/>
    <s v="Low"/>
    <x v="0"/>
  </r>
  <r>
    <n v="303"/>
    <x v="13"/>
    <n v="1"/>
    <n v="0"/>
    <x v="0"/>
    <x v="1"/>
    <b v="0"/>
    <n v="5"/>
    <n v="1"/>
    <n v="0.1"/>
    <n v="0.1212"/>
    <n v="0.54"/>
    <n v="0.16420000000000001"/>
    <n v="0"/>
    <n v="5"/>
    <n v="5"/>
    <x v="1"/>
    <x v="0"/>
    <s v="Non-Holiday"/>
    <s v="Low"/>
    <x v="0"/>
  </r>
  <r>
    <n v="304"/>
    <x v="13"/>
    <n v="1"/>
    <n v="0"/>
    <x v="0"/>
    <x v="2"/>
    <b v="0"/>
    <n v="5"/>
    <n v="1"/>
    <n v="0.1"/>
    <n v="0.1212"/>
    <n v="0.54"/>
    <n v="0.1343"/>
    <n v="0"/>
    <n v="1"/>
    <n v="1"/>
    <x v="1"/>
    <x v="0"/>
    <s v="Non-Holiday"/>
    <s v="Low"/>
    <x v="0"/>
  </r>
  <r>
    <n v="305"/>
    <x v="13"/>
    <n v="1"/>
    <n v="0"/>
    <x v="0"/>
    <x v="3"/>
    <b v="0"/>
    <n v="5"/>
    <n v="1"/>
    <n v="0.1"/>
    <n v="0.13639999999999999"/>
    <n v="0.54"/>
    <n v="0.1045"/>
    <n v="0"/>
    <n v="1"/>
    <n v="1"/>
    <x v="1"/>
    <x v="0"/>
    <s v="Non-Holiday"/>
    <s v="Low"/>
    <x v="0"/>
  </r>
  <r>
    <n v="306"/>
    <x v="13"/>
    <n v="1"/>
    <n v="0"/>
    <x v="0"/>
    <x v="5"/>
    <b v="0"/>
    <n v="5"/>
    <n v="1"/>
    <n v="0.1"/>
    <n v="0.13639999999999999"/>
    <n v="0.54"/>
    <n v="8.9599999999999999E-2"/>
    <n v="0"/>
    <n v="8"/>
    <n v="8"/>
    <x v="1"/>
    <x v="0"/>
    <s v="Non-Holiday"/>
    <s v="Low"/>
    <x v="0"/>
  </r>
  <r>
    <n v="307"/>
    <x v="13"/>
    <n v="1"/>
    <n v="0"/>
    <x v="0"/>
    <x v="6"/>
    <b v="0"/>
    <n v="5"/>
    <n v="1"/>
    <n v="0.1"/>
    <n v="0.18179999999999999"/>
    <n v="0.54"/>
    <n v="0"/>
    <n v="0"/>
    <n v="17"/>
    <n v="17"/>
    <x v="1"/>
    <x v="1"/>
    <s v="Non-Holiday"/>
    <s v="Low"/>
    <x v="0"/>
  </r>
  <r>
    <n v="308"/>
    <x v="13"/>
    <n v="1"/>
    <n v="0"/>
    <x v="0"/>
    <x v="7"/>
    <b v="0"/>
    <n v="5"/>
    <n v="1"/>
    <n v="0.1"/>
    <n v="0.1212"/>
    <n v="0.74"/>
    <n v="0.16420000000000001"/>
    <n v="0"/>
    <n v="70"/>
    <n v="70"/>
    <x v="1"/>
    <x v="1"/>
    <s v="Non-Holiday"/>
    <s v="Low"/>
    <x v="0"/>
  </r>
  <r>
    <n v="309"/>
    <x v="13"/>
    <n v="1"/>
    <n v="0"/>
    <x v="0"/>
    <x v="8"/>
    <b v="0"/>
    <n v="5"/>
    <n v="1"/>
    <n v="0.12"/>
    <n v="0.16669999999999999"/>
    <n v="0.68"/>
    <n v="0"/>
    <n v="2"/>
    <n v="156"/>
    <n v="158"/>
    <x v="1"/>
    <x v="1"/>
    <s v="Non-Holiday"/>
    <s v="Medium"/>
    <x v="0"/>
  </r>
  <r>
    <n v="310"/>
    <x v="13"/>
    <n v="1"/>
    <n v="0"/>
    <x v="0"/>
    <x v="9"/>
    <b v="0"/>
    <n v="5"/>
    <n v="1"/>
    <n v="0.14000000000000001"/>
    <n v="0.1515"/>
    <n v="0.69"/>
    <n v="0.1343"/>
    <n v="0"/>
    <n v="117"/>
    <n v="117"/>
    <x v="1"/>
    <x v="1"/>
    <s v="Non-Holiday"/>
    <s v="Medium"/>
    <x v="0"/>
  </r>
  <r>
    <n v="311"/>
    <x v="13"/>
    <n v="1"/>
    <n v="0"/>
    <x v="0"/>
    <x v="10"/>
    <b v="0"/>
    <n v="5"/>
    <n v="1"/>
    <n v="0.18"/>
    <n v="0.18179999999999999"/>
    <n v="0.55000000000000004"/>
    <n v="0.19400000000000001"/>
    <n v="4"/>
    <n v="40"/>
    <n v="44"/>
    <x v="1"/>
    <x v="2"/>
    <s v="Non-Holiday"/>
    <s v="Low"/>
    <x v="0"/>
  </r>
  <r>
    <n v="312"/>
    <x v="13"/>
    <n v="1"/>
    <n v="0"/>
    <x v="0"/>
    <x v="11"/>
    <b v="0"/>
    <n v="5"/>
    <n v="1"/>
    <n v="0.18"/>
    <n v="0.16669999999999999"/>
    <n v="0.51"/>
    <n v="0.28360000000000002"/>
    <n v="6"/>
    <n v="47"/>
    <n v="53"/>
    <x v="1"/>
    <x v="2"/>
    <s v="Non-Holiday"/>
    <s v="Low"/>
    <x v="0"/>
  </r>
  <r>
    <n v="313"/>
    <x v="13"/>
    <n v="1"/>
    <n v="0"/>
    <x v="0"/>
    <x v="12"/>
    <b v="0"/>
    <n v="5"/>
    <n v="1"/>
    <n v="0.2"/>
    <n v="0.19700000000000001"/>
    <n v="0.44"/>
    <n v="0.25369999999999998"/>
    <n v="2"/>
    <n v="59"/>
    <n v="61"/>
    <x v="1"/>
    <x v="2"/>
    <s v="Non-Holiday"/>
    <s v="Low"/>
    <x v="0"/>
  </r>
  <r>
    <n v="314"/>
    <x v="13"/>
    <n v="1"/>
    <n v="0"/>
    <x v="0"/>
    <x v="13"/>
    <b v="0"/>
    <n v="5"/>
    <n v="1"/>
    <n v="0.22"/>
    <n v="0.19700000000000001"/>
    <n v="0.37"/>
    <n v="0.3881"/>
    <n v="4"/>
    <n v="73"/>
    <n v="77"/>
    <x v="1"/>
    <x v="2"/>
    <s v="Non-Holiday"/>
    <s v="Low"/>
    <x v="0"/>
  </r>
  <r>
    <n v="315"/>
    <x v="13"/>
    <n v="1"/>
    <n v="0"/>
    <x v="0"/>
    <x v="14"/>
    <b v="0"/>
    <n v="5"/>
    <n v="1"/>
    <n v="0.22"/>
    <n v="0.21210000000000001"/>
    <n v="0.41"/>
    <n v="0.28360000000000002"/>
    <n v="5"/>
    <n v="59"/>
    <n v="64"/>
    <x v="1"/>
    <x v="2"/>
    <s v="Non-Holiday"/>
    <s v="Low"/>
    <x v="0"/>
  </r>
  <r>
    <n v="316"/>
    <x v="13"/>
    <n v="1"/>
    <n v="0"/>
    <x v="0"/>
    <x v="15"/>
    <b v="0"/>
    <n v="5"/>
    <n v="1"/>
    <n v="0.24"/>
    <n v="0.2424"/>
    <n v="0.38"/>
    <n v="0.16420000000000001"/>
    <n v="9"/>
    <n v="59"/>
    <n v="68"/>
    <x v="1"/>
    <x v="2"/>
    <s v="Non-Holiday"/>
    <s v="Low"/>
    <x v="0"/>
  </r>
  <r>
    <n v="317"/>
    <x v="13"/>
    <n v="1"/>
    <n v="0"/>
    <x v="0"/>
    <x v="16"/>
    <b v="0"/>
    <n v="5"/>
    <n v="1"/>
    <n v="0.22"/>
    <n v="0.2424"/>
    <n v="0.41"/>
    <n v="0.1045"/>
    <n v="3"/>
    <n v="87"/>
    <n v="90"/>
    <x v="1"/>
    <x v="2"/>
    <s v="Non-Holiday"/>
    <s v="Medium"/>
    <x v="0"/>
  </r>
  <r>
    <n v="318"/>
    <x v="13"/>
    <n v="1"/>
    <n v="0"/>
    <x v="0"/>
    <x v="17"/>
    <b v="0"/>
    <n v="5"/>
    <n v="1"/>
    <n v="0.22"/>
    <n v="0.2273"/>
    <n v="0.41"/>
    <n v="0.16420000000000001"/>
    <n v="4"/>
    <n v="155"/>
    <n v="159"/>
    <x v="1"/>
    <x v="3"/>
    <s v="Non-Holiday"/>
    <s v="Medium"/>
    <x v="0"/>
  </r>
  <r>
    <n v="319"/>
    <x v="13"/>
    <n v="1"/>
    <n v="0"/>
    <x v="0"/>
    <x v="18"/>
    <b v="0"/>
    <n v="5"/>
    <n v="1"/>
    <n v="0.2"/>
    <n v="0.2576"/>
    <n v="0.47"/>
    <n v="0"/>
    <n v="5"/>
    <n v="134"/>
    <n v="139"/>
    <x v="1"/>
    <x v="3"/>
    <s v="Non-Holiday"/>
    <s v="Medium"/>
    <x v="0"/>
  </r>
  <r>
    <n v="320"/>
    <x v="13"/>
    <n v="1"/>
    <n v="0"/>
    <x v="0"/>
    <x v="19"/>
    <b v="0"/>
    <n v="5"/>
    <n v="1"/>
    <n v="0.16"/>
    <n v="0.19700000000000001"/>
    <n v="0.59"/>
    <n v="8.9599999999999999E-2"/>
    <n v="3"/>
    <n v="89"/>
    <n v="92"/>
    <x v="1"/>
    <x v="3"/>
    <s v="Non-Holiday"/>
    <s v="Medium"/>
    <x v="0"/>
  </r>
  <r>
    <n v="321"/>
    <x v="13"/>
    <n v="1"/>
    <n v="0"/>
    <x v="0"/>
    <x v="20"/>
    <b v="0"/>
    <n v="5"/>
    <n v="1"/>
    <n v="0.18"/>
    <n v="0.2424"/>
    <n v="0.59"/>
    <n v="0"/>
    <n v="0"/>
    <n v="68"/>
    <n v="68"/>
    <x v="1"/>
    <x v="3"/>
    <s v="Non-Holiday"/>
    <s v="Low"/>
    <x v="0"/>
  </r>
  <r>
    <n v="322"/>
    <x v="13"/>
    <n v="1"/>
    <n v="0"/>
    <x v="0"/>
    <x v="21"/>
    <b v="0"/>
    <n v="5"/>
    <n v="1"/>
    <n v="0.16"/>
    <n v="0.2273"/>
    <n v="0.69"/>
    <n v="0"/>
    <n v="4"/>
    <n v="48"/>
    <n v="52"/>
    <x v="1"/>
    <x v="4"/>
    <s v="Non-Holiday"/>
    <s v="Low"/>
    <x v="0"/>
  </r>
  <r>
    <n v="323"/>
    <x v="13"/>
    <n v="1"/>
    <n v="0"/>
    <x v="0"/>
    <x v="22"/>
    <b v="0"/>
    <n v="5"/>
    <n v="2"/>
    <n v="0.16"/>
    <n v="0.2273"/>
    <n v="0.69"/>
    <n v="0"/>
    <n v="2"/>
    <n v="34"/>
    <n v="36"/>
    <x v="1"/>
    <x v="4"/>
    <s v="Non-Holiday"/>
    <s v="Low"/>
    <x v="1"/>
  </r>
  <r>
    <n v="324"/>
    <x v="13"/>
    <n v="1"/>
    <n v="0"/>
    <x v="0"/>
    <x v="23"/>
    <b v="0"/>
    <n v="5"/>
    <n v="2"/>
    <n v="0.18"/>
    <n v="0.2424"/>
    <n v="0.55000000000000004"/>
    <n v="0"/>
    <n v="1"/>
    <n v="26"/>
    <n v="27"/>
    <x v="1"/>
    <x v="4"/>
    <s v="Non-Holiday"/>
    <s v="Low"/>
    <x v="1"/>
  </r>
  <r>
    <n v="325"/>
    <x v="14"/>
    <n v="1"/>
    <n v="0"/>
    <x v="0"/>
    <x v="0"/>
    <b v="0"/>
    <n v="6"/>
    <n v="1"/>
    <n v="0.18"/>
    <n v="0.2424"/>
    <n v="0.55000000000000004"/>
    <n v="0"/>
    <n v="3"/>
    <n v="25"/>
    <n v="28"/>
    <x v="0"/>
    <x v="0"/>
    <s v="Non-Holiday"/>
    <s v="Low"/>
    <x v="0"/>
  </r>
  <r>
    <n v="326"/>
    <x v="14"/>
    <n v="1"/>
    <n v="0"/>
    <x v="0"/>
    <x v="1"/>
    <b v="0"/>
    <n v="6"/>
    <n v="2"/>
    <n v="0.16"/>
    <n v="0.19700000000000001"/>
    <n v="0.59"/>
    <n v="8.9599999999999999E-2"/>
    <n v="2"/>
    <n v="18"/>
    <n v="20"/>
    <x v="0"/>
    <x v="0"/>
    <s v="Non-Holiday"/>
    <s v="Low"/>
    <x v="1"/>
  </r>
  <r>
    <n v="327"/>
    <x v="14"/>
    <n v="1"/>
    <n v="0"/>
    <x v="0"/>
    <x v="2"/>
    <b v="0"/>
    <n v="6"/>
    <n v="2"/>
    <n v="0.16"/>
    <n v="0.19700000000000001"/>
    <n v="0.59"/>
    <n v="8.9599999999999999E-2"/>
    <n v="0"/>
    <n v="12"/>
    <n v="12"/>
    <x v="0"/>
    <x v="0"/>
    <s v="Non-Holiday"/>
    <s v="Low"/>
    <x v="1"/>
  </r>
  <r>
    <n v="328"/>
    <x v="14"/>
    <n v="1"/>
    <n v="0"/>
    <x v="0"/>
    <x v="3"/>
    <b v="0"/>
    <n v="6"/>
    <n v="2"/>
    <n v="0.16"/>
    <n v="0.2273"/>
    <n v="0.59"/>
    <n v="0"/>
    <n v="1"/>
    <n v="7"/>
    <n v="8"/>
    <x v="0"/>
    <x v="0"/>
    <s v="Non-Holiday"/>
    <s v="Low"/>
    <x v="1"/>
  </r>
  <r>
    <n v="329"/>
    <x v="14"/>
    <n v="1"/>
    <n v="0"/>
    <x v="0"/>
    <x v="4"/>
    <b v="0"/>
    <n v="6"/>
    <n v="2"/>
    <n v="0.16"/>
    <n v="0.2273"/>
    <n v="0.59"/>
    <n v="0"/>
    <n v="0"/>
    <n v="5"/>
    <n v="5"/>
    <x v="0"/>
    <x v="0"/>
    <s v="Non-Holiday"/>
    <s v="Low"/>
    <x v="1"/>
  </r>
  <r>
    <n v="330"/>
    <x v="14"/>
    <n v="1"/>
    <n v="0"/>
    <x v="0"/>
    <x v="5"/>
    <b v="0"/>
    <n v="6"/>
    <n v="1"/>
    <n v="0.16"/>
    <n v="0.2273"/>
    <n v="0.59"/>
    <n v="0"/>
    <n v="0"/>
    <n v="1"/>
    <n v="1"/>
    <x v="0"/>
    <x v="0"/>
    <s v="Non-Holiday"/>
    <s v="Low"/>
    <x v="0"/>
  </r>
  <r>
    <n v="331"/>
    <x v="14"/>
    <n v="1"/>
    <n v="0"/>
    <x v="0"/>
    <x v="6"/>
    <b v="0"/>
    <n v="6"/>
    <n v="1"/>
    <n v="0.14000000000000001"/>
    <n v="0.16669999999999999"/>
    <n v="0.63"/>
    <n v="0.1045"/>
    <n v="1"/>
    <n v="2"/>
    <n v="3"/>
    <x v="0"/>
    <x v="1"/>
    <s v="Non-Holiday"/>
    <s v="Low"/>
    <x v="0"/>
  </r>
  <r>
    <n v="332"/>
    <x v="14"/>
    <n v="1"/>
    <n v="0"/>
    <x v="0"/>
    <x v="7"/>
    <b v="0"/>
    <n v="6"/>
    <n v="1"/>
    <n v="0.14000000000000001"/>
    <n v="0.21210000000000001"/>
    <n v="0.63"/>
    <n v="0"/>
    <n v="1"/>
    <n v="9"/>
    <n v="10"/>
    <x v="0"/>
    <x v="1"/>
    <s v="Non-Holiday"/>
    <s v="Low"/>
    <x v="0"/>
  </r>
  <r>
    <n v="333"/>
    <x v="14"/>
    <n v="1"/>
    <n v="0"/>
    <x v="0"/>
    <x v="8"/>
    <b v="0"/>
    <n v="6"/>
    <n v="1"/>
    <n v="0.14000000000000001"/>
    <n v="0.1515"/>
    <n v="0.63"/>
    <n v="0.1343"/>
    <n v="1"/>
    <n v="22"/>
    <n v="23"/>
    <x v="0"/>
    <x v="1"/>
    <s v="Non-Holiday"/>
    <s v="Low"/>
    <x v="0"/>
  </r>
  <r>
    <n v="334"/>
    <x v="14"/>
    <n v="1"/>
    <n v="0"/>
    <x v="0"/>
    <x v="9"/>
    <b v="0"/>
    <n v="6"/>
    <n v="1"/>
    <n v="0.16"/>
    <n v="0.18179999999999999"/>
    <n v="0.64"/>
    <n v="0.1343"/>
    <n v="2"/>
    <n v="31"/>
    <n v="33"/>
    <x v="0"/>
    <x v="1"/>
    <s v="Non-Holiday"/>
    <s v="Low"/>
    <x v="0"/>
  </r>
  <r>
    <n v="335"/>
    <x v="14"/>
    <n v="1"/>
    <n v="0"/>
    <x v="0"/>
    <x v="10"/>
    <b v="0"/>
    <n v="6"/>
    <n v="1"/>
    <n v="0.18"/>
    <n v="0.19700000000000001"/>
    <n v="0.59"/>
    <n v="0.16420000000000001"/>
    <n v="2"/>
    <n v="57"/>
    <n v="59"/>
    <x v="0"/>
    <x v="2"/>
    <s v="Non-Holiday"/>
    <s v="Low"/>
    <x v="0"/>
  </r>
  <r>
    <n v="336"/>
    <x v="14"/>
    <n v="1"/>
    <n v="0"/>
    <x v="0"/>
    <x v="11"/>
    <b v="0"/>
    <n v="6"/>
    <n v="1"/>
    <n v="0.2"/>
    <n v="0.19700000000000001"/>
    <n v="0.55000000000000004"/>
    <n v="0.22389999999999999"/>
    <n v="18"/>
    <n v="54"/>
    <n v="72"/>
    <x v="0"/>
    <x v="2"/>
    <s v="Non-Holiday"/>
    <s v="Low"/>
    <x v="0"/>
  </r>
  <r>
    <n v="337"/>
    <x v="14"/>
    <n v="1"/>
    <n v="0"/>
    <x v="0"/>
    <x v="12"/>
    <b v="0"/>
    <n v="6"/>
    <n v="1"/>
    <n v="0.24"/>
    <n v="0.2273"/>
    <n v="0.48"/>
    <n v="0.22389999999999999"/>
    <n v="15"/>
    <n v="74"/>
    <n v="89"/>
    <x v="0"/>
    <x v="2"/>
    <s v="Non-Holiday"/>
    <s v="Medium"/>
    <x v="0"/>
  </r>
  <r>
    <n v="338"/>
    <x v="14"/>
    <n v="1"/>
    <n v="0"/>
    <x v="0"/>
    <x v="13"/>
    <b v="0"/>
    <n v="6"/>
    <n v="1"/>
    <n v="0.28000000000000003"/>
    <n v="0.2576"/>
    <n v="0.38"/>
    <n v="0.29849999999999999"/>
    <n v="21"/>
    <n v="80"/>
    <n v="101"/>
    <x v="0"/>
    <x v="2"/>
    <s v="Non-Holiday"/>
    <s v="Medium"/>
    <x v="0"/>
  </r>
  <r>
    <n v="339"/>
    <x v="14"/>
    <n v="1"/>
    <n v="0"/>
    <x v="0"/>
    <x v="14"/>
    <b v="0"/>
    <n v="6"/>
    <n v="1"/>
    <n v="0.3"/>
    <n v="0.28789999999999999"/>
    <n v="0.39"/>
    <n v="0.28360000000000002"/>
    <n v="26"/>
    <n v="92"/>
    <n v="118"/>
    <x v="0"/>
    <x v="2"/>
    <s v="Non-Holiday"/>
    <s v="Medium"/>
    <x v="0"/>
  </r>
  <r>
    <n v="340"/>
    <x v="14"/>
    <n v="1"/>
    <n v="0"/>
    <x v="0"/>
    <x v="15"/>
    <b v="0"/>
    <n v="6"/>
    <n v="2"/>
    <n v="0.32"/>
    <n v="0.31819999999999998"/>
    <n v="0.36"/>
    <n v="0.19400000000000001"/>
    <n v="21"/>
    <n v="108"/>
    <n v="129"/>
    <x v="0"/>
    <x v="2"/>
    <s v="Non-Holiday"/>
    <s v="Medium"/>
    <x v="1"/>
  </r>
  <r>
    <n v="341"/>
    <x v="14"/>
    <n v="1"/>
    <n v="0"/>
    <x v="0"/>
    <x v="16"/>
    <b v="0"/>
    <n v="6"/>
    <n v="2"/>
    <n v="0.34"/>
    <n v="0.33329999999999999"/>
    <n v="0.34"/>
    <n v="0.19400000000000001"/>
    <n v="33"/>
    <n v="95"/>
    <n v="128"/>
    <x v="0"/>
    <x v="2"/>
    <s v="Non-Holiday"/>
    <s v="Medium"/>
    <x v="1"/>
  </r>
  <r>
    <n v="342"/>
    <x v="14"/>
    <n v="1"/>
    <n v="0"/>
    <x v="0"/>
    <x v="17"/>
    <b v="0"/>
    <n v="6"/>
    <n v="2"/>
    <n v="0.32"/>
    <n v="0.30299999999999999"/>
    <n v="0.36"/>
    <n v="0.28360000000000002"/>
    <n v="29"/>
    <n v="54"/>
    <n v="83"/>
    <x v="0"/>
    <x v="3"/>
    <s v="Non-Holiday"/>
    <s v="Medium"/>
    <x v="1"/>
  </r>
  <r>
    <n v="343"/>
    <x v="14"/>
    <n v="1"/>
    <n v="0"/>
    <x v="0"/>
    <x v="18"/>
    <b v="0"/>
    <n v="6"/>
    <n v="2"/>
    <n v="0.3"/>
    <n v="0.28789999999999999"/>
    <n v="0.45"/>
    <n v="0.25369999999999998"/>
    <n v="15"/>
    <n v="69"/>
    <n v="84"/>
    <x v="0"/>
    <x v="3"/>
    <s v="Non-Holiday"/>
    <s v="Medium"/>
    <x v="1"/>
  </r>
  <r>
    <n v="344"/>
    <x v="14"/>
    <n v="1"/>
    <n v="0"/>
    <x v="0"/>
    <x v="19"/>
    <b v="0"/>
    <n v="6"/>
    <n v="2"/>
    <n v="0.32"/>
    <n v="0.30299999999999999"/>
    <n v="0.39"/>
    <n v="0.25369999999999998"/>
    <n v="14"/>
    <n v="60"/>
    <n v="74"/>
    <x v="0"/>
    <x v="3"/>
    <s v="Non-Holiday"/>
    <s v="Low"/>
    <x v="1"/>
  </r>
  <r>
    <n v="345"/>
    <x v="14"/>
    <n v="1"/>
    <n v="0"/>
    <x v="0"/>
    <x v="20"/>
    <b v="0"/>
    <n v="6"/>
    <n v="2"/>
    <n v="0.32"/>
    <n v="0.30299999999999999"/>
    <n v="0.39"/>
    <n v="0.25369999999999998"/>
    <n v="6"/>
    <n v="35"/>
    <n v="41"/>
    <x v="0"/>
    <x v="3"/>
    <s v="Non-Holiday"/>
    <s v="Low"/>
    <x v="1"/>
  </r>
  <r>
    <n v="346"/>
    <x v="14"/>
    <n v="1"/>
    <n v="0"/>
    <x v="0"/>
    <x v="21"/>
    <b v="0"/>
    <n v="6"/>
    <n v="2"/>
    <n v="0.32"/>
    <n v="0.30299999999999999"/>
    <n v="0.39"/>
    <n v="0.22389999999999999"/>
    <n v="6"/>
    <n v="51"/>
    <n v="57"/>
    <x v="0"/>
    <x v="4"/>
    <s v="Non-Holiday"/>
    <s v="Low"/>
    <x v="1"/>
  </r>
  <r>
    <n v="347"/>
    <x v="14"/>
    <n v="1"/>
    <n v="0"/>
    <x v="0"/>
    <x v="22"/>
    <b v="0"/>
    <n v="6"/>
    <n v="2"/>
    <n v="0.3"/>
    <n v="0.31819999999999998"/>
    <n v="0.42"/>
    <n v="0.1045"/>
    <n v="0"/>
    <n v="26"/>
    <n v="26"/>
    <x v="0"/>
    <x v="4"/>
    <s v="Non-Holiday"/>
    <s v="Low"/>
    <x v="1"/>
  </r>
  <r>
    <n v="348"/>
    <x v="14"/>
    <n v="1"/>
    <n v="0"/>
    <x v="0"/>
    <x v="23"/>
    <b v="0"/>
    <n v="6"/>
    <n v="1"/>
    <n v="0.3"/>
    <n v="0.28789999999999999"/>
    <n v="0.45"/>
    <n v="0.28360000000000002"/>
    <n v="5"/>
    <n v="39"/>
    <n v="44"/>
    <x v="0"/>
    <x v="4"/>
    <s v="Non-Holiday"/>
    <s v="Low"/>
    <x v="0"/>
  </r>
  <r>
    <n v="349"/>
    <x v="15"/>
    <n v="1"/>
    <n v="0"/>
    <x v="0"/>
    <x v="0"/>
    <b v="0"/>
    <n v="0"/>
    <n v="1"/>
    <n v="0.26"/>
    <n v="0.30299999999999999"/>
    <n v="0.56000000000000005"/>
    <n v="0"/>
    <n v="6"/>
    <n v="33"/>
    <n v="39"/>
    <x v="0"/>
    <x v="0"/>
    <s v="Non-Holiday"/>
    <s v="Low"/>
    <x v="0"/>
  </r>
  <r>
    <n v="350"/>
    <x v="15"/>
    <n v="1"/>
    <n v="0"/>
    <x v="0"/>
    <x v="1"/>
    <b v="0"/>
    <n v="0"/>
    <n v="1"/>
    <n v="0.26"/>
    <n v="0.2727"/>
    <n v="0.56000000000000005"/>
    <n v="0.1343"/>
    <n v="4"/>
    <n v="19"/>
    <n v="23"/>
    <x v="0"/>
    <x v="0"/>
    <s v="Non-Holiday"/>
    <s v="Low"/>
    <x v="0"/>
  </r>
  <r>
    <n v="351"/>
    <x v="15"/>
    <n v="1"/>
    <n v="0"/>
    <x v="0"/>
    <x v="2"/>
    <b v="0"/>
    <n v="0"/>
    <n v="1"/>
    <n v="0.26"/>
    <n v="0.28789999999999999"/>
    <n v="0.56000000000000005"/>
    <n v="8.9599999999999999E-2"/>
    <n v="3"/>
    <n v="13"/>
    <n v="16"/>
    <x v="0"/>
    <x v="0"/>
    <s v="Non-Holiday"/>
    <s v="Low"/>
    <x v="0"/>
  </r>
  <r>
    <n v="352"/>
    <x v="15"/>
    <n v="1"/>
    <n v="0"/>
    <x v="0"/>
    <x v="3"/>
    <b v="0"/>
    <n v="0"/>
    <n v="1"/>
    <n v="0.22"/>
    <n v="0.2727"/>
    <n v="0.69"/>
    <n v="0"/>
    <n v="9"/>
    <n v="6"/>
    <n v="15"/>
    <x v="0"/>
    <x v="0"/>
    <s v="Non-Holiday"/>
    <s v="Low"/>
    <x v="0"/>
  </r>
  <r>
    <n v="353"/>
    <x v="15"/>
    <n v="1"/>
    <n v="0"/>
    <x v="0"/>
    <x v="4"/>
    <b v="0"/>
    <n v="0"/>
    <n v="1"/>
    <n v="0.26"/>
    <n v="0.2576"/>
    <n v="0.56000000000000005"/>
    <n v="0.16420000000000001"/>
    <n v="0"/>
    <n v="1"/>
    <n v="1"/>
    <x v="0"/>
    <x v="0"/>
    <s v="Non-Holiday"/>
    <s v="Low"/>
    <x v="0"/>
  </r>
  <r>
    <n v="354"/>
    <x v="15"/>
    <n v="1"/>
    <n v="0"/>
    <x v="0"/>
    <x v="5"/>
    <b v="0"/>
    <n v="0"/>
    <n v="2"/>
    <n v="0.26"/>
    <n v="0.2576"/>
    <n v="0.56000000000000005"/>
    <n v="0.16420000000000001"/>
    <n v="1"/>
    <n v="1"/>
    <n v="2"/>
    <x v="0"/>
    <x v="0"/>
    <s v="Non-Holiday"/>
    <s v="Low"/>
    <x v="1"/>
  </r>
  <r>
    <n v="355"/>
    <x v="15"/>
    <n v="1"/>
    <n v="0"/>
    <x v="0"/>
    <x v="6"/>
    <b v="0"/>
    <n v="0"/>
    <n v="2"/>
    <n v="0.26"/>
    <n v="0.2576"/>
    <n v="0.56000000000000005"/>
    <n v="0.16420000000000001"/>
    <n v="0"/>
    <n v="1"/>
    <n v="1"/>
    <x v="0"/>
    <x v="1"/>
    <s v="Non-Holiday"/>
    <s v="Low"/>
    <x v="1"/>
  </r>
  <r>
    <n v="356"/>
    <x v="15"/>
    <n v="1"/>
    <n v="0"/>
    <x v="0"/>
    <x v="7"/>
    <b v="0"/>
    <n v="0"/>
    <n v="2"/>
    <n v="0.24"/>
    <n v="0.21210000000000001"/>
    <n v="0.56000000000000005"/>
    <n v="0.29849999999999999"/>
    <n v="0"/>
    <n v="3"/>
    <n v="3"/>
    <x v="0"/>
    <x v="1"/>
    <s v="Non-Holiday"/>
    <s v="Low"/>
    <x v="1"/>
  </r>
  <r>
    <n v="357"/>
    <x v="15"/>
    <n v="1"/>
    <n v="0"/>
    <x v="0"/>
    <x v="8"/>
    <b v="0"/>
    <n v="0"/>
    <n v="1"/>
    <n v="0.22"/>
    <n v="0.21210000000000001"/>
    <n v="0.55000000000000004"/>
    <n v="0.28360000000000002"/>
    <n v="0"/>
    <n v="18"/>
    <n v="18"/>
    <x v="0"/>
    <x v="1"/>
    <s v="Non-Holiday"/>
    <s v="Low"/>
    <x v="0"/>
  </r>
  <r>
    <n v="358"/>
    <x v="15"/>
    <n v="1"/>
    <n v="0"/>
    <x v="0"/>
    <x v="9"/>
    <b v="0"/>
    <n v="0"/>
    <n v="1"/>
    <n v="0.22"/>
    <n v="0.21210000000000001"/>
    <n v="0.51"/>
    <n v="0.25369999999999998"/>
    <n v="3"/>
    <n v="29"/>
    <n v="32"/>
    <x v="0"/>
    <x v="1"/>
    <s v="Non-Holiday"/>
    <s v="Low"/>
    <x v="0"/>
  </r>
  <r>
    <n v="359"/>
    <x v="15"/>
    <n v="1"/>
    <n v="0"/>
    <x v="0"/>
    <x v="10"/>
    <b v="0"/>
    <n v="0"/>
    <n v="1"/>
    <n v="0.22"/>
    <n v="0.21210000000000001"/>
    <n v="0.51"/>
    <n v="0.28360000000000002"/>
    <n v="8"/>
    <n v="71"/>
    <n v="79"/>
    <x v="0"/>
    <x v="2"/>
    <s v="Non-Holiday"/>
    <s v="Low"/>
    <x v="0"/>
  </r>
  <r>
    <n v="360"/>
    <x v="15"/>
    <n v="1"/>
    <n v="0"/>
    <x v="0"/>
    <x v="11"/>
    <b v="0"/>
    <n v="0"/>
    <n v="1"/>
    <n v="0.24"/>
    <n v="0.2273"/>
    <n v="0.44"/>
    <n v="0.25369999999999998"/>
    <n v="23"/>
    <n v="70"/>
    <n v="93"/>
    <x v="0"/>
    <x v="2"/>
    <s v="Non-Holiday"/>
    <s v="Medium"/>
    <x v="0"/>
  </r>
  <r>
    <n v="361"/>
    <x v="15"/>
    <n v="1"/>
    <n v="0"/>
    <x v="0"/>
    <x v="12"/>
    <b v="0"/>
    <n v="0"/>
    <n v="1"/>
    <n v="0.24"/>
    <n v="0.21210000000000001"/>
    <n v="0.41"/>
    <n v="0.28360000000000002"/>
    <n v="29"/>
    <n v="75"/>
    <n v="104"/>
    <x v="0"/>
    <x v="2"/>
    <s v="Non-Holiday"/>
    <s v="Medium"/>
    <x v="0"/>
  </r>
  <r>
    <n v="362"/>
    <x v="15"/>
    <n v="1"/>
    <n v="0"/>
    <x v="0"/>
    <x v="13"/>
    <b v="0"/>
    <n v="0"/>
    <n v="1"/>
    <n v="0.26"/>
    <n v="0.2273"/>
    <n v="0.35"/>
    <n v="0.29849999999999999"/>
    <n v="23"/>
    <n v="95"/>
    <n v="118"/>
    <x v="0"/>
    <x v="2"/>
    <s v="Non-Holiday"/>
    <s v="Medium"/>
    <x v="0"/>
  </r>
  <r>
    <n v="363"/>
    <x v="15"/>
    <n v="1"/>
    <n v="0"/>
    <x v="0"/>
    <x v="14"/>
    <b v="0"/>
    <n v="0"/>
    <n v="1"/>
    <n v="0.28000000000000003"/>
    <n v="0.2727"/>
    <n v="0.36"/>
    <n v="0.25369999999999998"/>
    <n v="22"/>
    <n v="69"/>
    <n v="91"/>
    <x v="0"/>
    <x v="2"/>
    <s v="Non-Holiday"/>
    <s v="Medium"/>
    <x v="0"/>
  </r>
  <r>
    <n v="364"/>
    <x v="15"/>
    <n v="1"/>
    <n v="0"/>
    <x v="0"/>
    <x v="15"/>
    <b v="0"/>
    <n v="0"/>
    <n v="1"/>
    <n v="0.26"/>
    <n v="0.2424"/>
    <n v="0.38"/>
    <n v="0.25369999999999998"/>
    <n v="35"/>
    <n v="78"/>
    <n v="113"/>
    <x v="0"/>
    <x v="2"/>
    <s v="Non-Holiday"/>
    <s v="Medium"/>
    <x v="0"/>
  </r>
  <r>
    <n v="365"/>
    <x v="15"/>
    <n v="1"/>
    <n v="0"/>
    <x v="0"/>
    <x v="16"/>
    <b v="0"/>
    <n v="0"/>
    <n v="1"/>
    <n v="0.24"/>
    <n v="0.2273"/>
    <n v="0.38"/>
    <n v="0.22389999999999999"/>
    <n v="22"/>
    <n v="77"/>
    <n v="99"/>
    <x v="0"/>
    <x v="2"/>
    <s v="Non-Holiday"/>
    <s v="Medium"/>
    <x v="0"/>
  </r>
  <r>
    <n v="366"/>
    <x v="15"/>
    <n v="1"/>
    <n v="0"/>
    <x v="0"/>
    <x v="17"/>
    <b v="0"/>
    <n v="0"/>
    <n v="1"/>
    <n v="0.22"/>
    <n v="0.21210000000000001"/>
    <n v="0.37"/>
    <n v="0.25369999999999998"/>
    <n v="23"/>
    <n v="82"/>
    <n v="105"/>
    <x v="0"/>
    <x v="3"/>
    <s v="Non-Holiday"/>
    <s v="Medium"/>
    <x v="0"/>
  </r>
  <r>
    <n v="367"/>
    <x v="15"/>
    <n v="1"/>
    <n v="0"/>
    <x v="0"/>
    <x v="18"/>
    <b v="0"/>
    <n v="0"/>
    <n v="1"/>
    <n v="0.2"/>
    <n v="0.21210000000000001"/>
    <n v="0.4"/>
    <n v="0.16420000000000001"/>
    <n v="11"/>
    <n v="56"/>
    <n v="67"/>
    <x v="0"/>
    <x v="3"/>
    <s v="Non-Holiday"/>
    <s v="Low"/>
    <x v="0"/>
  </r>
  <r>
    <n v="368"/>
    <x v="15"/>
    <n v="1"/>
    <n v="0"/>
    <x v="0"/>
    <x v="19"/>
    <b v="0"/>
    <n v="0"/>
    <n v="1"/>
    <n v="0.18"/>
    <n v="0.19700000000000001"/>
    <n v="0.47"/>
    <n v="0.1343"/>
    <n v="14"/>
    <n v="47"/>
    <n v="61"/>
    <x v="0"/>
    <x v="3"/>
    <s v="Non-Holiday"/>
    <s v="Low"/>
    <x v="0"/>
  </r>
  <r>
    <n v="369"/>
    <x v="15"/>
    <n v="1"/>
    <n v="0"/>
    <x v="0"/>
    <x v="20"/>
    <b v="0"/>
    <n v="0"/>
    <n v="1"/>
    <n v="0.18"/>
    <n v="0.19700000000000001"/>
    <n v="0.47"/>
    <n v="0.16420000000000001"/>
    <n v="7"/>
    <n v="50"/>
    <n v="57"/>
    <x v="0"/>
    <x v="3"/>
    <s v="Non-Holiday"/>
    <s v="Low"/>
    <x v="0"/>
  </r>
  <r>
    <n v="370"/>
    <x v="15"/>
    <n v="1"/>
    <n v="0"/>
    <x v="0"/>
    <x v="21"/>
    <b v="0"/>
    <n v="0"/>
    <n v="1"/>
    <n v="0.18"/>
    <n v="0.19700000000000001"/>
    <n v="0.51"/>
    <n v="0.16420000000000001"/>
    <n v="6"/>
    <n v="22"/>
    <n v="28"/>
    <x v="0"/>
    <x v="4"/>
    <s v="Non-Holiday"/>
    <s v="Low"/>
    <x v="0"/>
  </r>
  <r>
    <n v="371"/>
    <x v="15"/>
    <n v="1"/>
    <n v="0"/>
    <x v="0"/>
    <x v="22"/>
    <b v="0"/>
    <n v="0"/>
    <n v="2"/>
    <n v="0.2"/>
    <n v="0.21210000000000001"/>
    <n v="0.49"/>
    <n v="0.1343"/>
    <n v="2"/>
    <n v="19"/>
    <n v="21"/>
    <x v="0"/>
    <x v="4"/>
    <s v="Non-Holiday"/>
    <s v="Low"/>
    <x v="1"/>
  </r>
  <r>
    <n v="372"/>
    <x v="15"/>
    <n v="1"/>
    <n v="0"/>
    <x v="0"/>
    <x v="23"/>
    <b v="0"/>
    <n v="0"/>
    <n v="2"/>
    <n v="0.2"/>
    <n v="0.2273"/>
    <n v="0.4"/>
    <n v="0.1045"/>
    <n v="0"/>
    <n v="18"/>
    <n v="18"/>
    <x v="0"/>
    <x v="4"/>
    <s v="Non-Holiday"/>
    <s v="Low"/>
    <x v="1"/>
  </r>
  <r>
    <n v="373"/>
    <x v="16"/>
    <n v="1"/>
    <n v="0"/>
    <x v="0"/>
    <x v="0"/>
    <b v="1"/>
    <n v="1"/>
    <n v="2"/>
    <n v="0.2"/>
    <n v="0.19700000000000001"/>
    <n v="0.47"/>
    <n v="0.22389999999999999"/>
    <n v="1"/>
    <n v="16"/>
    <n v="17"/>
    <x v="1"/>
    <x v="0"/>
    <s v="Non-Holiday"/>
    <s v="Low"/>
    <x v="1"/>
  </r>
  <r>
    <n v="374"/>
    <x v="16"/>
    <n v="1"/>
    <n v="0"/>
    <x v="0"/>
    <x v="1"/>
    <b v="1"/>
    <n v="1"/>
    <n v="2"/>
    <n v="0.2"/>
    <n v="0.19700000000000001"/>
    <n v="0.44"/>
    <n v="0.19400000000000001"/>
    <n v="1"/>
    <n v="15"/>
    <n v="16"/>
    <x v="1"/>
    <x v="0"/>
    <s v="Non-Holiday"/>
    <s v="Low"/>
    <x v="1"/>
  </r>
  <r>
    <n v="375"/>
    <x v="16"/>
    <n v="1"/>
    <n v="0"/>
    <x v="0"/>
    <x v="2"/>
    <b v="1"/>
    <n v="1"/>
    <n v="2"/>
    <n v="0.18"/>
    <n v="0.16669999999999999"/>
    <n v="0.43"/>
    <n v="0.25369999999999998"/>
    <n v="0"/>
    <n v="8"/>
    <n v="8"/>
    <x v="1"/>
    <x v="0"/>
    <s v="Non-Holiday"/>
    <s v="Low"/>
    <x v="1"/>
  </r>
  <r>
    <n v="376"/>
    <x v="16"/>
    <n v="1"/>
    <n v="0"/>
    <x v="0"/>
    <x v="3"/>
    <b v="1"/>
    <n v="1"/>
    <n v="2"/>
    <n v="0.18"/>
    <n v="0.18179999999999999"/>
    <n v="0.43"/>
    <n v="0.19400000000000001"/>
    <n v="0"/>
    <n v="2"/>
    <n v="2"/>
    <x v="1"/>
    <x v="0"/>
    <s v="Non-Holiday"/>
    <s v="Low"/>
    <x v="1"/>
  </r>
  <r>
    <n v="377"/>
    <x v="16"/>
    <n v="1"/>
    <n v="0"/>
    <x v="0"/>
    <x v="4"/>
    <b v="1"/>
    <n v="1"/>
    <n v="2"/>
    <n v="0.18"/>
    <n v="0.19700000000000001"/>
    <n v="0.43"/>
    <n v="0.1343"/>
    <n v="1"/>
    <n v="2"/>
    <n v="3"/>
    <x v="1"/>
    <x v="0"/>
    <s v="Non-Holiday"/>
    <s v="Low"/>
    <x v="1"/>
  </r>
  <r>
    <n v="378"/>
    <x v="16"/>
    <n v="1"/>
    <n v="0"/>
    <x v="0"/>
    <x v="5"/>
    <b v="1"/>
    <n v="1"/>
    <n v="2"/>
    <n v="0.18"/>
    <n v="0.19700000000000001"/>
    <n v="0.43"/>
    <n v="0.16420000000000001"/>
    <n v="0"/>
    <n v="1"/>
    <n v="1"/>
    <x v="1"/>
    <x v="0"/>
    <s v="Non-Holiday"/>
    <s v="Low"/>
    <x v="1"/>
  </r>
  <r>
    <n v="379"/>
    <x v="16"/>
    <n v="1"/>
    <n v="0"/>
    <x v="0"/>
    <x v="6"/>
    <b v="1"/>
    <n v="1"/>
    <n v="2"/>
    <n v="0.18"/>
    <n v="0.18179999999999999"/>
    <n v="0.43"/>
    <n v="0.19400000000000001"/>
    <n v="0"/>
    <n v="5"/>
    <n v="5"/>
    <x v="1"/>
    <x v="1"/>
    <s v="Non-Holiday"/>
    <s v="Low"/>
    <x v="1"/>
  </r>
  <r>
    <n v="380"/>
    <x v="16"/>
    <n v="1"/>
    <n v="0"/>
    <x v="0"/>
    <x v="7"/>
    <b v="1"/>
    <n v="1"/>
    <n v="2"/>
    <n v="0.16"/>
    <n v="0.18179999999999999"/>
    <n v="0.5"/>
    <n v="0.1343"/>
    <n v="4"/>
    <n v="9"/>
    <n v="13"/>
    <x v="1"/>
    <x v="1"/>
    <s v="Non-Holiday"/>
    <s v="Low"/>
    <x v="1"/>
  </r>
  <r>
    <n v="381"/>
    <x v="16"/>
    <n v="1"/>
    <n v="0"/>
    <x v="0"/>
    <x v="8"/>
    <b v="1"/>
    <n v="1"/>
    <n v="2"/>
    <n v="0.16"/>
    <n v="0.1515"/>
    <n v="0.47"/>
    <n v="0.22389999999999999"/>
    <n v="3"/>
    <n v="30"/>
    <n v="33"/>
    <x v="1"/>
    <x v="1"/>
    <s v="Non-Holiday"/>
    <s v="Low"/>
    <x v="1"/>
  </r>
  <r>
    <n v="382"/>
    <x v="16"/>
    <n v="1"/>
    <n v="0"/>
    <x v="0"/>
    <x v="9"/>
    <b v="1"/>
    <n v="1"/>
    <n v="2"/>
    <n v="0.16"/>
    <n v="0.1515"/>
    <n v="0.47"/>
    <n v="0.22389999999999999"/>
    <n v="8"/>
    <n v="39"/>
    <n v="47"/>
    <x v="1"/>
    <x v="1"/>
    <s v="Non-Holiday"/>
    <s v="Low"/>
    <x v="1"/>
  </r>
  <r>
    <n v="383"/>
    <x v="16"/>
    <n v="1"/>
    <n v="0"/>
    <x v="0"/>
    <x v="10"/>
    <b v="1"/>
    <n v="1"/>
    <n v="2"/>
    <n v="0.16"/>
    <n v="0.1515"/>
    <n v="0.5"/>
    <n v="0.25369999999999998"/>
    <n v="7"/>
    <n v="50"/>
    <n v="57"/>
    <x v="1"/>
    <x v="2"/>
    <s v="Non-Holiday"/>
    <s v="Low"/>
    <x v="1"/>
  </r>
  <r>
    <n v="384"/>
    <x v="16"/>
    <n v="1"/>
    <n v="0"/>
    <x v="0"/>
    <x v="11"/>
    <b v="1"/>
    <n v="1"/>
    <n v="2"/>
    <n v="0.16"/>
    <n v="0.1515"/>
    <n v="0.55000000000000004"/>
    <n v="0.19400000000000001"/>
    <n v="9"/>
    <n v="55"/>
    <n v="64"/>
    <x v="1"/>
    <x v="2"/>
    <s v="Non-Holiday"/>
    <s v="Low"/>
    <x v="1"/>
  </r>
  <r>
    <n v="385"/>
    <x v="16"/>
    <n v="1"/>
    <n v="0"/>
    <x v="0"/>
    <x v="12"/>
    <b v="1"/>
    <n v="1"/>
    <n v="2"/>
    <n v="0.18"/>
    <n v="0.19700000000000001"/>
    <n v="0.47"/>
    <n v="0.1343"/>
    <n v="10"/>
    <n v="70"/>
    <n v="80"/>
    <x v="1"/>
    <x v="2"/>
    <s v="Non-Holiday"/>
    <s v="Medium"/>
    <x v="1"/>
  </r>
  <r>
    <n v="386"/>
    <x v="16"/>
    <n v="1"/>
    <n v="0"/>
    <x v="0"/>
    <x v="13"/>
    <b v="1"/>
    <n v="1"/>
    <n v="2"/>
    <n v="0.18"/>
    <n v="0.19700000000000001"/>
    <n v="0.47"/>
    <n v="0.1343"/>
    <n v="13"/>
    <n v="80"/>
    <n v="93"/>
    <x v="1"/>
    <x v="2"/>
    <s v="Non-Holiday"/>
    <s v="Medium"/>
    <x v="1"/>
  </r>
  <r>
    <n v="387"/>
    <x v="16"/>
    <n v="1"/>
    <n v="0"/>
    <x v="0"/>
    <x v="14"/>
    <b v="1"/>
    <n v="1"/>
    <n v="2"/>
    <n v="0.18"/>
    <n v="0.21210000000000001"/>
    <n v="0.43"/>
    <n v="0.1045"/>
    <n v="12"/>
    <n v="74"/>
    <n v="86"/>
    <x v="1"/>
    <x v="2"/>
    <s v="Non-Holiday"/>
    <s v="Medium"/>
    <x v="1"/>
  </r>
  <r>
    <n v="388"/>
    <x v="16"/>
    <n v="1"/>
    <n v="0"/>
    <x v="0"/>
    <x v="15"/>
    <b v="1"/>
    <n v="1"/>
    <n v="2"/>
    <n v="0.2"/>
    <n v="0.21210000000000001"/>
    <n v="0.47"/>
    <n v="0.16420000000000001"/>
    <n v="21"/>
    <n v="72"/>
    <n v="93"/>
    <x v="1"/>
    <x v="2"/>
    <s v="Non-Holiday"/>
    <s v="Medium"/>
    <x v="1"/>
  </r>
  <r>
    <n v="389"/>
    <x v="16"/>
    <n v="1"/>
    <n v="0"/>
    <x v="0"/>
    <x v="16"/>
    <b v="1"/>
    <n v="1"/>
    <n v="2"/>
    <n v="0.2"/>
    <n v="0.21210000000000001"/>
    <n v="0.47"/>
    <n v="0.16420000000000001"/>
    <n v="6"/>
    <n v="76"/>
    <n v="82"/>
    <x v="1"/>
    <x v="2"/>
    <s v="Non-Holiday"/>
    <s v="Medium"/>
    <x v="1"/>
  </r>
  <r>
    <n v="390"/>
    <x v="16"/>
    <n v="1"/>
    <n v="0"/>
    <x v="0"/>
    <x v="17"/>
    <b v="1"/>
    <n v="1"/>
    <n v="1"/>
    <n v="0.2"/>
    <n v="0.19700000000000001"/>
    <n v="0.51"/>
    <n v="0.19400000000000001"/>
    <n v="4"/>
    <n v="67"/>
    <n v="71"/>
    <x v="1"/>
    <x v="3"/>
    <s v="Non-Holiday"/>
    <s v="Low"/>
    <x v="0"/>
  </r>
  <r>
    <n v="391"/>
    <x v="16"/>
    <n v="1"/>
    <n v="0"/>
    <x v="0"/>
    <x v="18"/>
    <b v="1"/>
    <n v="1"/>
    <n v="2"/>
    <n v="0.18"/>
    <n v="0.16669999999999999"/>
    <n v="0.55000000000000004"/>
    <n v="0.25369999999999998"/>
    <n v="7"/>
    <n v="85"/>
    <n v="92"/>
    <x v="1"/>
    <x v="3"/>
    <s v="Non-Holiday"/>
    <s v="Medium"/>
    <x v="1"/>
  </r>
  <r>
    <n v="392"/>
    <x v="16"/>
    <n v="1"/>
    <n v="0"/>
    <x v="0"/>
    <x v="19"/>
    <b v="1"/>
    <n v="1"/>
    <n v="3"/>
    <n v="0.18"/>
    <n v="0.18179999999999999"/>
    <n v="0.59"/>
    <n v="0.19400000000000001"/>
    <n v="2"/>
    <n v="58"/>
    <n v="60"/>
    <x v="1"/>
    <x v="3"/>
    <s v="Non-Holiday"/>
    <s v="Low"/>
    <x v="2"/>
  </r>
  <r>
    <n v="393"/>
    <x v="16"/>
    <n v="1"/>
    <n v="0"/>
    <x v="0"/>
    <x v="20"/>
    <b v="1"/>
    <n v="1"/>
    <n v="3"/>
    <n v="0.16"/>
    <n v="0.1515"/>
    <n v="0.8"/>
    <n v="0.19400000000000001"/>
    <n v="4"/>
    <n v="29"/>
    <n v="33"/>
    <x v="1"/>
    <x v="3"/>
    <s v="Non-Holiday"/>
    <s v="Low"/>
    <x v="2"/>
  </r>
  <r>
    <n v="394"/>
    <x v="16"/>
    <n v="1"/>
    <n v="0"/>
    <x v="0"/>
    <x v="21"/>
    <b v="1"/>
    <n v="1"/>
    <n v="3"/>
    <n v="0.16"/>
    <n v="0.1515"/>
    <n v="0.8"/>
    <n v="0.19400000000000001"/>
    <n v="3"/>
    <n v="24"/>
    <n v="27"/>
    <x v="1"/>
    <x v="4"/>
    <s v="Non-Holiday"/>
    <s v="Low"/>
    <x v="2"/>
  </r>
  <r>
    <n v="395"/>
    <x v="16"/>
    <n v="1"/>
    <n v="0"/>
    <x v="0"/>
    <x v="22"/>
    <b v="1"/>
    <n v="1"/>
    <n v="3"/>
    <n v="0.14000000000000001"/>
    <n v="0.1212"/>
    <n v="0.93"/>
    <n v="0.25369999999999998"/>
    <n v="0"/>
    <n v="13"/>
    <n v="13"/>
    <x v="1"/>
    <x v="4"/>
    <s v="Non-Holiday"/>
    <s v="Low"/>
    <x v="2"/>
  </r>
  <r>
    <n v="396"/>
    <x v="16"/>
    <n v="1"/>
    <n v="0"/>
    <x v="0"/>
    <x v="23"/>
    <b v="1"/>
    <n v="1"/>
    <n v="3"/>
    <n v="0.16"/>
    <n v="0.13639999999999999"/>
    <n v="0.86"/>
    <n v="0.28360000000000002"/>
    <n v="1"/>
    <n v="3"/>
    <n v="4"/>
    <x v="1"/>
    <x v="4"/>
    <s v="Non-Holiday"/>
    <s v="Low"/>
    <x v="2"/>
  </r>
  <r>
    <n v="397"/>
    <x v="17"/>
    <n v="1"/>
    <n v="0"/>
    <x v="0"/>
    <x v="12"/>
    <b v="0"/>
    <n v="2"/>
    <n v="2"/>
    <n v="0.2"/>
    <n v="0.18179999999999999"/>
    <n v="0.86"/>
    <n v="0.32840000000000003"/>
    <n v="0"/>
    <n v="3"/>
    <n v="3"/>
    <x v="1"/>
    <x v="2"/>
    <s v="Non-Holiday"/>
    <s v="Low"/>
    <x v="1"/>
  </r>
  <r>
    <n v="398"/>
    <x v="17"/>
    <n v="1"/>
    <n v="0"/>
    <x v="0"/>
    <x v="13"/>
    <b v="0"/>
    <n v="2"/>
    <n v="2"/>
    <n v="0.2"/>
    <n v="0.19700000000000001"/>
    <n v="0.86"/>
    <n v="0.22389999999999999"/>
    <n v="0"/>
    <n v="22"/>
    <n v="22"/>
    <x v="1"/>
    <x v="2"/>
    <s v="Non-Holiday"/>
    <s v="Low"/>
    <x v="1"/>
  </r>
  <r>
    <n v="399"/>
    <x v="17"/>
    <n v="1"/>
    <n v="0"/>
    <x v="0"/>
    <x v="14"/>
    <b v="0"/>
    <n v="2"/>
    <n v="2"/>
    <n v="0.22"/>
    <n v="0.2273"/>
    <n v="0.8"/>
    <n v="0.16420000000000001"/>
    <n v="2"/>
    <n v="26"/>
    <n v="28"/>
    <x v="1"/>
    <x v="2"/>
    <s v="Non-Holiday"/>
    <s v="Low"/>
    <x v="1"/>
  </r>
  <r>
    <n v="400"/>
    <x v="17"/>
    <n v="1"/>
    <n v="0"/>
    <x v="0"/>
    <x v="15"/>
    <b v="0"/>
    <n v="2"/>
    <n v="2"/>
    <n v="0.22"/>
    <n v="0.2273"/>
    <n v="0.87"/>
    <n v="0.16420000000000001"/>
    <n v="3"/>
    <n v="32"/>
    <n v="35"/>
    <x v="1"/>
    <x v="2"/>
    <s v="Non-Holiday"/>
    <s v="Low"/>
    <x v="1"/>
  </r>
  <r>
    <n v="401"/>
    <x v="17"/>
    <n v="1"/>
    <n v="0"/>
    <x v="0"/>
    <x v="16"/>
    <b v="0"/>
    <n v="2"/>
    <n v="2"/>
    <n v="0.22"/>
    <n v="0.2273"/>
    <n v="0.87"/>
    <n v="0.19400000000000001"/>
    <n v="0"/>
    <n v="61"/>
    <n v="61"/>
    <x v="1"/>
    <x v="2"/>
    <s v="Non-Holiday"/>
    <s v="Low"/>
    <x v="1"/>
  </r>
  <r>
    <n v="402"/>
    <x v="17"/>
    <n v="1"/>
    <n v="0"/>
    <x v="0"/>
    <x v="17"/>
    <b v="0"/>
    <n v="2"/>
    <n v="2"/>
    <n v="0.22"/>
    <n v="0.2273"/>
    <n v="0.82"/>
    <n v="0.19400000000000001"/>
    <n v="1"/>
    <n v="124"/>
    <n v="125"/>
    <x v="1"/>
    <x v="3"/>
    <s v="Non-Holiday"/>
    <s v="Medium"/>
    <x v="1"/>
  </r>
  <r>
    <n v="403"/>
    <x v="17"/>
    <n v="1"/>
    <n v="0"/>
    <x v="0"/>
    <x v="18"/>
    <b v="0"/>
    <n v="2"/>
    <n v="2"/>
    <n v="0.22"/>
    <n v="0.2273"/>
    <n v="0.8"/>
    <n v="0.16420000000000001"/>
    <n v="1"/>
    <n v="132"/>
    <n v="133"/>
    <x v="1"/>
    <x v="3"/>
    <s v="Non-Holiday"/>
    <s v="Medium"/>
    <x v="1"/>
  </r>
  <r>
    <n v="404"/>
    <x v="17"/>
    <n v="1"/>
    <n v="0"/>
    <x v="0"/>
    <x v="19"/>
    <b v="0"/>
    <n v="2"/>
    <n v="2"/>
    <n v="0.22"/>
    <n v="0.2273"/>
    <n v="0.8"/>
    <n v="0.1343"/>
    <n v="1"/>
    <n v="98"/>
    <n v="99"/>
    <x v="1"/>
    <x v="3"/>
    <s v="Non-Holiday"/>
    <s v="Medium"/>
    <x v="1"/>
  </r>
  <r>
    <n v="405"/>
    <x v="17"/>
    <n v="1"/>
    <n v="0"/>
    <x v="0"/>
    <x v="20"/>
    <b v="0"/>
    <n v="2"/>
    <n v="2"/>
    <n v="0.22"/>
    <n v="0.2727"/>
    <n v="0.87"/>
    <n v="0"/>
    <n v="0"/>
    <n v="83"/>
    <n v="83"/>
    <x v="1"/>
    <x v="3"/>
    <s v="Non-Holiday"/>
    <s v="Medium"/>
    <x v="1"/>
  </r>
  <r>
    <n v="406"/>
    <x v="17"/>
    <n v="1"/>
    <n v="0"/>
    <x v="0"/>
    <x v="21"/>
    <b v="0"/>
    <n v="2"/>
    <n v="2"/>
    <n v="0.22"/>
    <n v="0.2424"/>
    <n v="0.93"/>
    <n v="0.1045"/>
    <n v="0"/>
    <n v="41"/>
    <n v="41"/>
    <x v="1"/>
    <x v="4"/>
    <s v="Non-Holiday"/>
    <s v="Low"/>
    <x v="1"/>
  </r>
  <r>
    <n v="407"/>
    <x v="17"/>
    <n v="1"/>
    <n v="0"/>
    <x v="0"/>
    <x v="22"/>
    <b v="0"/>
    <n v="2"/>
    <n v="2"/>
    <n v="0.22"/>
    <n v="0.2576"/>
    <n v="0.93"/>
    <n v="8.9599999999999999E-2"/>
    <n v="0"/>
    <n v="33"/>
    <n v="33"/>
    <x v="1"/>
    <x v="4"/>
    <s v="Non-Holiday"/>
    <s v="Low"/>
    <x v="1"/>
  </r>
  <r>
    <n v="408"/>
    <x v="17"/>
    <n v="1"/>
    <n v="0"/>
    <x v="0"/>
    <x v="23"/>
    <b v="0"/>
    <n v="2"/>
    <n v="2"/>
    <n v="0.22"/>
    <n v="0.2727"/>
    <n v="0.93"/>
    <n v="0"/>
    <n v="1"/>
    <n v="19"/>
    <n v="20"/>
    <x v="1"/>
    <x v="4"/>
    <s v="Non-Holiday"/>
    <s v="Low"/>
    <x v="1"/>
  </r>
  <r>
    <n v="409"/>
    <x v="18"/>
    <n v="1"/>
    <n v="0"/>
    <x v="0"/>
    <x v="0"/>
    <b v="0"/>
    <n v="3"/>
    <n v="2"/>
    <n v="0.22"/>
    <n v="0.2727"/>
    <n v="0.93"/>
    <n v="0"/>
    <n v="0"/>
    <n v="3"/>
    <n v="3"/>
    <x v="1"/>
    <x v="0"/>
    <s v="Non-Holiday"/>
    <s v="Low"/>
    <x v="1"/>
  </r>
  <r>
    <n v="410"/>
    <x v="18"/>
    <n v="1"/>
    <n v="0"/>
    <x v="0"/>
    <x v="1"/>
    <b v="0"/>
    <n v="3"/>
    <n v="3"/>
    <n v="0.22"/>
    <n v="0.2273"/>
    <n v="0.93"/>
    <n v="0.1343"/>
    <n v="1"/>
    <n v="6"/>
    <n v="7"/>
    <x v="1"/>
    <x v="0"/>
    <s v="Non-Holiday"/>
    <s v="Low"/>
    <x v="2"/>
  </r>
  <r>
    <n v="411"/>
    <x v="18"/>
    <n v="1"/>
    <n v="0"/>
    <x v="0"/>
    <x v="2"/>
    <b v="0"/>
    <n v="3"/>
    <n v="3"/>
    <n v="0.22"/>
    <n v="0.2273"/>
    <n v="0.93"/>
    <n v="0.1343"/>
    <n v="0"/>
    <n v="3"/>
    <n v="3"/>
    <x v="1"/>
    <x v="0"/>
    <s v="Non-Holiday"/>
    <s v="Low"/>
    <x v="2"/>
  </r>
  <r>
    <n v="412"/>
    <x v="18"/>
    <n v="1"/>
    <n v="0"/>
    <x v="0"/>
    <x v="4"/>
    <b v="0"/>
    <n v="3"/>
    <n v="3"/>
    <n v="0.22"/>
    <n v="0.2273"/>
    <n v="0.93"/>
    <n v="0.1343"/>
    <n v="1"/>
    <n v="1"/>
    <n v="2"/>
    <x v="1"/>
    <x v="0"/>
    <s v="Non-Holiday"/>
    <s v="Low"/>
    <x v="2"/>
  </r>
  <r>
    <n v="413"/>
    <x v="18"/>
    <n v="1"/>
    <n v="0"/>
    <x v="0"/>
    <x v="5"/>
    <b v="0"/>
    <n v="3"/>
    <n v="2"/>
    <n v="0.22"/>
    <n v="0.2576"/>
    <n v="0.93"/>
    <n v="8.9599999999999999E-2"/>
    <n v="0"/>
    <n v="7"/>
    <n v="7"/>
    <x v="1"/>
    <x v="0"/>
    <s v="Non-Holiday"/>
    <s v="Low"/>
    <x v="1"/>
  </r>
  <r>
    <n v="414"/>
    <x v="18"/>
    <n v="1"/>
    <n v="0"/>
    <x v="0"/>
    <x v="6"/>
    <b v="0"/>
    <n v="3"/>
    <n v="2"/>
    <n v="0.22"/>
    <n v="0.2576"/>
    <n v="0.93"/>
    <n v="8.9599999999999999E-2"/>
    <n v="0"/>
    <n v="32"/>
    <n v="32"/>
    <x v="1"/>
    <x v="1"/>
    <s v="Non-Holiday"/>
    <s v="Low"/>
    <x v="1"/>
  </r>
  <r>
    <n v="415"/>
    <x v="18"/>
    <n v="1"/>
    <n v="0"/>
    <x v="0"/>
    <x v="7"/>
    <b v="0"/>
    <n v="3"/>
    <n v="2"/>
    <n v="0.24"/>
    <n v="0.2576"/>
    <n v="0.92"/>
    <n v="0.1045"/>
    <n v="1"/>
    <n v="89"/>
    <n v="90"/>
    <x v="1"/>
    <x v="1"/>
    <s v="Non-Holiday"/>
    <s v="Medium"/>
    <x v="1"/>
  </r>
  <r>
    <n v="416"/>
    <x v="18"/>
    <n v="1"/>
    <n v="0"/>
    <x v="0"/>
    <x v="8"/>
    <b v="0"/>
    <n v="3"/>
    <n v="2"/>
    <n v="0.24"/>
    <n v="0.2576"/>
    <n v="0.93"/>
    <n v="0.1045"/>
    <n v="1"/>
    <n v="196"/>
    <n v="197"/>
    <x v="1"/>
    <x v="1"/>
    <s v="Non-Holiday"/>
    <s v="High"/>
    <x v="1"/>
  </r>
  <r>
    <n v="417"/>
    <x v="18"/>
    <n v="1"/>
    <n v="0"/>
    <x v="0"/>
    <x v="9"/>
    <b v="0"/>
    <n v="3"/>
    <n v="2"/>
    <n v="0.24"/>
    <n v="0.2576"/>
    <n v="0.93"/>
    <n v="0.1045"/>
    <n v="2"/>
    <n v="107"/>
    <n v="109"/>
    <x v="1"/>
    <x v="1"/>
    <s v="Non-Holiday"/>
    <s v="Medium"/>
    <x v="1"/>
  </r>
  <r>
    <n v="418"/>
    <x v="18"/>
    <n v="1"/>
    <n v="0"/>
    <x v="0"/>
    <x v="10"/>
    <b v="0"/>
    <n v="3"/>
    <n v="2"/>
    <n v="0.26"/>
    <n v="0.2727"/>
    <n v="0.93"/>
    <n v="0.1343"/>
    <n v="1"/>
    <n v="46"/>
    <n v="47"/>
    <x v="1"/>
    <x v="2"/>
    <s v="Non-Holiday"/>
    <s v="Low"/>
    <x v="1"/>
  </r>
  <r>
    <n v="419"/>
    <x v="18"/>
    <n v="1"/>
    <n v="0"/>
    <x v="0"/>
    <x v="11"/>
    <b v="0"/>
    <n v="3"/>
    <n v="2"/>
    <n v="0.28000000000000003"/>
    <n v="0.30299999999999999"/>
    <n v="0.87"/>
    <n v="8.9599999999999999E-2"/>
    <n v="5"/>
    <n v="47"/>
    <n v="52"/>
    <x v="1"/>
    <x v="2"/>
    <s v="Non-Holiday"/>
    <s v="Low"/>
    <x v="1"/>
  </r>
  <r>
    <n v="420"/>
    <x v="18"/>
    <n v="1"/>
    <n v="0"/>
    <x v="0"/>
    <x v="12"/>
    <b v="0"/>
    <n v="3"/>
    <n v="2"/>
    <n v="0.3"/>
    <n v="0.31819999999999998"/>
    <n v="0.81"/>
    <n v="8.9599999999999999E-2"/>
    <n v="5"/>
    <n v="65"/>
    <n v="70"/>
    <x v="1"/>
    <x v="2"/>
    <s v="Non-Holiday"/>
    <s v="Low"/>
    <x v="1"/>
  </r>
  <r>
    <n v="421"/>
    <x v="18"/>
    <n v="1"/>
    <n v="0"/>
    <x v="0"/>
    <x v="13"/>
    <b v="0"/>
    <n v="3"/>
    <n v="1"/>
    <n v="0.4"/>
    <n v="0.40910000000000002"/>
    <n v="0.62"/>
    <n v="0.28360000000000002"/>
    <n v="11"/>
    <n v="67"/>
    <n v="78"/>
    <x v="1"/>
    <x v="2"/>
    <s v="Non-Holiday"/>
    <s v="Low"/>
    <x v="0"/>
  </r>
  <r>
    <n v="422"/>
    <x v="18"/>
    <n v="1"/>
    <n v="0"/>
    <x v="0"/>
    <x v="14"/>
    <b v="0"/>
    <n v="3"/>
    <n v="1"/>
    <n v="0.4"/>
    <n v="0.40910000000000002"/>
    <n v="0.57999999999999996"/>
    <n v="0.25369999999999998"/>
    <n v="7"/>
    <n v="68"/>
    <n v="75"/>
    <x v="1"/>
    <x v="2"/>
    <s v="Non-Holiday"/>
    <s v="Low"/>
    <x v="0"/>
  </r>
  <r>
    <n v="423"/>
    <x v="18"/>
    <n v="1"/>
    <n v="0"/>
    <x v="0"/>
    <x v="15"/>
    <b v="0"/>
    <n v="3"/>
    <n v="1"/>
    <n v="0.4"/>
    <n v="0.40910000000000002"/>
    <n v="0.54"/>
    <n v="0.28360000000000002"/>
    <n v="4"/>
    <n v="78"/>
    <n v="82"/>
    <x v="1"/>
    <x v="2"/>
    <s v="Non-Holiday"/>
    <s v="Medium"/>
    <x v="0"/>
  </r>
  <r>
    <n v="424"/>
    <x v="18"/>
    <n v="1"/>
    <n v="0"/>
    <x v="0"/>
    <x v="16"/>
    <b v="0"/>
    <n v="3"/>
    <n v="1"/>
    <n v="0.38"/>
    <n v="0.39389999999999997"/>
    <n v="0.57999999999999996"/>
    <n v="0.3881"/>
    <n v="10"/>
    <n v="94"/>
    <n v="104"/>
    <x v="1"/>
    <x v="2"/>
    <s v="Non-Holiday"/>
    <s v="Medium"/>
    <x v="0"/>
  </r>
  <r>
    <n v="425"/>
    <x v="18"/>
    <n v="1"/>
    <n v="0"/>
    <x v="0"/>
    <x v="17"/>
    <b v="0"/>
    <n v="3"/>
    <n v="1"/>
    <n v="0.36"/>
    <n v="0.33329999999999999"/>
    <n v="0.56999999999999995"/>
    <n v="0.32840000000000003"/>
    <n v="7"/>
    <n v="190"/>
    <n v="197"/>
    <x v="1"/>
    <x v="3"/>
    <s v="Non-Holiday"/>
    <s v="High"/>
    <x v="0"/>
  </r>
  <r>
    <n v="426"/>
    <x v="18"/>
    <n v="1"/>
    <n v="0"/>
    <x v="0"/>
    <x v="18"/>
    <b v="0"/>
    <n v="3"/>
    <n v="1"/>
    <n v="0.34"/>
    <n v="0.31819999999999998"/>
    <n v="0.61"/>
    <n v="0.28360000000000002"/>
    <n v="5"/>
    <n v="156"/>
    <n v="161"/>
    <x v="1"/>
    <x v="3"/>
    <s v="Non-Holiday"/>
    <s v="High"/>
    <x v="0"/>
  </r>
  <r>
    <n v="427"/>
    <x v="18"/>
    <n v="1"/>
    <n v="0"/>
    <x v="0"/>
    <x v="19"/>
    <b v="0"/>
    <n v="3"/>
    <n v="1"/>
    <n v="0.32"/>
    <n v="0.28789999999999999"/>
    <n v="0.56999999999999995"/>
    <n v="0.41789999999999999"/>
    <n v="4"/>
    <n v="108"/>
    <n v="112"/>
    <x v="1"/>
    <x v="3"/>
    <s v="Non-Holiday"/>
    <s v="Medium"/>
    <x v="0"/>
  </r>
  <r>
    <n v="428"/>
    <x v="18"/>
    <n v="1"/>
    <n v="0"/>
    <x v="0"/>
    <x v="20"/>
    <b v="0"/>
    <n v="3"/>
    <n v="1"/>
    <n v="0.32"/>
    <n v="0.30299999999999999"/>
    <n v="0.49"/>
    <n v="0.29849999999999999"/>
    <n v="2"/>
    <n v="74"/>
    <n v="76"/>
    <x v="1"/>
    <x v="3"/>
    <s v="Non-Holiday"/>
    <s v="Low"/>
    <x v="0"/>
  </r>
  <r>
    <n v="429"/>
    <x v="18"/>
    <n v="1"/>
    <n v="0"/>
    <x v="0"/>
    <x v="21"/>
    <b v="0"/>
    <n v="3"/>
    <n v="1"/>
    <n v="0.32"/>
    <n v="0.28789999999999999"/>
    <n v="0.49"/>
    <n v="0.41789999999999999"/>
    <n v="4"/>
    <n v="55"/>
    <n v="59"/>
    <x v="1"/>
    <x v="4"/>
    <s v="Non-Holiday"/>
    <s v="Low"/>
    <x v="0"/>
  </r>
  <r>
    <n v="430"/>
    <x v="18"/>
    <n v="1"/>
    <n v="0"/>
    <x v="0"/>
    <x v="22"/>
    <b v="0"/>
    <n v="3"/>
    <n v="1"/>
    <n v="0.3"/>
    <n v="0.30299999999999999"/>
    <n v="0.52"/>
    <n v="0.16420000000000001"/>
    <n v="6"/>
    <n v="53"/>
    <n v="59"/>
    <x v="1"/>
    <x v="4"/>
    <s v="Non-Holiday"/>
    <s v="Low"/>
    <x v="0"/>
  </r>
  <r>
    <n v="431"/>
    <x v="18"/>
    <n v="1"/>
    <n v="0"/>
    <x v="0"/>
    <x v="23"/>
    <b v="0"/>
    <n v="3"/>
    <n v="1"/>
    <n v="0.3"/>
    <n v="0.2727"/>
    <n v="0.52"/>
    <n v="0.4627"/>
    <n v="1"/>
    <n v="27"/>
    <n v="28"/>
    <x v="1"/>
    <x v="4"/>
    <s v="Non-Holiday"/>
    <s v="Low"/>
    <x v="0"/>
  </r>
  <r>
    <n v="432"/>
    <x v="19"/>
    <n v="1"/>
    <n v="0"/>
    <x v="0"/>
    <x v="0"/>
    <b v="0"/>
    <n v="4"/>
    <n v="1"/>
    <n v="0.26"/>
    <n v="0.2273"/>
    <n v="0.56000000000000005"/>
    <n v="0.3881"/>
    <n v="5"/>
    <n v="8"/>
    <n v="13"/>
    <x v="1"/>
    <x v="0"/>
    <s v="Non-Holiday"/>
    <s v="Low"/>
    <x v="0"/>
  </r>
  <r>
    <n v="433"/>
    <x v="19"/>
    <n v="1"/>
    <n v="0"/>
    <x v="0"/>
    <x v="1"/>
    <b v="0"/>
    <n v="4"/>
    <n v="1"/>
    <n v="0.26"/>
    <n v="0.2727"/>
    <n v="0.56000000000000005"/>
    <n v="0"/>
    <n v="2"/>
    <n v="3"/>
    <n v="5"/>
    <x v="1"/>
    <x v="0"/>
    <s v="Non-Holiday"/>
    <s v="Low"/>
    <x v="0"/>
  </r>
  <r>
    <n v="434"/>
    <x v="19"/>
    <n v="1"/>
    <n v="0"/>
    <x v="0"/>
    <x v="2"/>
    <b v="0"/>
    <n v="4"/>
    <n v="1"/>
    <n v="0.26"/>
    <n v="0.2727"/>
    <n v="0.56000000000000005"/>
    <n v="0"/>
    <n v="0"/>
    <n v="2"/>
    <n v="2"/>
    <x v="1"/>
    <x v="0"/>
    <s v="Non-Holiday"/>
    <s v="Low"/>
    <x v="0"/>
  </r>
  <r>
    <n v="435"/>
    <x v="19"/>
    <n v="1"/>
    <n v="0"/>
    <x v="0"/>
    <x v="3"/>
    <b v="0"/>
    <n v="4"/>
    <n v="1"/>
    <n v="0.26"/>
    <n v="0.2576"/>
    <n v="0.56000000000000005"/>
    <n v="0.16420000000000001"/>
    <n v="0"/>
    <n v="1"/>
    <n v="1"/>
    <x v="1"/>
    <x v="0"/>
    <s v="Non-Holiday"/>
    <s v="Low"/>
    <x v="0"/>
  </r>
  <r>
    <n v="436"/>
    <x v="19"/>
    <n v="1"/>
    <n v="0"/>
    <x v="0"/>
    <x v="4"/>
    <b v="0"/>
    <n v="4"/>
    <n v="1"/>
    <n v="0.26"/>
    <n v="0.2576"/>
    <n v="0.56000000000000005"/>
    <n v="0.16420000000000001"/>
    <n v="0"/>
    <n v="1"/>
    <n v="1"/>
    <x v="1"/>
    <x v="0"/>
    <s v="Non-Holiday"/>
    <s v="Low"/>
    <x v="0"/>
  </r>
  <r>
    <n v="437"/>
    <x v="19"/>
    <n v="1"/>
    <n v="0"/>
    <x v="0"/>
    <x v="5"/>
    <b v="0"/>
    <n v="4"/>
    <n v="1"/>
    <n v="0.24"/>
    <n v="0.2273"/>
    <n v="0.6"/>
    <n v="0.22389999999999999"/>
    <n v="0"/>
    <n v="6"/>
    <n v="6"/>
    <x v="1"/>
    <x v="0"/>
    <s v="Non-Holiday"/>
    <s v="Low"/>
    <x v="0"/>
  </r>
  <r>
    <n v="438"/>
    <x v="19"/>
    <n v="1"/>
    <n v="0"/>
    <x v="0"/>
    <x v="6"/>
    <b v="0"/>
    <n v="4"/>
    <n v="1"/>
    <n v="0.22"/>
    <n v="0.21210000000000001"/>
    <n v="0.6"/>
    <n v="0.22389999999999999"/>
    <n v="0"/>
    <n v="35"/>
    <n v="35"/>
    <x v="1"/>
    <x v="1"/>
    <s v="Non-Holiday"/>
    <s v="Low"/>
    <x v="0"/>
  </r>
  <r>
    <n v="439"/>
    <x v="19"/>
    <n v="1"/>
    <n v="0"/>
    <x v="0"/>
    <x v="7"/>
    <b v="0"/>
    <n v="4"/>
    <n v="1"/>
    <n v="0.22"/>
    <n v="0.21210000000000001"/>
    <n v="0.55000000000000004"/>
    <n v="0.22389999999999999"/>
    <n v="1"/>
    <n v="100"/>
    <n v="101"/>
    <x v="1"/>
    <x v="1"/>
    <s v="Non-Holiday"/>
    <s v="Medium"/>
    <x v="0"/>
  </r>
  <r>
    <n v="440"/>
    <x v="19"/>
    <n v="1"/>
    <n v="0"/>
    <x v="0"/>
    <x v="8"/>
    <b v="0"/>
    <n v="4"/>
    <n v="1"/>
    <n v="0.22"/>
    <n v="0.21210000000000001"/>
    <n v="0.55000000000000004"/>
    <n v="0.28360000000000002"/>
    <n v="2"/>
    <n v="247"/>
    <n v="249"/>
    <x v="1"/>
    <x v="1"/>
    <s v="Non-Holiday"/>
    <s v="High"/>
    <x v="0"/>
  </r>
  <r>
    <n v="441"/>
    <x v="19"/>
    <n v="1"/>
    <n v="0"/>
    <x v="0"/>
    <x v="9"/>
    <b v="0"/>
    <n v="4"/>
    <n v="2"/>
    <n v="0.24"/>
    <n v="0.2273"/>
    <n v="0.52"/>
    <n v="0.22389999999999999"/>
    <n v="3"/>
    <n v="140"/>
    <n v="143"/>
    <x v="1"/>
    <x v="1"/>
    <s v="Non-Holiday"/>
    <s v="Medium"/>
    <x v="1"/>
  </r>
  <r>
    <n v="442"/>
    <x v="19"/>
    <n v="1"/>
    <n v="0"/>
    <x v="0"/>
    <x v="10"/>
    <b v="0"/>
    <n v="4"/>
    <n v="1"/>
    <n v="0.26"/>
    <n v="0.2273"/>
    <n v="0.48"/>
    <n v="0.29849999999999999"/>
    <n v="1"/>
    <n v="56"/>
    <n v="57"/>
    <x v="1"/>
    <x v="2"/>
    <s v="Non-Holiday"/>
    <s v="Low"/>
    <x v="0"/>
  </r>
  <r>
    <n v="443"/>
    <x v="19"/>
    <n v="1"/>
    <n v="0"/>
    <x v="0"/>
    <x v="11"/>
    <b v="0"/>
    <n v="4"/>
    <n v="2"/>
    <n v="0.28000000000000003"/>
    <n v="0.2727"/>
    <n v="0.45"/>
    <n v="0.16420000000000001"/>
    <n v="5"/>
    <n v="63"/>
    <n v="68"/>
    <x v="1"/>
    <x v="2"/>
    <s v="Non-Holiday"/>
    <s v="Low"/>
    <x v="1"/>
  </r>
  <r>
    <n v="444"/>
    <x v="19"/>
    <n v="1"/>
    <n v="0"/>
    <x v="0"/>
    <x v="12"/>
    <b v="0"/>
    <n v="4"/>
    <n v="2"/>
    <n v="0.3"/>
    <n v="0.33329999999999999"/>
    <n v="0.42"/>
    <n v="0"/>
    <n v="7"/>
    <n v="77"/>
    <n v="84"/>
    <x v="1"/>
    <x v="2"/>
    <s v="Non-Holiday"/>
    <s v="Medium"/>
    <x v="1"/>
  </r>
  <r>
    <n v="445"/>
    <x v="19"/>
    <n v="1"/>
    <n v="0"/>
    <x v="0"/>
    <x v="13"/>
    <b v="0"/>
    <n v="4"/>
    <n v="2"/>
    <n v="0.28000000000000003"/>
    <n v="0.28789999999999999"/>
    <n v="0.45"/>
    <n v="0.1045"/>
    <n v="12"/>
    <n v="86"/>
    <n v="98"/>
    <x v="1"/>
    <x v="2"/>
    <s v="Non-Holiday"/>
    <s v="Medium"/>
    <x v="1"/>
  </r>
  <r>
    <n v="446"/>
    <x v="19"/>
    <n v="1"/>
    <n v="0"/>
    <x v="0"/>
    <x v="14"/>
    <b v="0"/>
    <n v="4"/>
    <n v="2"/>
    <n v="0.3"/>
    <n v="0.30299999999999999"/>
    <n v="0.45"/>
    <n v="0.1343"/>
    <n v="6"/>
    <n v="75"/>
    <n v="81"/>
    <x v="1"/>
    <x v="2"/>
    <s v="Non-Holiday"/>
    <s v="Medium"/>
    <x v="1"/>
  </r>
  <r>
    <n v="447"/>
    <x v="19"/>
    <n v="1"/>
    <n v="0"/>
    <x v="0"/>
    <x v="15"/>
    <b v="0"/>
    <n v="4"/>
    <n v="2"/>
    <n v="0.32"/>
    <n v="0.31819999999999998"/>
    <n v="0.45"/>
    <n v="0.19400000000000001"/>
    <n v="8"/>
    <n v="62"/>
    <n v="70"/>
    <x v="1"/>
    <x v="2"/>
    <s v="Non-Holiday"/>
    <s v="Low"/>
    <x v="1"/>
  </r>
  <r>
    <n v="448"/>
    <x v="19"/>
    <n v="1"/>
    <n v="0"/>
    <x v="0"/>
    <x v="16"/>
    <b v="0"/>
    <n v="4"/>
    <n v="2"/>
    <n v="0.3"/>
    <n v="0.30299999999999999"/>
    <n v="0.49"/>
    <n v="0.1343"/>
    <n v="8"/>
    <n v="83"/>
    <n v="91"/>
    <x v="1"/>
    <x v="2"/>
    <s v="Non-Holiday"/>
    <s v="Medium"/>
    <x v="1"/>
  </r>
  <r>
    <n v="449"/>
    <x v="19"/>
    <n v="1"/>
    <n v="0"/>
    <x v="0"/>
    <x v="17"/>
    <b v="0"/>
    <n v="4"/>
    <n v="2"/>
    <n v="0.3"/>
    <n v="0.31819999999999998"/>
    <n v="0.49"/>
    <n v="0.1045"/>
    <n v="8"/>
    <n v="207"/>
    <n v="215"/>
    <x v="1"/>
    <x v="3"/>
    <s v="Non-Holiday"/>
    <s v="High"/>
    <x v="1"/>
  </r>
  <r>
    <n v="450"/>
    <x v="19"/>
    <n v="1"/>
    <n v="0"/>
    <x v="0"/>
    <x v="18"/>
    <b v="0"/>
    <n v="4"/>
    <n v="2"/>
    <n v="0.26"/>
    <n v="0.2576"/>
    <n v="0.56000000000000005"/>
    <n v="0.19400000000000001"/>
    <n v="1"/>
    <n v="184"/>
    <n v="185"/>
    <x v="1"/>
    <x v="3"/>
    <s v="Non-Holiday"/>
    <s v="High"/>
    <x v="1"/>
  </r>
  <r>
    <n v="451"/>
    <x v="19"/>
    <n v="1"/>
    <n v="0"/>
    <x v="0"/>
    <x v="19"/>
    <b v="0"/>
    <n v="4"/>
    <n v="1"/>
    <n v="0.26"/>
    <n v="0.2273"/>
    <n v="0.56000000000000005"/>
    <n v="0.32840000000000003"/>
    <n v="6"/>
    <n v="146"/>
    <n v="152"/>
    <x v="1"/>
    <x v="3"/>
    <s v="Non-Holiday"/>
    <s v="Medium"/>
    <x v="0"/>
  </r>
  <r>
    <n v="452"/>
    <x v="19"/>
    <n v="1"/>
    <n v="0"/>
    <x v="0"/>
    <x v="20"/>
    <b v="0"/>
    <n v="4"/>
    <n v="2"/>
    <n v="0.26"/>
    <n v="0.2424"/>
    <n v="0.6"/>
    <n v="0.28360000000000002"/>
    <n v="2"/>
    <n v="124"/>
    <n v="126"/>
    <x v="1"/>
    <x v="3"/>
    <s v="Non-Holiday"/>
    <s v="Medium"/>
    <x v="1"/>
  </r>
  <r>
    <n v="453"/>
    <x v="19"/>
    <n v="1"/>
    <n v="0"/>
    <x v="0"/>
    <x v="21"/>
    <b v="0"/>
    <n v="4"/>
    <n v="2"/>
    <n v="0.24"/>
    <n v="0.2273"/>
    <n v="0.6"/>
    <n v="0.25369999999999998"/>
    <n v="3"/>
    <n v="54"/>
    <n v="57"/>
    <x v="1"/>
    <x v="4"/>
    <s v="Non-Holiday"/>
    <s v="Low"/>
    <x v="1"/>
  </r>
  <r>
    <n v="454"/>
    <x v="19"/>
    <n v="1"/>
    <n v="0"/>
    <x v="0"/>
    <x v="22"/>
    <b v="0"/>
    <n v="4"/>
    <n v="2"/>
    <n v="0.24"/>
    <n v="0.21210000000000001"/>
    <n v="0.65"/>
    <n v="0.28360000000000002"/>
    <n v="0"/>
    <n v="56"/>
    <n v="56"/>
    <x v="1"/>
    <x v="4"/>
    <s v="Non-Holiday"/>
    <s v="Low"/>
    <x v="1"/>
  </r>
  <r>
    <n v="455"/>
    <x v="19"/>
    <n v="1"/>
    <n v="0"/>
    <x v="0"/>
    <x v="23"/>
    <b v="0"/>
    <n v="4"/>
    <n v="2"/>
    <n v="0.24"/>
    <n v="0.21210000000000001"/>
    <n v="0.65"/>
    <n v="0.32840000000000003"/>
    <n v="3"/>
    <n v="28"/>
    <n v="31"/>
    <x v="1"/>
    <x v="4"/>
    <s v="Non-Holiday"/>
    <s v="Low"/>
    <x v="1"/>
  </r>
  <r>
    <n v="456"/>
    <x v="20"/>
    <n v="1"/>
    <n v="0"/>
    <x v="0"/>
    <x v="0"/>
    <b v="0"/>
    <n v="5"/>
    <n v="2"/>
    <n v="0.24"/>
    <n v="0.2273"/>
    <n v="0.7"/>
    <n v="0.25369999999999998"/>
    <n v="1"/>
    <n v="20"/>
    <n v="21"/>
    <x v="1"/>
    <x v="0"/>
    <s v="Non-Holiday"/>
    <s v="Low"/>
    <x v="1"/>
  </r>
  <r>
    <n v="457"/>
    <x v="20"/>
    <n v="1"/>
    <n v="0"/>
    <x v="0"/>
    <x v="1"/>
    <b v="0"/>
    <n v="5"/>
    <n v="2"/>
    <n v="0.24"/>
    <n v="0.2273"/>
    <n v="0.7"/>
    <n v="0.25369999999999998"/>
    <n v="0"/>
    <n v="6"/>
    <n v="6"/>
    <x v="1"/>
    <x v="0"/>
    <s v="Non-Holiday"/>
    <s v="Low"/>
    <x v="1"/>
  </r>
  <r>
    <n v="458"/>
    <x v="20"/>
    <n v="1"/>
    <n v="0"/>
    <x v="0"/>
    <x v="2"/>
    <b v="0"/>
    <n v="5"/>
    <n v="3"/>
    <n v="0.24"/>
    <n v="0.2424"/>
    <n v="0.75"/>
    <n v="0.16420000000000001"/>
    <n v="0"/>
    <n v="2"/>
    <n v="2"/>
    <x v="1"/>
    <x v="0"/>
    <s v="Non-Holiday"/>
    <s v="Low"/>
    <x v="2"/>
  </r>
  <r>
    <n v="459"/>
    <x v="20"/>
    <n v="1"/>
    <n v="0"/>
    <x v="0"/>
    <x v="3"/>
    <b v="0"/>
    <n v="5"/>
    <n v="3"/>
    <n v="0.22"/>
    <n v="0.21210000000000001"/>
    <n v="0.8"/>
    <n v="0.29849999999999999"/>
    <n v="0"/>
    <n v="1"/>
    <n v="1"/>
    <x v="1"/>
    <x v="0"/>
    <s v="Non-Holiday"/>
    <s v="Low"/>
    <x v="2"/>
  </r>
  <r>
    <n v="460"/>
    <x v="20"/>
    <n v="1"/>
    <n v="0"/>
    <x v="0"/>
    <x v="4"/>
    <b v="0"/>
    <n v="5"/>
    <n v="2"/>
    <n v="0.22"/>
    <n v="0.2576"/>
    <n v="0.87"/>
    <n v="8.9599999999999999E-2"/>
    <n v="0"/>
    <n v="1"/>
    <n v="1"/>
    <x v="1"/>
    <x v="0"/>
    <s v="Non-Holiday"/>
    <s v="Low"/>
    <x v="1"/>
  </r>
  <r>
    <n v="461"/>
    <x v="20"/>
    <n v="1"/>
    <n v="0"/>
    <x v="0"/>
    <x v="5"/>
    <b v="0"/>
    <n v="5"/>
    <n v="1"/>
    <n v="0.24"/>
    <n v="0.19700000000000001"/>
    <n v="0.6"/>
    <n v="0.41789999999999999"/>
    <n v="1"/>
    <n v="4"/>
    <n v="5"/>
    <x v="1"/>
    <x v="0"/>
    <s v="Non-Holiday"/>
    <s v="Low"/>
    <x v="0"/>
  </r>
  <r>
    <n v="462"/>
    <x v="20"/>
    <n v="1"/>
    <n v="0"/>
    <x v="0"/>
    <x v="6"/>
    <b v="0"/>
    <n v="5"/>
    <n v="1"/>
    <n v="0.22"/>
    <n v="0.21210000000000001"/>
    <n v="0.55000000000000004"/>
    <n v="0.25369999999999998"/>
    <n v="0"/>
    <n v="27"/>
    <n v="27"/>
    <x v="1"/>
    <x v="1"/>
    <s v="Non-Holiday"/>
    <s v="Low"/>
    <x v="0"/>
  </r>
  <r>
    <n v="463"/>
    <x v="20"/>
    <n v="1"/>
    <n v="0"/>
    <x v="0"/>
    <x v="7"/>
    <b v="0"/>
    <n v="5"/>
    <n v="1"/>
    <n v="0.2"/>
    <n v="0.18179999999999999"/>
    <n v="0.51"/>
    <n v="0.28360000000000002"/>
    <n v="2"/>
    <n v="66"/>
    <n v="68"/>
    <x v="1"/>
    <x v="1"/>
    <s v="Non-Holiday"/>
    <s v="Low"/>
    <x v="0"/>
  </r>
  <r>
    <n v="464"/>
    <x v="20"/>
    <n v="1"/>
    <n v="0"/>
    <x v="0"/>
    <x v="8"/>
    <b v="0"/>
    <n v="5"/>
    <n v="1"/>
    <n v="0.2"/>
    <n v="0.18179999999999999"/>
    <n v="0.47"/>
    <n v="0.32840000000000003"/>
    <n v="7"/>
    <n v="210"/>
    <n v="217"/>
    <x v="1"/>
    <x v="1"/>
    <s v="Non-Holiday"/>
    <s v="High"/>
    <x v="0"/>
  </r>
  <r>
    <n v="465"/>
    <x v="20"/>
    <n v="1"/>
    <n v="0"/>
    <x v="0"/>
    <x v="9"/>
    <b v="0"/>
    <n v="5"/>
    <n v="1"/>
    <n v="0.2"/>
    <n v="0.18179999999999999"/>
    <n v="0.51"/>
    <n v="0.35820000000000002"/>
    <n v="7"/>
    <n v="159"/>
    <n v="166"/>
    <x v="1"/>
    <x v="1"/>
    <s v="Non-Holiday"/>
    <s v="High"/>
    <x v="0"/>
  </r>
  <r>
    <n v="466"/>
    <x v="20"/>
    <n v="1"/>
    <n v="0"/>
    <x v="0"/>
    <x v="10"/>
    <b v="0"/>
    <n v="5"/>
    <n v="1"/>
    <n v="0.2"/>
    <n v="0.16669999999999999"/>
    <n v="0.47"/>
    <n v="0.4627"/>
    <n v="6"/>
    <n v="57"/>
    <n v="63"/>
    <x v="1"/>
    <x v="2"/>
    <s v="Non-Holiday"/>
    <s v="Low"/>
    <x v="0"/>
  </r>
  <r>
    <n v="467"/>
    <x v="20"/>
    <n v="1"/>
    <n v="0"/>
    <x v="0"/>
    <x v="11"/>
    <b v="0"/>
    <n v="5"/>
    <n v="1"/>
    <n v="0.22"/>
    <n v="0.18179999999999999"/>
    <n v="0.41"/>
    <n v="0.4627"/>
    <n v="6"/>
    <n v="53"/>
    <n v="59"/>
    <x v="1"/>
    <x v="2"/>
    <s v="Non-Holiday"/>
    <s v="Low"/>
    <x v="0"/>
  </r>
  <r>
    <n v="468"/>
    <x v="20"/>
    <n v="1"/>
    <n v="0"/>
    <x v="0"/>
    <x v="12"/>
    <b v="0"/>
    <n v="5"/>
    <n v="1"/>
    <n v="0.22"/>
    <n v="0.18179999999999999"/>
    <n v="0.27"/>
    <n v="0.58209999999999995"/>
    <n v="11"/>
    <n v="67"/>
    <n v="78"/>
    <x v="1"/>
    <x v="2"/>
    <s v="Non-Holiday"/>
    <s v="Low"/>
    <x v="0"/>
  </r>
  <r>
    <n v="469"/>
    <x v="20"/>
    <n v="1"/>
    <n v="0"/>
    <x v="0"/>
    <x v="13"/>
    <b v="0"/>
    <n v="5"/>
    <n v="1"/>
    <n v="0.2"/>
    <n v="0.1515"/>
    <n v="0.21"/>
    <n v="0.58209999999999995"/>
    <n v="8"/>
    <n v="65"/>
    <n v="73"/>
    <x v="1"/>
    <x v="2"/>
    <s v="Non-Holiday"/>
    <s v="Low"/>
    <x v="0"/>
  </r>
  <r>
    <n v="470"/>
    <x v="20"/>
    <n v="1"/>
    <n v="0"/>
    <x v="0"/>
    <x v="14"/>
    <b v="0"/>
    <n v="5"/>
    <n v="1"/>
    <n v="0.2"/>
    <n v="0.1515"/>
    <n v="0.25"/>
    <n v="0.52239999999999998"/>
    <n v="6"/>
    <n v="56"/>
    <n v="62"/>
    <x v="1"/>
    <x v="2"/>
    <s v="Non-Holiday"/>
    <s v="Low"/>
    <x v="0"/>
  </r>
  <r>
    <n v="471"/>
    <x v="20"/>
    <n v="1"/>
    <n v="0"/>
    <x v="0"/>
    <x v="15"/>
    <b v="0"/>
    <n v="5"/>
    <n v="1"/>
    <n v="0.16"/>
    <n v="0.1212"/>
    <n v="0.26"/>
    <n v="0.44779999999999998"/>
    <n v="4"/>
    <n v="61"/>
    <n v="65"/>
    <x v="1"/>
    <x v="2"/>
    <s v="Non-Holiday"/>
    <s v="Low"/>
    <x v="0"/>
  </r>
  <r>
    <n v="472"/>
    <x v="20"/>
    <n v="1"/>
    <n v="0"/>
    <x v="0"/>
    <x v="16"/>
    <b v="0"/>
    <n v="5"/>
    <n v="1"/>
    <n v="0.16"/>
    <n v="0.13639999999999999"/>
    <n v="0.26"/>
    <n v="0.35820000000000002"/>
    <n v="0"/>
    <n v="97"/>
    <n v="97"/>
    <x v="1"/>
    <x v="2"/>
    <s v="Non-Holiday"/>
    <s v="Medium"/>
    <x v="0"/>
  </r>
  <r>
    <n v="473"/>
    <x v="20"/>
    <n v="1"/>
    <n v="0"/>
    <x v="0"/>
    <x v="17"/>
    <b v="0"/>
    <n v="5"/>
    <n v="1"/>
    <n v="0.14000000000000001"/>
    <n v="0.1212"/>
    <n v="0.28000000000000003"/>
    <n v="0.35820000000000002"/>
    <n v="10"/>
    <n v="151"/>
    <n v="161"/>
    <x v="1"/>
    <x v="3"/>
    <s v="Non-Holiday"/>
    <s v="High"/>
    <x v="0"/>
  </r>
  <r>
    <n v="474"/>
    <x v="20"/>
    <n v="1"/>
    <n v="0"/>
    <x v="0"/>
    <x v="18"/>
    <b v="0"/>
    <n v="5"/>
    <n v="1"/>
    <n v="0.12"/>
    <n v="0.1212"/>
    <n v="0.3"/>
    <n v="0.25369999999999998"/>
    <n v="1"/>
    <n v="119"/>
    <n v="120"/>
    <x v="1"/>
    <x v="3"/>
    <s v="Non-Holiday"/>
    <s v="Medium"/>
    <x v="0"/>
  </r>
  <r>
    <n v="475"/>
    <x v="20"/>
    <n v="1"/>
    <n v="0"/>
    <x v="0"/>
    <x v="19"/>
    <b v="0"/>
    <n v="5"/>
    <n v="1"/>
    <n v="0.12"/>
    <n v="0.1061"/>
    <n v="0.3"/>
    <n v="0.32840000000000003"/>
    <n v="3"/>
    <n v="93"/>
    <n v="96"/>
    <x v="1"/>
    <x v="3"/>
    <s v="Non-Holiday"/>
    <s v="Medium"/>
    <x v="0"/>
  </r>
  <r>
    <n v="476"/>
    <x v="20"/>
    <n v="1"/>
    <n v="0"/>
    <x v="0"/>
    <x v="20"/>
    <b v="0"/>
    <n v="5"/>
    <n v="1"/>
    <n v="0.1"/>
    <n v="7.5800000000000006E-2"/>
    <n v="0.33"/>
    <n v="0.41789999999999999"/>
    <n v="1"/>
    <n v="52"/>
    <n v="53"/>
    <x v="1"/>
    <x v="3"/>
    <s v="Non-Holiday"/>
    <s v="Low"/>
    <x v="0"/>
  </r>
  <r>
    <n v="477"/>
    <x v="20"/>
    <n v="1"/>
    <n v="0"/>
    <x v="0"/>
    <x v="21"/>
    <b v="0"/>
    <n v="5"/>
    <n v="1"/>
    <n v="0.08"/>
    <n v="7.5800000000000006E-2"/>
    <n v="0.38"/>
    <n v="0.28360000000000002"/>
    <n v="0"/>
    <n v="41"/>
    <n v="41"/>
    <x v="1"/>
    <x v="4"/>
    <s v="Non-Holiday"/>
    <s v="Low"/>
    <x v="0"/>
  </r>
  <r>
    <n v="478"/>
    <x v="20"/>
    <n v="1"/>
    <n v="0"/>
    <x v="0"/>
    <x v="22"/>
    <b v="0"/>
    <n v="5"/>
    <n v="1"/>
    <n v="0.06"/>
    <n v="3.0300000000000001E-2"/>
    <n v="0.41"/>
    <n v="0.3881"/>
    <n v="1"/>
    <n v="33"/>
    <n v="34"/>
    <x v="1"/>
    <x v="4"/>
    <s v="Non-Holiday"/>
    <s v="Low"/>
    <x v="0"/>
  </r>
  <r>
    <n v="479"/>
    <x v="20"/>
    <n v="1"/>
    <n v="0"/>
    <x v="0"/>
    <x v="23"/>
    <b v="0"/>
    <n v="5"/>
    <n v="1"/>
    <n v="0.06"/>
    <n v="4.5499999999999999E-2"/>
    <n v="0.38"/>
    <n v="0.32840000000000003"/>
    <n v="0"/>
    <n v="27"/>
    <n v="27"/>
    <x v="1"/>
    <x v="4"/>
    <s v="Non-Holiday"/>
    <s v="Low"/>
    <x v="0"/>
  </r>
  <r>
    <n v="480"/>
    <x v="21"/>
    <n v="1"/>
    <n v="0"/>
    <x v="0"/>
    <x v="0"/>
    <b v="0"/>
    <n v="6"/>
    <n v="1"/>
    <n v="0.04"/>
    <n v="3.0300000000000001E-2"/>
    <n v="0.45"/>
    <n v="0.25369999999999998"/>
    <n v="0"/>
    <n v="13"/>
    <n v="13"/>
    <x v="0"/>
    <x v="0"/>
    <s v="Non-Holiday"/>
    <s v="Low"/>
    <x v="0"/>
  </r>
  <r>
    <n v="481"/>
    <x v="21"/>
    <n v="1"/>
    <n v="0"/>
    <x v="0"/>
    <x v="1"/>
    <b v="0"/>
    <n v="6"/>
    <n v="2"/>
    <n v="0.04"/>
    <n v="0"/>
    <n v="0.41"/>
    <n v="0.3881"/>
    <n v="3"/>
    <n v="9"/>
    <n v="12"/>
    <x v="0"/>
    <x v="0"/>
    <s v="Non-Holiday"/>
    <s v="Low"/>
    <x v="1"/>
  </r>
  <r>
    <n v="482"/>
    <x v="21"/>
    <n v="1"/>
    <n v="0"/>
    <x v="0"/>
    <x v="2"/>
    <b v="0"/>
    <n v="6"/>
    <n v="2"/>
    <n v="0.04"/>
    <n v="3.0300000000000001E-2"/>
    <n v="0.41"/>
    <n v="0.25369999999999998"/>
    <n v="0"/>
    <n v="11"/>
    <n v="11"/>
    <x v="0"/>
    <x v="0"/>
    <s v="Non-Holiday"/>
    <s v="Low"/>
    <x v="1"/>
  </r>
  <r>
    <n v="483"/>
    <x v="21"/>
    <n v="1"/>
    <n v="0"/>
    <x v="0"/>
    <x v="3"/>
    <b v="0"/>
    <n v="6"/>
    <n v="2"/>
    <n v="0.04"/>
    <n v="3.0300000000000001E-2"/>
    <n v="0.41"/>
    <n v="0.28360000000000002"/>
    <n v="1"/>
    <n v="6"/>
    <n v="7"/>
    <x v="0"/>
    <x v="0"/>
    <s v="Non-Holiday"/>
    <s v="Low"/>
    <x v="1"/>
  </r>
  <r>
    <n v="484"/>
    <x v="21"/>
    <n v="1"/>
    <n v="0"/>
    <x v="0"/>
    <x v="4"/>
    <b v="0"/>
    <n v="6"/>
    <n v="2"/>
    <n v="0.02"/>
    <n v="1.52E-2"/>
    <n v="0.48"/>
    <n v="0.29849999999999999"/>
    <n v="0"/>
    <n v="3"/>
    <n v="3"/>
    <x v="0"/>
    <x v="0"/>
    <s v="Non-Holiday"/>
    <s v="Low"/>
    <x v="1"/>
  </r>
  <r>
    <n v="485"/>
    <x v="21"/>
    <n v="1"/>
    <n v="0"/>
    <x v="0"/>
    <x v="6"/>
    <b v="0"/>
    <n v="6"/>
    <n v="2"/>
    <n v="0.02"/>
    <n v="3.0300000000000001E-2"/>
    <n v="0.44"/>
    <n v="0.22389999999999999"/>
    <n v="0"/>
    <n v="2"/>
    <n v="2"/>
    <x v="0"/>
    <x v="1"/>
    <s v="Non-Holiday"/>
    <s v="Low"/>
    <x v="1"/>
  </r>
  <r>
    <n v="486"/>
    <x v="21"/>
    <n v="1"/>
    <n v="0"/>
    <x v="0"/>
    <x v="7"/>
    <b v="0"/>
    <n v="6"/>
    <n v="1"/>
    <n v="0.02"/>
    <n v="1.52E-2"/>
    <n v="0.44"/>
    <n v="0.28360000000000002"/>
    <n v="0"/>
    <n v="8"/>
    <n v="8"/>
    <x v="0"/>
    <x v="1"/>
    <s v="Non-Holiday"/>
    <s v="Low"/>
    <x v="0"/>
  </r>
  <r>
    <n v="487"/>
    <x v="21"/>
    <n v="1"/>
    <n v="0"/>
    <x v="0"/>
    <x v="8"/>
    <b v="0"/>
    <n v="6"/>
    <n v="1"/>
    <n v="0.02"/>
    <n v="0"/>
    <n v="0.44"/>
    <n v="0.32840000000000003"/>
    <n v="1"/>
    <n v="26"/>
    <n v="27"/>
    <x v="0"/>
    <x v="1"/>
    <s v="Non-Holiday"/>
    <s v="Low"/>
    <x v="0"/>
  </r>
  <r>
    <n v="488"/>
    <x v="21"/>
    <n v="1"/>
    <n v="0"/>
    <x v="0"/>
    <x v="9"/>
    <b v="0"/>
    <n v="6"/>
    <n v="1"/>
    <n v="0.04"/>
    <n v="3.0300000000000001E-2"/>
    <n v="0.41"/>
    <n v="0.25369999999999998"/>
    <n v="3"/>
    <n v="37"/>
    <n v="40"/>
    <x v="0"/>
    <x v="1"/>
    <s v="Non-Holiday"/>
    <s v="Low"/>
    <x v="0"/>
  </r>
  <r>
    <n v="489"/>
    <x v="21"/>
    <n v="1"/>
    <n v="0"/>
    <x v="0"/>
    <x v="10"/>
    <b v="0"/>
    <n v="6"/>
    <n v="2"/>
    <n v="0.04"/>
    <n v="6.0600000000000001E-2"/>
    <n v="0.41"/>
    <n v="0.16420000000000001"/>
    <n v="3"/>
    <n v="50"/>
    <n v="53"/>
    <x v="0"/>
    <x v="2"/>
    <s v="Non-Holiday"/>
    <s v="Low"/>
    <x v="1"/>
  </r>
  <r>
    <n v="490"/>
    <x v="21"/>
    <n v="1"/>
    <n v="0"/>
    <x v="0"/>
    <x v="11"/>
    <b v="0"/>
    <n v="6"/>
    <n v="2"/>
    <n v="0.06"/>
    <n v="7.5800000000000006E-2"/>
    <n v="0.38"/>
    <n v="0.1343"/>
    <n v="4"/>
    <n v="59"/>
    <n v="63"/>
    <x v="0"/>
    <x v="2"/>
    <s v="Non-Holiday"/>
    <s v="Low"/>
    <x v="1"/>
  </r>
  <r>
    <n v="491"/>
    <x v="21"/>
    <n v="1"/>
    <n v="0"/>
    <x v="0"/>
    <x v="12"/>
    <b v="0"/>
    <n v="6"/>
    <n v="2"/>
    <n v="0.06"/>
    <n v="0.1061"/>
    <n v="0.38"/>
    <n v="0.1045"/>
    <n v="10"/>
    <n v="60"/>
    <n v="70"/>
    <x v="0"/>
    <x v="2"/>
    <s v="Non-Holiday"/>
    <s v="Low"/>
    <x v="1"/>
  </r>
  <r>
    <n v="492"/>
    <x v="21"/>
    <n v="1"/>
    <n v="0"/>
    <x v="0"/>
    <x v="13"/>
    <b v="0"/>
    <n v="6"/>
    <n v="1"/>
    <n v="0.08"/>
    <n v="0.16669999999999999"/>
    <n v="0.35"/>
    <n v="0"/>
    <n v="12"/>
    <n v="72"/>
    <n v="84"/>
    <x v="0"/>
    <x v="2"/>
    <s v="Non-Holiday"/>
    <s v="Medium"/>
    <x v="0"/>
  </r>
  <r>
    <n v="493"/>
    <x v="21"/>
    <n v="1"/>
    <n v="0"/>
    <x v="0"/>
    <x v="14"/>
    <b v="0"/>
    <n v="6"/>
    <n v="1"/>
    <n v="0.1"/>
    <n v="0.13639999999999999"/>
    <n v="0.33"/>
    <n v="0.1045"/>
    <n v="11"/>
    <n v="64"/>
    <n v="75"/>
    <x v="0"/>
    <x v="2"/>
    <s v="Non-Holiday"/>
    <s v="Low"/>
    <x v="0"/>
  </r>
  <r>
    <n v="494"/>
    <x v="21"/>
    <n v="1"/>
    <n v="0"/>
    <x v="0"/>
    <x v="15"/>
    <b v="0"/>
    <n v="6"/>
    <n v="1"/>
    <n v="0.12"/>
    <n v="0.1515"/>
    <n v="0.28000000000000003"/>
    <n v="0"/>
    <n v="10"/>
    <n v="93"/>
    <n v="103"/>
    <x v="0"/>
    <x v="2"/>
    <s v="Non-Holiday"/>
    <s v="Medium"/>
    <x v="0"/>
  </r>
  <r>
    <n v="495"/>
    <x v="21"/>
    <n v="1"/>
    <n v="0"/>
    <x v="0"/>
    <x v="16"/>
    <b v="0"/>
    <n v="6"/>
    <n v="1"/>
    <n v="0.12"/>
    <n v="0.13639999999999999"/>
    <n v="0.28000000000000003"/>
    <n v="0.19400000000000001"/>
    <n v="11"/>
    <n v="72"/>
    <n v="83"/>
    <x v="0"/>
    <x v="2"/>
    <s v="Non-Holiday"/>
    <s v="Medium"/>
    <x v="0"/>
  </r>
  <r>
    <n v="496"/>
    <x v="21"/>
    <n v="1"/>
    <n v="0"/>
    <x v="0"/>
    <x v="17"/>
    <b v="0"/>
    <n v="6"/>
    <n v="1"/>
    <n v="0.12"/>
    <n v="0.19700000000000001"/>
    <n v="0.28000000000000003"/>
    <n v="0"/>
    <n v="8"/>
    <n v="59"/>
    <n v="67"/>
    <x v="0"/>
    <x v="3"/>
    <s v="Non-Holiday"/>
    <s v="Low"/>
    <x v="0"/>
  </r>
  <r>
    <n v="497"/>
    <x v="21"/>
    <n v="1"/>
    <n v="0"/>
    <x v="0"/>
    <x v="18"/>
    <b v="0"/>
    <n v="6"/>
    <n v="1"/>
    <n v="0.08"/>
    <n v="9.0899999999999995E-2"/>
    <n v="0.35"/>
    <n v="0.19400000000000001"/>
    <n v="0"/>
    <n v="54"/>
    <n v="54"/>
    <x v="0"/>
    <x v="3"/>
    <s v="Non-Holiday"/>
    <s v="Low"/>
    <x v="0"/>
  </r>
  <r>
    <n v="498"/>
    <x v="21"/>
    <n v="1"/>
    <n v="0"/>
    <x v="0"/>
    <x v="19"/>
    <b v="0"/>
    <n v="6"/>
    <n v="1"/>
    <n v="0.08"/>
    <n v="0.1061"/>
    <n v="0.35"/>
    <n v="0.1343"/>
    <n v="6"/>
    <n v="53"/>
    <n v="59"/>
    <x v="0"/>
    <x v="3"/>
    <s v="Non-Holiday"/>
    <s v="Low"/>
    <x v="0"/>
  </r>
  <r>
    <n v="499"/>
    <x v="21"/>
    <n v="1"/>
    <n v="0"/>
    <x v="0"/>
    <x v="20"/>
    <b v="0"/>
    <n v="6"/>
    <n v="1"/>
    <n v="0.06"/>
    <n v="7.5800000000000006E-2"/>
    <n v="0.45"/>
    <n v="0.16420000000000001"/>
    <n v="1"/>
    <n v="44"/>
    <n v="45"/>
    <x v="0"/>
    <x v="3"/>
    <s v="Non-Holiday"/>
    <s v="Low"/>
    <x v="0"/>
  </r>
  <r>
    <n v="500"/>
    <x v="21"/>
    <n v="1"/>
    <n v="0"/>
    <x v="0"/>
    <x v="21"/>
    <b v="0"/>
    <n v="6"/>
    <n v="1"/>
    <n v="0.06"/>
    <n v="0.1061"/>
    <n v="0.41"/>
    <n v="8.9599999999999999E-2"/>
    <n v="0"/>
    <n v="39"/>
    <n v="39"/>
    <x v="0"/>
    <x v="4"/>
    <s v="Non-Holiday"/>
    <s v="Low"/>
    <x v="0"/>
  </r>
  <r>
    <n v="501"/>
    <x v="21"/>
    <n v="1"/>
    <n v="0"/>
    <x v="0"/>
    <x v="22"/>
    <b v="0"/>
    <n v="6"/>
    <n v="1"/>
    <n v="0.06"/>
    <n v="0.1515"/>
    <n v="0.49"/>
    <n v="0"/>
    <n v="7"/>
    <n v="23"/>
    <n v="30"/>
    <x v="0"/>
    <x v="4"/>
    <s v="Non-Holiday"/>
    <s v="Low"/>
    <x v="0"/>
  </r>
  <r>
    <n v="502"/>
    <x v="21"/>
    <n v="1"/>
    <n v="0"/>
    <x v="0"/>
    <x v="23"/>
    <b v="0"/>
    <n v="6"/>
    <n v="1"/>
    <n v="0.04"/>
    <n v="7.5800000000000006E-2"/>
    <n v="0.56999999999999995"/>
    <n v="0.1045"/>
    <n v="2"/>
    <n v="31"/>
    <n v="33"/>
    <x v="0"/>
    <x v="4"/>
    <s v="Non-Holiday"/>
    <s v="Low"/>
    <x v="0"/>
  </r>
  <r>
    <n v="503"/>
    <x v="22"/>
    <n v="1"/>
    <n v="0"/>
    <x v="0"/>
    <x v="0"/>
    <b v="0"/>
    <n v="0"/>
    <n v="1"/>
    <n v="0.04"/>
    <n v="7.5800000000000006E-2"/>
    <n v="0.56999999999999995"/>
    <n v="0.1045"/>
    <n v="2"/>
    <n v="20"/>
    <n v="22"/>
    <x v="0"/>
    <x v="0"/>
    <s v="Non-Holiday"/>
    <s v="Low"/>
    <x v="0"/>
  </r>
  <r>
    <n v="504"/>
    <x v="22"/>
    <n v="1"/>
    <n v="0"/>
    <x v="0"/>
    <x v="1"/>
    <b v="0"/>
    <n v="0"/>
    <n v="1"/>
    <n v="0.04"/>
    <n v="7.5800000000000006E-2"/>
    <n v="0.56999999999999995"/>
    <n v="0.1045"/>
    <n v="1"/>
    <n v="12"/>
    <n v="13"/>
    <x v="0"/>
    <x v="0"/>
    <s v="Non-Holiday"/>
    <s v="Low"/>
    <x v="0"/>
  </r>
  <r>
    <n v="505"/>
    <x v="22"/>
    <n v="1"/>
    <n v="0"/>
    <x v="0"/>
    <x v="2"/>
    <b v="0"/>
    <n v="0"/>
    <n v="1"/>
    <n v="0.02"/>
    <n v="6.0600000000000001E-2"/>
    <n v="0.62"/>
    <n v="0.1343"/>
    <n v="3"/>
    <n v="15"/>
    <n v="18"/>
    <x v="0"/>
    <x v="0"/>
    <s v="Non-Holiday"/>
    <s v="Low"/>
    <x v="0"/>
  </r>
  <r>
    <n v="506"/>
    <x v="22"/>
    <n v="1"/>
    <n v="0"/>
    <x v="0"/>
    <x v="3"/>
    <b v="0"/>
    <n v="0"/>
    <n v="1"/>
    <n v="0.02"/>
    <n v="6.0600000000000001E-2"/>
    <n v="0.62"/>
    <n v="0.1343"/>
    <n v="1"/>
    <n v="4"/>
    <n v="5"/>
    <x v="0"/>
    <x v="0"/>
    <s v="Non-Holiday"/>
    <s v="Low"/>
    <x v="0"/>
  </r>
  <r>
    <n v="507"/>
    <x v="22"/>
    <n v="1"/>
    <n v="0"/>
    <x v="0"/>
    <x v="5"/>
    <b v="0"/>
    <n v="0"/>
    <n v="2"/>
    <n v="0.04"/>
    <n v="7.5800000000000006E-2"/>
    <n v="0.56999999999999995"/>
    <n v="0.1045"/>
    <n v="0"/>
    <n v="3"/>
    <n v="3"/>
    <x v="0"/>
    <x v="0"/>
    <s v="Non-Holiday"/>
    <s v="Low"/>
    <x v="1"/>
  </r>
  <r>
    <n v="508"/>
    <x v="22"/>
    <n v="1"/>
    <n v="0"/>
    <x v="0"/>
    <x v="6"/>
    <b v="0"/>
    <n v="0"/>
    <n v="2"/>
    <n v="0.04"/>
    <n v="7.5800000000000006E-2"/>
    <n v="0.56999999999999995"/>
    <n v="0.1045"/>
    <n v="0"/>
    <n v="1"/>
    <n v="1"/>
    <x v="0"/>
    <x v="1"/>
    <s v="Non-Holiday"/>
    <s v="Low"/>
    <x v="1"/>
  </r>
  <r>
    <n v="509"/>
    <x v="22"/>
    <n v="1"/>
    <n v="0"/>
    <x v="0"/>
    <x v="7"/>
    <b v="0"/>
    <n v="0"/>
    <n v="1"/>
    <n v="0.08"/>
    <n v="0.1061"/>
    <n v="0.57999999999999996"/>
    <n v="0.16420000000000001"/>
    <n v="1"/>
    <n v="1"/>
    <n v="2"/>
    <x v="0"/>
    <x v="1"/>
    <s v="Non-Holiday"/>
    <s v="Low"/>
    <x v="0"/>
  </r>
  <r>
    <n v="510"/>
    <x v="22"/>
    <n v="1"/>
    <n v="0"/>
    <x v="0"/>
    <x v="8"/>
    <b v="0"/>
    <n v="0"/>
    <n v="1"/>
    <n v="0.06"/>
    <n v="7.5800000000000006E-2"/>
    <n v="0.62"/>
    <n v="0.16420000000000001"/>
    <n v="2"/>
    <n v="17"/>
    <n v="19"/>
    <x v="0"/>
    <x v="1"/>
    <s v="Non-Holiday"/>
    <s v="Low"/>
    <x v="0"/>
  </r>
  <r>
    <n v="511"/>
    <x v="22"/>
    <n v="1"/>
    <n v="0"/>
    <x v="0"/>
    <x v="9"/>
    <b v="0"/>
    <n v="0"/>
    <n v="1"/>
    <n v="0.1"/>
    <n v="7.5800000000000006E-2"/>
    <n v="0.54"/>
    <n v="0.35820000000000002"/>
    <n v="3"/>
    <n v="25"/>
    <n v="28"/>
    <x v="0"/>
    <x v="1"/>
    <s v="Non-Holiday"/>
    <s v="Low"/>
    <x v="0"/>
  </r>
  <r>
    <n v="512"/>
    <x v="22"/>
    <n v="1"/>
    <n v="0"/>
    <x v="0"/>
    <x v="10"/>
    <b v="0"/>
    <n v="0"/>
    <n v="1"/>
    <n v="0.14000000000000001"/>
    <n v="0.1061"/>
    <n v="0.46"/>
    <n v="0.3881"/>
    <n v="7"/>
    <n v="51"/>
    <n v="58"/>
    <x v="0"/>
    <x v="2"/>
    <s v="Non-Holiday"/>
    <s v="Low"/>
    <x v="0"/>
  </r>
  <r>
    <n v="513"/>
    <x v="22"/>
    <n v="1"/>
    <n v="0"/>
    <x v="0"/>
    <x v="11"/>
    <b v="0"/>
    <n v="0"/>
    <n v="1"/>
    <n v="0.14000000000000001"/>
    <n v="0.13639999999999999"/>
    <n v="0.43"/>
    <n v="0.22389999999999999"/>
    <n v="22"/>
    <n v="77"/>
    <n v="99"/>
    <x v="0"/>
    <x v="2"/>
    <s v="Non-Holiday"/>
    <s v="Medium"/>
    <x v="0"/>
  </r>
  <r>
    <n v="514"/>
    <x v="22"/>
    <n v="1"/>
    <n v="0"/>
    <x v="0"/>
    <x v="12"/>
    <b v="0"/>
    <n v="0"/>
    <n v="1"/>
    <n v="0.16"/>
    <n v="0.1212"/>
    <n v="0.37"/>
    <n v="0.4627"/>
    <n v="24"/>
    <n v="92"/>
    <n v="116"/>
    <x v="0"/>
    <x v="2"/>
    <s v="Non-Holiday"/>
    <s v="Medium"/>
    <x v="0"/>
  </r>
  <r>
    <n v="515"/>
    <x v="22"/>
    <n v="1"/>
    <n v="0"/>
    <x v="0"/>
    <x v="13"/>
    <b v="0"/>
    <n v="0"/>
    <n v="1"/>
    <n v="0.14000000000000001"/>
    <n v="0.1061"/>
    <n v="0.33"/>
    <n v="0.3881"/>
    <n v="12"/>
    <n v="75"/>
    <n v="87"/>
    <x v="0"/>
    <x v="2"/>
    <s v="Non-Holiday"/>
    <s v="Medium"/>
    <x v="0"/>
  </r>
  <r>
    <n v="516"/>
    <x v="22"/>
    <n v="1"/>
    <n v="0"/>
    <x v="0"/>
    <x v="14"/>
    <b v="0"/>
    <n v="0"/>
    <n v="1"/>
    <n v="0.16"/>
    <n v="0.13639999999999999"/>
    <n v="0.28000000000000003"/>
    <n v="0.35820000000000002"/>
    <n v="17"/>
    <n v="93"/>
    <n v="110"/>
    <x v="0"/>
    <x v="2"/>
    <s v="Non-Holiday"/>
    <s v="Medium"/>
    <x v="0"/>
  </r>
  <r>
    <n v="517"/>
    <x v="22"/>
    <n v="1"/>
    <n v="0"/>
    <x v="0"/>
    <x v="15"/>
    <b v="0"/>
    <n v="0"/>
    <n v="1"/>
    <n v="0.16"/>
    <n v="0.13639999999999999"/>
    <n v="0.28000000000000003"/>
    <n v="0.35820000000000002"/>
    <n v="13"/>
    <n v="64"/>
    <n v="77"/>
    <x v="0"/>
    <x v="2"/>
    <s v="Non-Holiday"/>
    <s v="Low"/>
    <x v="0"/>
  </r>
  <r>
    <n v="518"/>
    <x v="22"/>
    <n v="1"/>
    <n v="0"/>
    <x v="0"/>
    <x v="16"/>
    <b v="0"/>
    <n v="0"/>
    <n v="1"/>
    <n v="0.16"/>
    <n v="0.13639999999999999"/>
    <n v="0.26"/>
    <n v="0.32840000000000003"/>
    <n v="9"/>
    <n v="56"/>
    <n v="65"/>
    <x v="0"/>
    <x v="2"/>
    <s v="Non-Holiday"/>
    <s v="Low"/>
    <x v="0"/>
  </r>
  <r>
    <n v="519"/>
    <x v="22"/>
    <n v="1"/>
    <n v="0"/>
    <x v="0"/>
    <x v="17"/>
    <b v="0"/>
    <n v="0"/>
    <n v="1"/>
    <n v="0.14000000000000001"/>
    <n v="0.1061"/>
    <n v="0.26"/>
    <n v="0.3881"/>
    <n v="5"/>
    <n v="50"/>
    <n v="55"/>
    <x v="0"/>
    <x v="3"/>
    <s v="Non-Holiday"/>
    <s v="Low"/>
    <x v="0"/>
  </r>
  <r>
    <n v="520"/>
    <x v="22"/>
    <n v="1"/>
    <n v="0"/>
    <x v="0"/>
    <x v="18"/>
    <b v="0"/>
    <n v="0"/>
    <n v="1"/>
    <n v="0.12"/>
    <n v="0.1212"/>
    <n v="0.3"/>
    <n v="0.25369999999999998"/>
    <n v="5"/>
    <n v="44"/>
    <n v="49"/>
    <x v="0"/>
    <x v="3"/>
    <s v="Non-Holiday"/>
    <s v="Low"/>
    <x v="0"/>
  </r>
  <r>
    <n v="521"/>
    <x v="22"/>
    <n v="1"/>
    <n v="0"/>
    <x v="0"/>
    <x v="19"/>
    <b v="0"/>
    <n v="0"/>
    <n v="1"/>
    <n v="0.12"/>
    <n v="0.1212"/>
    <n v="0.3"/>
    <n v="0.28360000000000002"/>
    <n v="5"/>
    <n v="45"/>
    <n v="50"/>
    <x v="0"/>
    <x v="3"/>
    <s v="Non-Holiday"/>
    <s v="Low"/>
    <x v="0"/>
  </r>
  <r>
    <n v="522"/>
    <x v="22"/>
    <n v="1"/>
    <n v="0"/>
    <x v="0"/>
    <x v="20"/>
    <b v="0"/>
    <n v="0"/>
    <n v="1"/>
    <n v="0.1"/>
    <n v="0.1061"/>
    <n v="0.36"/>
    <n v="0.25369999999999998"/>
    <n v="4"/>
    <n v="31"/>
    <n v="35"/>
    <x v="0"/>
    <x v="3"/>
    <s v="Non-Holiday"/>
    <s v="Low"/>
    <x v="0"/>
  </r>
  <r>
    <n v="523"/>
    <x v="22"/>
    <n v="1"/>
    <n v="0"/>
    <x v="0"/>
    <x v="21"/>
    <b v="0"/>
    <n v="0"/>
    <n v="1"/>
    <n v="0.1"/>
    <n v="0.1061"/>
    <n v="0.36"/>
    <n v="0.19400000000000001"/>
    <n v="5"/>
    <n v="20"/>
    <n v="25"/>
    <x v="0"/>
    <x v="4"/>
    <s v="Non-Holiday"/>
    <s v="Low"/>
    <x v="0"/>
  </r>
  <r>
    <n v="524"/>
    <x v="22"/>
    <n v="1"/>
    <n v="0"/>
    <x v="0"/>
    <x v="22"/>
    <b v="0"/>
    <n v="0"/>
    <n v="1"/>
    <n v="0.08"/>
    <n v="9.0899999999999995E-2"/>
    <n v="0.38"/>
    <n v="0.19400000000000001"/>
    <n v="5"/>
    <n v="23"/>
    <n v="28"/>
    <x v="0"/>
    <x v="4"/>
    <s v="Non-Holiday"/>
    <s v="Low"/>
    <x v="0"/>
  </r>
  <r>
    <n v="525"/>
    <x v="22"/>
    <n v="1"/>
    <n v="0"/>
    <x v="0"/>
    <x v="23"/>
    <b v="0"/>
    <n v="0"/>
    <n v="1"/>
    <n v="0.06"/>
    <n v="6.0600000000000001E-2"/>
    <n v="0.41"/>
    <n v="0.22389999999999999"/>
    <n v="4"/>
    <n v="17"/>
    <n v="21"/>
    <x v="0"/>
    <x v="4"/>
    <s v="Non-Holiday"/>
    <s v="Low"/>
    <x v="0"/>
  </r>
  <r>
    <n v="526"/>
    <x v="23"/>
    <n v="1"/>
    <n v="0"/>
    <x v="0"/>
    <x v="0"/>
    <b v="0"/>
    <n v="1"/>
    <n v="1"/>
    <n v="0.06"/>
    <n v="6.0600000000000001E-2"/>
    <n v="0.41"/>
    <n v="0.19400000000000001"/>
    <n v="0"/>
    <n v="7"/>
    <n v="7"/>
    <x v="1"/>
    <x v="0"/>
    <s v="Non-Holiday"/>
    <s v="Low"/>
    <x v="0"/>
  </r>
  <r>
    <n v="527"/>
    <x v="23"/>
    <n v="1"/>
    <n v="0"/>
    <x v="0"/>
    <x v="1"/>
    <b v="0"/>
    <n v="1"/>
    <n v="1"/>
    <n v="0.04"/>
    <n v="4.5499999999999999E-2"/>
    <n v="0.45"/>
    <n v="0.19400000000000001"/>
    <n v="0"/>
    <n v="1"/>
    <n v="1"/>
    <x v="1"/>
    <x v="0"/>
    <s v="Non-Holiday"/>
    <s v="Low"/>
    <x v="0"/>
  </r>
  <r>
    <n v="528"/>
    <x v="23"/>
    <n v="1"/>
    <n v="0"/>
    <x v="0"/>
    <x v="3"/>
    <b v="0"/>
    <n v="1"/>
    <n v="1"/>
    <n v="0.04"/>
    <n v="3.0300000000000001E-2"/>
    <n v="0.45"/>
    <n v="0.25369999999999998"/>
    <n v="0"/>
    <n v="1"/>
    <n v="1"/>
    <x v="1"/>
    <x v="0"/>
    <s v="Non-Holiday"/>
    <s v="Low"/>
    <x v="0"/>
  </r>
  <r>
    <n v="529"/>
    <x v="23"/>
    <n v="1"/>
    <n v="0"/>
    <x v="0"/>
    <x v="4"/>
    <b v="0"/>
    <n v="1"/>
    <n v="1"/>
    <n v="0.02"/>
    <n v="6.0600000000000001E-2"/>
    <n v="0.48"/>
    <n v="0.1343"/>
    <n v="0"/>
    <n v="1"/>
    <n v="1"/>
    <x v="1"/>
    <x v="0"/>
    <s v="Non-Holiday"/>
    <s v="Low"/>
    <x v="0"/>
  </r>
  <r>
    <n v="530"/>
    <x v="23"/>
    <n v="1"/>
    <n v="0"/>
    <x v="0"/>
    <x v="5"/>
    <b v="0"/>
    <n v="1"/>
    <n v="1"/>
    <n v="0.02"/>
    <n v="6.0600000000000001E-2"/>
    <n v="0.48"/>
    <n v="0.1343"/>
    <n v="0"/>
    <n v="5"/>
    <n v="5"/>
    <x v="1"/>
    <x v="0"/>
    <s v="Non-Holiday"/>
    <s v="Low"/>
    <x v="0"/>
  </r>
  <r>
    <n v="531"/>
    <x v="23"/>
    <n v="1"/>
    <n v="0"/>
    <x v="0"/>
    <x v="6"/>
    <b v="0"/>
    <n v="1"/>
    <n v="1"/>
    <n v="0.02"/>
    <n v="7.5800000000000006E-2"/>
    <n v="0.48"/>
    <n v="8.9599999999999999E-2"/>
    <n v="0"/>
    <n v="15"/>
    <n v="15"/>
    <x v="1"/>
    <x v="1"/>
    <s v="Non-Holiday"/>
    <s v="Low"/>
    <x v="0"/>
  </r>
  <r>
    <n v="532"/>
    <x v="23"/>
    <n v="1"/>
    <n v="0"/>
    <x v="0"/>
    <x v="7"/>
    <b v="0"/>
    <n v="1"/>
    <n v="1"/>
    <n v="0.02"/>
    <n v="0.1212"/>
    <n v="0.48"/>
    <n v="0"/>
    <n v="5"/>
    <n v="79"/>
    <n v="84"/>
    <x v="1"/>
    <x v="1"/>
    <s v="Non-Holiday"/>
    <s v="Medium"/>
    <x v="0"/>
  </r>
  <r>
    <n v="533"/>
    <x v="23"/>
    <n v="1"/>
    <n v="0"/>
    <x v="0"/>
    <x v="8"/>
    <b v="0"/>
    <n v="1"/>
    <n v="1"/>
    <n v="0.04"/>
    <n v="0.13639999999999999"/>
    <n v="0.49"/>
    <n v="0"/>
    <n v="6"/>
    <n v="171"/>
    <n v="177"/>
    <x v="1"/>
    <x v="1"/>
    <s v="Non-Holiday"/>
    <s v="High"/>
    <x v="0"/>
  </r>
  <r>
    <n v="534"/>
    <x v="23"/>
    <n v="1"/>
    <n v="0"/>
    <x v="0"/>
    <x v="9"/>
    <b v="0"/>
    <n v="1"/>
    <n v="1"/>
    <n v="0.06"/>
    <n v="0.1515"/>
    <n v="0.41"/>
    <n v="0"/>
    <n v="4"/>
    <n v="98"/>
    <n v="102"/>
    <x v="1"/>
    <x v="1"/>
    <s v="Non-Holiday"/>
    <s v="Medium"/>
    <x v="0"/>
  </r>
  <r>
    <n v="535"/>
    <x v="23"/>
    <n v="1"/>
    <n v="0"/>
    <x v="0"/>
    <x v="10"/>
    <b v="0"/>
    <n v="1"/>
    <n v="1"/>
    <n v="0.1"/>
    <n v="0.13639999999999999"/>
    <n v="0.42"/>
    <n v="0"/>
    <n v="6"/>
    <n v="34"/>
    <n v="40"/>
    <x v="1"/>
    <x v="2"/>
    <s v="Non-Holiday"/>
    <s v="Low"/>
    <x v="0"/>
  </r>
  <r>
    <n v="536"/>
    <x v="23"/>
    <n v="1"/>
    <n v="0"/>
    <x v="0"/>
    <x v="11"/>
    <b v="0"/>
    <n v="1"/>
    <n v="1"/>
    <n v="0.1"/>
    <n v="0.1212"/>
    <n v="0.46"/>
    <n v="0.1343"/>
    <n v="3"/>
    <n v="43"/>
    <n v="46"/>
    <x v="1"/>
    <x v="2"/>
    <s v="Non-Holiday"/>
    <s v="Low"/>
    <x v="0"/>
  </r>
  <r>
    <n v="537"/>
    <x v="23"/>
    <n v="1"/>
    <n v="0"/>
    <x v="0"/>
    <x v="12"/>
    <b v="0"/>
    <n v="1"/>
    <n v="2"/>
    <n v="0.12"/>
    <n v="0.13639999999999999"/>
    <n v="0.42"/>
    <n v="0.19400000000000001"/>
    <n v="11"/>
    <n v="52"/>
    <n v="63"/>
    <x v="1"/>
    <x v="2"/>
    <s v="Non-Holiday"/>
    <s v="Low"/>
    <x v="1"/>
  </r>
  <r>
    <n v="538"/>
    <x v="23"/>
    <n v="1"/>
    <n v="0"/>
    <x v="0"/>
    <x v="13"/>
    <b v="0"/>
    <n v="1"/>
    <n v="2"/>
    <n v="0.14000000000000001"/>
    <n v="0.13639999999999999"/>
    <n v="0.43"/>
    <n v="0.22389999999999999"/>
    <n v="6"/>
    <n v="54"/>
    <n v="60"/>
    <x v="1"/>
    <x v="2"/>
    <s v="Non-Holiday"/>
    <s v="Low"/>
    <x v="1"/>
  </r>
  <r>
    <n v="539"/>
    <x v="23"/>
    <n v="1"/>
    <n v="0"/>
    <x v="0"/>
    <x v="14"/>
    <b v="0"/>
    <n v="1"/>
    <n v="2"/>
    <n v="0.14000000000000001"/>
    <n v="0.13639999999999999"/>
    <n v="0.46"/>
    <n v="0.22389999999999999"/>
    <n v="2"/>
    <n v="43"/>
    <n v="45"/>
    <x v="1"/>
    <x v="2"/>
    <s v="Non-Holiday"/>
    <s v="Low"/>
    <x v="1"/>
  </r>
  <r>
    <n v="540"/>
    <x v="23"/>
    <n v="1"/>
    <n v="0"/>
    <x v="0"/>
    <x v="15"/>
    <b v="0"/>
    <n v="1"/>
    <n v="1"/>
    <n v="0.16"/>
    <n v="0.16669999999999999"/>
    <n v="0.4"/>
    <n v="0.16420000000000001"/>
    <n v="7"/>
    <n v="50"/>
    <n v="57"/>
    <x v="1"/>
    <x v="2"/>
    <s v="Non-Holiday"/>
    <s v="Low"/>
    <x v="0"/>
  </r>
  <r>
    <n v="541"/>
    <x v="23"/>
    <n v="1"/>
    <n v="0"/>
    <x v="0"/>
    <x v="16"/>
    <b v="0"/>
    <n v="1"/>
    <n v="1"/>
    <n v="0.16"/>
    <n v="0.1515"/>
    <n v="0.47"/>
    <n v="0.25369999999999998"/>
    <n v="4"/>
    <n v="66"/>
    <n v="70"/>
    <x v="1"/>
    <x v="2"/>
    <s v="Non-Holiday"/>
    <s v="Low"/>
    <x v="0"/>
  </r>
  <r>
    <n v="542"/>
    <x v="23"/>
    <n v="1"/>
    <n v="0"/>
    <x v="0"/>
    <x v="17"/>
    <b v="0"/>
    <n v="1"/>
    <n v="1"/>
    <n v="0.14000000000000001"/>
    <n v="0.1212"/>
    <n v="0.5"/>
    <n v="0.25369999999999998"/>
    <n v="6"/>
    <n v="178"/>
    <n v="184"/>
    <x v="1"/>
    <x v="3"/>
    <s v="Non-Holiday"/>
    <s v="High"/>
    <x v="0"/>
  </r>
  <r>
    <n v="543"/>
    <x v="23"/>
    <n v="1"/>
    <n v="0"/>
    <x v="0"/>
    <x v="18"/>
    <b v="0"/>
    <n v="1"/>
    <n v="1"/>
    <n v="0.14000000000000001"/>
    <n v="0.13639999999999999"/>
    <n v="0.59"/>
    <n v="0.19400000000000001"/>
    <n v="8"/>
    <n v="145"/>
    <n v="153"/>
    <x v="1"/>
    <x v="3"/>
    <s v="Non-Holiday"/>
    <s v="Medium"/>
    <x v="0"/>
  </r>
  <r>
    <n v="544"/>
    <x v="23"/>
    <n v="1"/>
    <n v="0"/>
    <x v="0"/>
    <x v="19"/>
    <b v="0"/>
    <n v="1"/>
    <n v="1"/>
    <n v="0.14000000000000001"/>
    <n v="0.1515"/>
    <n v="0.54"/>
    <n v="0.16420000000000001"/>
    <n v="5"/>
    <n v="101"/>
    <n v="106"/>
    <x v="1"/>
    <x v="3"/>
    <s v="Non-Holiday"/>
    <s v="Medium"/>
    <x v="0"/>
  </r>
  <r>
    <n v="545"/>
    <x v="23"/>
    <n v="1"/>
    <n v="0"/>
    <x v="0"/>
    <x v="20"/>
    <b v="0"/>
    <n v="1"/>
    <n v="1"/>
    <n v="0.14000000000000001"/>
    <n v="0.13639999999999999"/>
    <n v="0.59"/>
    <n v="0.19400000000000001"/>
    <n v="1"/>
    <n v="80"/>
    <n v="81"/>
    <x v="1"/>
    <x v="3"/>
    <s v="Non-Holiday"/>
    <s v="Medium"/>
    <x v="0"/>
  </r>
  <r>
    <n v="546"/>
    <x v="23"/>
    <n v="1"/>
    <n v="0"/>
    <x v="0"/>
    <x v="21"/>
    <b v="0"/>
    <n v="1"/>
    <n v="1"/>
    <n v="0.14000000000000001"/>
    <n v="0.1515"/>
    <n v="0.63"/>
    <n v="0.16420000000000001"/>
    <n v="6"/>
    <n v="53"/>
    <n v="59"/>
    <x v="1"/>
    <x v="4"/>
    <s v="Non-Holiday"/>
    <s v="Low"/>
    <x v="0"/>
  </r>
  <r>
    <n v="547"/>
    <x v="23"/>
    <n v="1"/>
    <n v="0"/>
    <x v="0"/>
    <x v="22"/>
    <b v="0"/>
    <n v="1"/>
    <n v="2"/>
    <n v="0.14000000000000001"/>
    <n v="0.13639999999999999"/>
    <n v="0.63"/>
    <n v="0.22389999999999999"/>
    <n v="3"/>
    <n v="32"/>
    <n v="35"/>
    <x v="1"/>
    <x v="4"/>
    <s v="Non-Holiday"/>
    <s v="Low"/>
    <x v="1"/>
  </r>
  <r>
    <n v="548"/>
    <x v="23"/>
    <n v="1"/>
    <n v="0"/>
    <x v="0"/>
    <x v="23"/>
    <b v="0"/>
    <n v="1"/>
    <n v="2"/>
    <n v="0.16"/>
    <n v="0.1515"/>
    <n v="0.64"/>
    <n v="0.25369999999999998"/>
    <n v="3"/>
    <n v="21"/>
    <n v="24"/>
    <x v="1"/>
    <x v="4"/>
    <s v="Non-Holiday"/>
    <s v="Low"/>
    <x v="1"/>
  </r>
  <r>
    <n v="549"/>
    <x v="24"/>
    <n v="1"/>
    <n v="0"/>
    <x v="0"/>
    <x v="0"/>
    <b v="0"/>
    <n v="2"/>
    <n v="2"/>
    <n v="0.16"/>
    <n v="0.13639999999999999"/>
    <n v="0.69"/>
    <n v="0.28360000000000002"/>
    <n v="3"/>
    <n v="6"/>
    <n v="9"/>
    <x v="1"/>
    <x v="0"/>
    <s v="Non-Holiday"/>
    <s v="Low"/>
    <x v="1"/>
  </r>
  <r>
    <n v="550"/>
    <x v="24"/>
    <n v="1"/>
    <n v="0"/>
    <x v="0"/>
    <x v="1"/>
    <b v="0"/>
    <n v="2"/>
    <n v="2"/>
    <n v="0.16"/>
    <n v="0.16669999999999999"/>
    <n v="0.69"/>
    <n v="0.16420000000000001"/>
    <n v="0"/>
    <n v="5"/>
    <n v="5"/>
    <x v="1"/>
    <x v="0"/>
    <s v="Non-Holiday"/>
    <s v="Low"/>
    <x v="1"/>
  </r>
  <r>
    <n v="551"/>
    <x v="24"/>
    <n v="1"/>
    <n v="0"/>
    <x v="0"/>
    <x v="2"/>
    <b v="0"/>
    <n v="2"/>
    <n v="1"/>
    <n v="0.16"/>
    <n v="0.1515"/>
    <n v="0.69"/>
    <n v="0.22389999999999999"/>
    <n v="0"/>
    <n v="2"/>
    <n v="2"/>
    <x v="1"/>
    <x v="0"/>
    <s v="Non-Holiday"/>
    <s v="Low"/>
    <x v="0"/>
  </r>
  <r>
    <n v="552"/>
    <x v="24"/>
    <n v="1"/>
    <n v="0"/>
    <x v="0"/>
    <x v="4"/>
    <b v="0"/>
    <n v="2"/>
    <n v="1"/>
    <n v="0.14000000000000001"/>
    <n v="0.16669999999999999"/>
    <n v="0.74"/>
    <n v="0.1045"/>
    <n v="0"/>
    <n v="1"/>
    <n v="1"/>
    <x v="1"/>
    <x v="0"/>
    <s v="Non-Holiday"/>
    <s v="Low"/>
    <x v="0"/>
  </r>
  <r>
    <n v="553"/>
    <x v="24"/>
    <n v="1"/>
    <n v="0"/>
    <x v="0"/>
    <x v="5"/>
    <b v="0"/>
    <n v="2"/>
    <n v="1"/>
    <n v="0.14000000000000001"/>
    <n v="0.13639999999999999"/>
    <n v="0.74"/>
    <n v="0.22389999999999999"/>
    <n v="0"/>
    <n v="9"/>
    <n v="9"/>
    <x v="1"/>
    <x v="0"/>
    <s v="Non-Holiday"/>
    <s v="Low"/>
    <x v="0"/>
  </r>
  <r>
    <n v="554"/>
    <x v="24"/>
    <n v="1"/>
    <n v="0"/>
    <x v="0"/>
    <x v="6"/>
    <b v="0"/>
    <n v="2"/>
    <n v="1"/>
    <n v="0.16"/>
    <n v="0.18179999999999999"/>
    <n v="0.74"/>
    <n v="0.1045"/>
    <n v="1"/>
    <n v="35"/>
    <n v="36"/>
    <x v="1"/>
    <x v="1"/>
    <s v="Non-Holiday"/>
    <s v="Low"/>
    <x v="0"/>
  </r>
  <r>
    <n v="555"/>
    <x v="24"/>
    <n v="1"/>
    <n v="0"/>
    <x v="0"/>
    <x v="7"/>
    <b v="0"/>
    <n v="2"/>
    <n v="1"/>
    <n v="0.16"/>
    <n v="0.1515"/>
    <n v="0.74"/>
    <n v="0.22389999999999999"/>
    <n v="5"/>
    <n v="103"/>
    <n v="108"/>
    <x v="1"/>
    <x v="1"/>
    <s v="Non-Holiday"/>
    <s v="Medium"/>
    <x v="0"/>
  </r>
  <r>
    <n v="556"/>
    <x v="24"/>
    <n v="1"/>
    <n v="0"/>
    <x v="0"/>
    <x v="8"/>
    <b v="0"/>
    <n v="2"/>
    <n v="2"/>
    <n v="0.16"/>
    <n v="0.18179999999999999"/>
    <n v="0.74"/>
    <n v="0.1343"/>
    <n v="5"/>
    <n v="233"/>
    <n v="238"/>
    <x v="1"/>
    <x v="1"/>
    <s v="Non-Holiday"/>
    <s v="High"/>
    <x v="1"/>
  </r>
  <r>
    <n v="557"/>
    <x v="24"/>
    <n v="1"/>
    <n v="0"/>
    <x v="0"/>
    <x v="9"/>
    <b v="0"/>
    <n v="2"/>
    <n v="2"/>
    <n v="0.2"/>
    <n v="0.2273"/>
    <n v="0.64"/>
    <n v="8.9599999999999999E-2"/>
    <n v="10"/>
    <n v="134"/>
    <n v="144"/>
    <x v="1"/>
    <x v="1"/>
    <s v="Non-Holiday"/>
    <s v="Medium"/>
    <x v="1"/>
  </r>
  <r>
    <n v="558"/>
    <x v="24"/>
    <n v="1"/>
    <n v="0"/>
    <x v="0"/>
    <x v="10"/>
    <b v="0"/>
    <n v="2"/>
    <n v="2"/>
    <n v="0.22"/>
    <n v="0.2424"/>
    <n v="0.6"/>
    <n v="0.1045"/>
    <n v="6"/>
    <n v="49"/>
    <n v="55"/>
    <x v="1"/>
    <x v="2"/>
    <s v="Non-Holiday"/>
    <s v="Low"/>
    <x v="1"/>
  </r>
  <r>
    <n v="559"/>
    <x v="24"/>
    <n v="1"/>
    <n v="0"/>
    <x v="0"/>
    <x v="11"/>
    <b v="0"/>
    <n v="2"/>
    <n v="2"/>
    <n v="0.24"/>
    <n v="0.2424"/>
    <n v="0.6"/>
    <n v="0.1343"/>
    <n v="6"/>
    <n v="55"/>
    <n v="61"/>
    <x v="1"/>
    <x v="2"/>
    <s v="Non-Holiday"/>
    <s v="Low"/>
    <x v="1"/>
  </r>
  <r>
    <n v="560"/>
    <x v="24"/>
    <n v="1"/>
    <n v="0"/>
    <x v="0"/>
    <x v="12"/>
    <b v="0"/>
    <n v="2"/>
    <n v="2"/>
    <n v="0.26"/>
    <n v="0.28789999999999999"/>
    <n v="0.56000000000000005"/>
    <n v="8.9599999999999999E-2"/>
    <n v="21"/>
    <n v="85"/>
    <n v="106"/>
    <x v="1"/>
    <x v="2"/>
    <s v="Non-Holiday"/>
    <s v="Medium"/>
    <x v="1"/>
  </r>
  <r>
    <n v="561"/>
    <x v="24"/>
    <n v="1"/>
    <n v="0"/>
    <x v="0"/>
    <x v="13"/>
    <b v="0"/>
    <n v="2"/>
    <n v="2"/>
    <n v="0.26"/>
    <n v="0.2727"/>
    <n v="0.56000000000000005"/>
    <n v="0.1343"/>
    <n v="21"/>
    <n v="72"/>
    <n v="93"/>
    <x v="1"/>
    <x v="2"/>
    <s v="Non-Holiday"/>
    <s v="Medium"/>
    <x v="1"/>
  </r>
  <r>
    <n v="562"/>
    <x v="24"/>
    <n v="1"/>
    <n v="0"/>
    <x v="0"/>
    <x v="14"/>
    <b v="0"/>
    <n v="2"/>
    <n v="2"/>
    <n v="0.3"/>
    <n v="0.33329999999999999"/>
    <n v="0.45"/>
    <n v="0"/>
    <n v="11"/>
    <n v="57"/>
    <n v="68"/>
    <x v="1"/>
    <x v="2"/>
    <s v="Non-Holiday"/>
    <s v="Low"/>
    <x v="1"/>
  </r>
  <r>
    <n v="563"/>
    <x v="24"/>
    <n v="1"/>
    <n v="0"/>
    <x v="0"/>
    <x v="15"/>
    <b v="0"/>
    <n v="2"/>
    <n v="2"/>
    <n v="0.32"/>
    <n v="0.34849999999999998"/>
    <n v="0.42"/>
    <n v="0"/>
    <n v="21"/>
    <n v="63"/>
    <n v="84"/>
    <x v="1"/>
    <x v="2"/>
    <s v="Non-Holiday"/>
    <s v="Medium"/>
    <x v="1"/>
  </r>
  <r>
    <n v="564"/>
    <x v="24"/>
    <n v="1"/>
    <n v="0"/>
    <x v="0"/>
    <x v="16"/>
    <b v="0"/>
    <n v="2"/>
    <n v="2"/>
    <n v="0.32"/>
    <n v="0.34849999999999998"/>
    <n v="0.42"/>
    <n v="0"/>
    <n v="14"/>
    <n v="102"/>
    <n v="116"/>
    <x v="1"/>
    <x v="2"/>
    <s v="Non-Holiday"/>
    <s v="Medium"/>
    <x v="1"/>
  </r>
  <r>
    <n v="565"/>
    <x v="24"/>
    <n v="1"/>
    <n v="0"/>
    <x v="0"/>
    <x v="17"/>
    <b v="0"/>
    <n v="2"/>
    <n v="1"/>
    <n v="0.3"/>
    <n v="0.33329999999999999"/>
    <n v="0.45"/>
    <n v="0"/>
    <n v="14"/>
    <n v="208"/>
    <n v="222"/>
    <x v="1"/>
    <x v="3"/>
    <s v="Non-Holiday"/>
    <s v="High"/>
    <x v="0"/>
  </r>
  <r>
    <n v="566"/>
    <x v="24"/>
    <n v="1"/>
    <n v="0"/>
    <x v="0"/>
    <x v="18"/>
    <b v="0"/>
    <n v="2"/>
    <n v="2"/>
    <n v="0.3"/>
    <n v="0.31819999999999998"/>
    <n v="0.49"/>
    <n v="8.9599999999999999E-2"/>
    <n v="7"/>
    <n v="218"/>
    <n v="225"/>
    <x v="1"/>
    <x v="3"/>
    <s v="Non-Holiday"/>
    <s v="High"/>
    <x v="1"/>
  </r>
  <r>
    <n v="567"/>
    <x v="24"/>
    <n v="1"/>
    <n v="0"/>
    <x v="0"/>
    <x v="19"/>
    <b v="0"/>
    <n v="2"/>
    <n v="2"/>
    <n v="0.26"/>
    <n v="0.2576"/>
    <n v="0.65"/>
    <n v="0.16420000000000001"/>
    <n v="13"/>
    <n v="133"/>
    <n v="146"/>
    <x v="1"/>
    <x v="3"/>
    <s v="Non-Holiday"/>
    <s v="Medium"/>
    <x v="1"/>
  </r>
  <r>
    <n v="568"/>
    <x v="24"/>
    <n v="1"/>
    <n v="0"/>
    <x v="0"/>
    <x v="20"/>
    <b v="0"/>
    <n v="2"/>
    <n v="1"/>
    <n v="0.24"/>
    <n v="0.2273"/>
    <n v="0.65"/>
    <n v="0.19400000000000001"/>
    <n v="16"/>
    <n v="103"/>
    <n v="119"/>
    <x v="1"/>
    <x v="3"/>
    <s v="Non-Holiday"/>
    <s v="Medium"/>
    <x v="0"/>
  </r>
  <r>
    <n v="569"/>
    <x v="24"/>
    <n v="1"/>
    <n v="0"/>
    <x v="0"/>
    <x v="21"/>
    <b v="0"/>
    <n v="2"/>
    <n v="1"/>
    <n v="0.24"/>
    <n v="0.2273"/>
    <n v="0.65"/>
    <n v="0.19400000000000001"/>
    <n v="5"/>
    <n v="40"/>
    <n v="45"/>
    <x v="1"/>
    <x v="4"/>
    <s v="Non-Holiday"/>
    <s v="Low"/>
    <x v="0"/>
  </r>
  <r>
    <n v="570"/>
    <x v="24"/>
    <n v="1"/>
    <n v="0"/>
    <x v="0"/>
    <x v="22"/>
    <b v="0"/>
    <n v="2"/>
    <n v="1"/>
    <n v="0.22"/>
    <n v="0.2273"/>
    <n v="0.64"/>
    <n v="0.16420000000000001"/>
    <n v="4"/>
    <n v="49"/>
    <n v="53"/>
    <x v="1"/>
    <x v="4"/>
    <s v="Non-Holiday"/>
    <s v="Low"/>
    <x v="0"/>
  </r>
  <r>
    <n v="571"/>
    <x v="24"/>
    <n v="1"/>
    <n v="0"/>
    <x v="0"/>
    <x v="23"/>
    <b v="0"/>
    <n v="2"/>
    <n v="2"/>
    <n v="0.22"/>
    <n v="0.2273"/>
    <n v="0.64"/>
    <n v="0.16420000000000001"/>
    <n v="3"/>
    <n v="37"/>
    <n v="40"/>
    <x v="1"/>
    <x v="4"/>
    <s v="Non-Holiday"/>
    <s v="Low"/>
    <x v="1"/>
  </r>
  <r>
    <n v="572"/>
    <x v="25"/>
    <n v="1"/>
    <n v="0"/>
    <x v="0"/>
    <x v="0"/>
    <b v="0"/>
    <n v="3"/>
    <n v="2"/>
    <n v="0.22"/>
    <n v="0.2273"/>
    <n v="0.69"/>
    <n v="0.1343"/>
    <n v="3"/>
    <n v="14"/>
    <n v="17"/>
    <x v="1"/>
    <x v="0"/>
    <s v="Non-Holiday"/>
    <s v="Low"/>
    <x v="1"/>
  </r>
  <r>
    <n v="573"/>
    <x v="25"/>
    <n v="1"/>
    <n v="0"/>
    <x v="0"/>
    <x v="1"/>
    <b v="0"/>
    <n v="3"/>
    <n v="2"/>
    <n v="0.24"/>
    <n v="0.2424"/>
    <n v="0.65"/>
    <n v="0.1343"/>
    <n v="0"/>
    <n v="5"/>
    <n v="5"/>
    <x v="1"/>
    <x v="0"/>
    <s v="Non-Holiday"/>
    <s v="Low"/>
    <x v="1"/>
  </r>
  <r>
    <n v="574"/>
    <x v="25"/>
    <n v="1"/>
    <n v="0"/>
    <x v="0"/>
    <x v="2"/>
    <b v="0"/>
    <n v="3"/>
    <n v="3"/>
    <n v="0.22"/>
    <n v="0.2273"/>
    <n v="0.69"/>
    <n v="0.19400000000000001"/>
    <n v="3"/>
    <n v="7"/>
    <n v="10"/>
    <x v="1"/>
    <x v="0"/>
    <s v="Non-Holiday"/>
    <s v="Low"/>
    <x v="2"/>
  </r>
  <r>
    <n v="575"/>
    <x v="25"/>
    <n v="1"/>
    <n v="0"/>
    <x v="0"/>
    <x v="5"/>
    <b v="0"/>
    <n v="3"/>
    <n v="3"/>
    <n v="0.2"/>
    <n v="0.18179999999999999"/>
    <n v="0.86"/>
    <n v="0.28360000000000002"/>
    <n v="0"/>
    <n v="1"/>
    <n v="1"/>
    <x v="1"/>
    <x v="0"/>
    <s v="Non-Holiday"/>
    <s v="Low"/>
    <x v="2"/>
  </r>
  <r>
    <n v="576"/>
    <x v="25"/>
    <n v="1"/>
    <n v="0"/>
    <x v="0"/>
    <x v="6"/>
    <b v="0"/>
    <n v="3"/>
    <n v="3"/>
    <n v="0.2"/>
    <n v="0.18179999999999999"/>
    <n v="0.86"/>
    <n v="0.28360000000000002"/>
    <n v="0"/>
    <n v="8"/>
    <n v="8"/>
    <x v="1"/>
    <x v="1"/>
    <s v="Non-Holiday"/>
    <s v="Low"/>
    <x v="2"/>
  </r>
  <r>
    <n v="577"/>
    <x v="25"/>
    <n v="1"/>
    <n v="0"/>
    <x v="0"/>
    <x v="7"/>
    <b v="0"/>
    <n v="3"/>
    <n v="3"/>
    <n v="0.22"/>
    <n v="0.21210000000000001"/>
    <n v="0.87"/>
    <n v="0.29849999999999999"/>
    <n v="1"/>
    <n v="29"/>
    <n v="30"/>
    <x v="1"/>
    <x v="1"/>
    <s v="Non-Holiday"/>
    <s v="Low"/>
    <x v="2"/>
  </r>
  <r>
    <n v="578"/>
    <x v="25"/>
    <n v="1"/>
    <n v="0"/>
    <x v="0"/>
    <x v="8"/>
    <b v="0"/>
    <n v="3"/>
    <n v="3"/>
    <n v="0.22"/>
    <n v="0.21210000000000001"/>
    <n v="0.87"/>
    <n v="0.29849999999999999"/>
    <n v="3"/>
    <n v="69"/>
    <n v="72"/>
    <x v="1"/>
    <x v="1"/>
    <s v="Non-Holiday"/>
    <s v="Low"/>
    <x v="2"/>
  </r>
  <r>
    <n v="579"/>
    <x v="25"/>
    <n v="1"/>
    <n v="0"/>
    <x v="0"/>
    <x v="9"/>
    <b v="0"/>
    <n v="3"/>
    <n v="3"/>
    <n v="0.22"/>
    <n v="0.21210000000000001"/>
    <n v="0.87"/>
    <n v="0.29849999999999999"/>
    <n v="3"/>
    <n v="55"/>
    <n v="58"/>
    <x v="1"/>
    <x v="1"/>
    <s v="Non-Holiday"/>
    <s v="Low"/>
    <x v="2"/>
  </r>
  <r>
    <n v="580"/>
    <x v="25"/>
    <n v="1"/>
    <n v="0"/>
    <x v="0"/>
    <x v="10"/>
    <b v="0"/>
    <n v="3"/>
    <n v="3"/>
    <n v="0.22"/>
    <n v="0.21210000000000001"/>
    <n v="0.93"/>
    <n v="0.28360000000000002"/>
    <n v="2"/>
    <n v="26"/>
    <n v="28"/>
    <x v="1"/>
    <x v="2"/>
    <s v="Non-Holiday"/>
    <s v="Low"/>
    <x v="2"/>
  </r>
  <r>
    <n v="581"/>
    <x v="25"/>
    <n v="1"/>
    <n v="0"/>
    <x v="0"/>
    <x v="11"/>
    <b v="0"/>
    <n v="3"/>
    <n v="3"/>
    <n v="0.22"/>
    <n v="0.19700000000000001"/>
    <n v="0.93"/>
    <n v="0.32840000000000003"/>
    <n v="6"/>
    <n v="35"/>
    <n v="41"/>
    <x v="1"/>
    <x v="2"/>
    <s v="Non-Holiday"/>
    <s v="Low"/>
    <x v="2"/>
  </r>
  <r>
    <n v="582"/>
    <x v="25"/>
    <n v="1"/>
    <n v="0"/>
    <x v="0"/>
    <x v="12"/>
    <b v="0"/>
    <n v="3"/>
    <n v="3"/>
    <n v="0.22"/>
    <n v="0.19700000000000001"/>
    <n v="0.93"/>
    <n v="0.32840000000000003"/>
    <n v="7"/>
    <n v="41"/>
    <n v="48"/>
    <x v="1"/>
    <x v="2"/>
    <s v="Non-Holiday"/>
    <s v="Low"/>
    <x v="2"/>
  </r>
  <r>
    <n v="583"/>
    <x v="25"/>
    <n v="1"/>
    <n v="0"/>
    <x v="0"/>
    <x v="13"/>
    <b v="0"/>
    <n v="3"/>
    <n v="3"/>
    <n v="0.22"/>
    <n v="0.19700000000000001"/>
    <n v="0.93"/>
    <n v="0.32840000000000003"/>
    <n v="4"/>
    <n v="43"/>
    <n v="47"/>
    <x v="1"/>
    <x v="2"/>
    <s v="Non-Holiday"/>
    <s v="Low"/>
    <x v="2"/>
  </r>
  <r>
    <n v="584"/>
    <x v="25"/>
    <n v="1"/>
    <n v="0"/>
    <x v="0"/>
    <x v="14"/>
    <b v="0"/>
    <n v="3"/>
    <n v="3"/>
    <n v="0.22"/>
    <n v="0.19700000000000001"/>
    <n v="0.93"/>
    <n v="0.35820000000000002"/>
    <n v="0"/>
    <n v="36"/>
    <n v="36"/>
    <x v="1"/>
    <x v="2"/>
    <s v="Non-Holiday"/>
    <s v="Low"/>
    <x v="2"/>
  </r>
  <r>
    <n v="585"/>
    <x v="25"/>
    <n v="1"/>
    <n v="0"/>
    <x v="0"/>
    <x v="15"/>
    <b v="0"/>
    <n v="3"/>
    <n v="3"/>
    <n v="0.22"/>
    <n v="0.18179999999999999"/>
    <n v="0.93"/>
    <n v="0.4627"/>
    <n v="1"/>
    <n v="42"/>
    <n v="43"/>
    <x v="1"/>
    <x v="2"/>
    <s v="Non-Holiday"/>
    <s v="Low"/>
    <x v="2"/>
  </r>
  <r>
    <n v="586"/>
    <x v="25"/>
    <n v="1"/>
    <n v="0"/>
    <x v="0"/>
    <x v="16"/>
    <b v="0"/>
    <n v="3"/>
    <n v="4"/>
    <n v="0.22"/>
    <n v="0.19700000000000001"/>
    <n v="0.93"/>
    <n v="0.32840000000000003"/>
    <n v="1"/>
    <n v="35"/>
    <n v="36"/>
    <x v="1"/>
    <x v="2"/>
    <s v="Non-Holiday"/>
    <s v="Low"/>
    <x v="3"/>
  </r>
  <r>
    <n v="587"/>
    <x v="25"/>
    <n v="1"/>
    <n v="0"/>
    <x v="0"/>
    <x v="17"/>
    <b v="0"/>
    <n v="3"/>
    <n v="3"/>
    <n v="0.2"/>
    <n v="0.18179999999999999"/>
    <n v="0.93"/>
    <n v="0.35820000000000002"/>
    <n v="0"/>
    <n v="26"/>
    <n v="26"/>
    <x v="1"/>
    <x v="3"/>
    <s v="Non-Holiday"/>
    <s v="Low"/>
    <x v="2"/>
  </r>
  <r>
    <n v="588"/>
    <x v="26"/>
    <n v="1"/>
    <n v="0"/>
    <x v="0"/>
    <x v="16"/>
    <b v="0"/>
    <n v="4"/>
    <n v="1"/>
    <n v="0.22"/>
    <n v="0.2273"/>
    <n v="0.55000000000000004"/>
    <n v="0.19400000000000001"/>
    <n v="1"/>
    <n v="23"/>
    <n v="24"/>
    <x v="1"/>
    <x v="2"/>
    <s v="Non-Holiday"/>
    <s v="Low"/>
    <x v="0"/>
  </r>
  <r>
    <n v="589"/>
    <x v="26"/>
    <n v="1"/>
    <n v="0"/>
    <x v="0"/>
    <x v="17"/>
    <b v="0"/>
    <n v="4"/>
    <n v="1"/>
    <n v="0.22"/>
    <n v="0.2424"/>
    <n v="0.55000000000000004"/>
    <n v="0.1045"/>
    <n v="2"/>
    <n v="82"/>
    <n v="84"/>
    <x v="1"/>
    <x v="3"/>
    <s v="Non-Holiday"/>
    <s v="Medium"/>
    <x v="0"/>
  </r>
  <r>
    <n v="590"/>
    <x v="26"/>
    <n v="1"/>
    <n v="0"/>
    <x v="0"/>
    <x v="18"/>
    <b v="0"/>
    <n v="4"/>
    <n v="1"/>
    <n v="0.2"/>
    <n v="0.2273"/>
    <n v="0.69"/>
    <n v="8.9599999999999999E-2"/>
    <n v="3"/>
    <n v="101"/>
    <n v="104"/>
    <x v="1"/>
    <x v="3"/>
    <s v="Non-Holiday"/>
    <s v="Medium"/>
    <x v="0"/>
  </r>
  <r>
    <n v="591"/>
    <x v="26"/>
    <n v="1"/>
    <n v="0"/>
    <x v="0"/>
    <x v="19"/>
    <b v="0"/>
    <n v="4"/>
    <n v="1"/>
    <n v="0.2"/>
    <n v="0.2273"/>
    <n v="0.69"/>
    <n v="8.9599999999999999E-2"/>
    <n v="3"/>
    <n v="76"/>
    <n v="79"/>
    <x v="1"/>
    <x v="3"/>
    <s v="Non-Holiday"/>
    <s v="Low"/>
    <x v="0"/>
  </r>
  <r>
    <n v="592"/>
    <x v="26"/>
    <n v="1"/>
    <n v="0"/>
    <x v="0"/>
    <x v="20"/>
    <b v="0"/>
    <n v="4"/>
    <n v="1"/>
    <n v="0.18"/>
    <n v="0.21210000000000001"/>
    <n v="0.74"/>
    <n v="8.9599999999999999E-2"/>
    <n v="4"/>
    <n v="55"/>
    <n v="59"/>
    <x v="1"/>
    <x v="3"/>
    <s v="Non-Holiday"/>
    <s v="Low"/>
    <x v="0"/>
  </r>
  <r>
    <n v="593"/>
    <x v="26"/>
    <n v="1"/>
    <n v="0"/>
    <x v="0"/>
    <x v="21"/>
    <b v="0"/>
    <n v="4"/>
    <n v="1"/>
    <n v="0.18"/>
    <n v="0.21210000000000001"/>
    <n v="0.74"/>
    <n v="8.9599999999999999E-2"/>
    <n v="2"/>
    <n v="36"/>
    <n v="38"/>
    <x v="1"/>
    <x v="4"/>
    <s v="Non-Holiday"/>
    <s v="Low"/>
    <x v="0"/>
  </r>
  <r>
    <n v="594"/>
    <x v="26"/>
    <n v="1"/>
    <n v="0"/>
    <x v="0"/>
    <x v="22"/>
    <b v="0"/>
    <n v="4"/>
    <n v="1"/>
    <n v="0.18"/>
    <n v="0.21210000000000001"/>
    <n v="0.74"/>
    <n v="8.9599999999999999E-2"/>
    <n v="0"/>
    <n v="27"/>
    <n v="27"/>
    <x v="1"/>
    <x v="4"/>
    <s v="Non-Holiday"/>
    <s v="Low"/>
    <x v="0"/>
  </r>
  <r>
    <n v="595"/>
    <x v="26"/>
    <n v="1"/>
    <n v="0"/>
    <x v="0"/>
    <x v="23"/>
    <b v="0"/>
    <n v="4"/>
    <n v="1"/>
    <n v="0.18"/>
    <n v="0.19700000000000001"/>
    <n v="0.8"/>
    <n v="0.16420000000000001"/>
    <n v="0"/>
    <n v="16"/>
    <n v="16"/>
    <x v="1"/>
    <x v="4"/>
    <s v="Non-Holiday"/>
    <s v="Low"/>
    <x v="0"/>
  </r>
  <r>
    <n v="596"/>
    <x v="27"/>
    <n v="1"/>
    <n v="0"/>
    <x v="0"/>
    <x v="0"/>
    <b v="0"/>
    <n v="5"/>
    <n v="2"/>
    <n v="0.2"/>
    <n v="0.21210000000000001"/>
    <n v="0.75"/>
    <n v="0.1343"/>
    <n v="0"/>
    <n v="9"/>
    <n v="9"/>
    <x v="1"/>
    <x v="0"/>
    <s v="Non-Holiday"/>
    <s v="Low"/>
    <x v="1"/>
  </r>
  <r>
    <n v="597"/>
    <x v="27"/>
    <n v="1"/>
    <n v="0"/>
    <x v="0"/>
    <x v="1"/>
    <b v="0"/>
    <n v="5"/>
    <n v="2"/>
    <n v="0.2"/>
    <n v="0.21210000000000001"/>
    <n v="0.75"/>
    <n v="0.1343"/>
    <n v="1"/>
    <n v="2"/>
    <n v="3"/>
    <x v="1"/>
    <x v="0"/>
    <s v="Non-Holiday"/>
    <s v="Low"/>
    <x v="1"/>
  </r>
  <r>
    <n v="598"/>
    <x v="27"/>
    <n v="1"/>
    <n v="0"/>
    <x v="0"/>
    <x v="2"/>
    <b v="0"/>
    <n v="5"/>
    <n v="2"/>
    <n v="0.2"/>
    <n v="0.21210000000000001"/>
    <n v="0.75"/>
    <n v="0.16420000000000001"/>
    <n v="0"/>
    <n v="2"/>
    <n v="2"/>
    <x v="1"/>
    <x v="0"/>
    <s v="Non-Holiday"/>
    <s v="Low"/>
    <x v="1"/>
  </r>
  <r>
    <n v="599"/>
    <x v="27"/>
    <n v="1"/>
    <n v="0"/>
    <x v="0"/>
    <x v="3"/>
    <b v="0"/>
    <n v="5"/>
    <n v="2"/>
    <n v="0.2"/>
    <n v="0.2273"/>
    <n v="0.75"/>
    <n v="0.1045"/>
    <n v="1"/>
    <n v="0"/>
    <n v="1"/>
    <x v="1"/>
    <x v="0"/>
    <s v="Non-Holiday"/>
    <s v="Low"/>
    <x v="1"/>
  </r>
  <r>
    <n v="600"/>
    <x v="27"/>
    <n v="1"/>
    <n v="0"/>
    <x v="0"/>
    <x v="5"/>
    <b v="0"/>
    <n v="5"/>
    <n v="2"/>
    <n v="0.18"/>
    <n v="0.21210000000000001"/>
    <n v="0.8"/>
    <n v="0.1045"/>
    <n v="0"/>
    <n v="4"/>
    <n v="4"/>
    <x v="1"/>
    <x v="0"/>
    <s v="Non-Holiday"/>
    <s v="Low"/>
    <x v="1"/>
  </r>
  <r>
    <n v="601"/>
    <x v="27"/>
    <n v="1"/>
    <n v="0"/>
    <x v="0"/>
    <x v="6"/>
    <b v="0"/>
    <n v="5"/>
    <n v="2"/>
    <n v="0.18"/>
    <n v="0.19700000000000001"/>
    <n v="0.8"/>
    <n v="0.1343"/>
    <n v="0"/>
    <n v="16"/>
    <n v="16"/>
    <x v="1"/>
    <x v="1"/>
    <s v="Non-Holiday"/>
    <s v="Low"/>
    <x v="1"/>
  </r>
  <r>
    <n v="602"/>
    <x v="27"/>
    <n v="1"/>
    <n v="0"/>
    <x v="0"/>
    <x v="7"/>
    <b v="0"/>
    <n v="5"/>
    <n v="2"/>
    <n v="0.16"/>
    <n v="0.19700000000000001"/>
    <n v="0.86"/>
    <n v="8.9599999999999999E-2"/>
    <n v="2"/>
    <n v="58"/>
    <n v="60"/>
    <x v="1"/>
    <x v="1"/>
    <s v="Non-Holiday"/>
    <s v="Low"/>
    <x v="1"/>
  </r>
  <r>
    <n v="603"/>
    <x v="27"/>
    <n v="1"/>
    <n v="0"/>
    <x v="0"/>
    <x v="8"/>
    <b v="0"/>
    <n v="5"/>
    <n v="2"/>
    <n v="0.16"/>
    <n v="0.19700000000000001"/>
    <n v="0.86"/>
    <n v="8.9599999999999999E-2"/>
    <n v="2"/>
    <n v="155"/>
    <n v="157"/>
    <x v="1"/>
    <x v="1"/>
    <s v="Non-Holiday"/>
    <s v="Medium"/>
    <x v="1"/>
  </r>
  <r>
    <n v="604"/>
    <x v="27"/>
    <n v="1"/>
    <n v="0"/>
    <x v="0"/>
    <x v="9"/>
    <b v="0"/>
    <n v="5"/>
    <n v="3"/>
    <n v="0.18"/>
    <n v="0.21210000000000001"/>
    <n v="0.86"/>
    <n v="8.9599999999999999E-2"/>
    <n v="6"/>
    <n v="95"/>
    <n v="101"/>
    <x v="1"/>
    <x v="1"/>
    <s v="Non-Holiday"/>
    <s v="Medium"/>
    <x v="2"/>
  </r>
  <r>
    <n v="605"/>
    <x v="27"/>
    <n v="1"/>
    <n v="0"/>
    <x v="0"/>
    <x v="10"/>
    <b v="0"/>
    <n v="5"/>
    <n v="3"/>
    <n v="0.18"/>
    <n v="0.21210000000000001"/>
    <n v="0.86"/>
    <n v="0.1045"/>
    <n v="0"/>
    <n v="49"/>
    <n v="49"/>
    <x v="1"/>
    <x v="2"/>
    <s v="Non-Holiday"/>
    <s v="Low"/>
    <x v="2"/>
  </r>
  <r>
    <n v="606"/>
    <x v="27"/>
    <n v="1"/>
    <n v="0"/>
    <x v="0"/>
    <x v="11"/>
    <b v="0"/>
    <n v="5"/>
    <n v="3"/>
    <n v="0.18"/>
    <n v="0.21210000000000001"/>
    <n v="0.93"/>
    <n v="0.1045"/>
    <n v="0"/>
    <n v="30"/>
    <n v="30"/>
    <x v="1"/>
    <x v="2"/>
    <s v="Non-Holiday"/>
    <s v="Low"/>
    <x v="2"/>
  </r>
  <r>
    <n v="607"/>
    <x v="27"/>
    <n v="1"/>
    <n v="0"/>
    <x v="0"/>
    <x v="12"/>
    <b v="0"/>
    <n v="5"/>
    <n v="3"/>
    <n v="0.18"/>
    <n v="0.21210000000000001"/>
    <n v="0.93"/>
    <n v="0.1045"/>
    <n v="1"/>
    <n v="28"/>
    <n v="29"/>
    <x v="1"/>
    <x v="2"/>
    <s v="Non-Holiday"/>
    <s v="Low"/>
    <x v="2"/>
  </r>
  <r>
    <n v="608"/>
    <x v="27"/>
    <n v="1"/>
    <n v="0"/>
    <x v="0"/>
    <x v="13"/>
    <b v="0"/>
    <n v="5"/>
    <n v="3"/>
    <n v="0.18"/>
    <n v="0.21210000000000001"/>
    <n v="0.93"/>
    <n v="0.1045"/>
    <n v="0"/>
    <n v="31"/>
    <n v="31"/>
    <x v="1"/>
    <x v="2"/>
    <s v="Non-Holiday"/>
    <s v="Low"/>
    <x v="2"/>
  </r>
  <r>
    <n v="609"/>
    <x v="27"/>
    <n v="1"/>
    <n v="0"/>
    <x v="0"/>
    <x v="14"/>
    <b v="0"/>
    <n v="5"/>
    <n v="3"/>
    <n v="0.22"/>
    <n v="0.2727"/>
    <n v="0.8"/>
    <n v="0"/>
    <n v="2"/>
    <n v="36"/>
    <n v="38"/>
    <x v="1"/>
    <x v="2"/>
    <s v="Non-Holiday"/>
    <s v="Low"/>
    <x v="2"/>
  </r>
  <r>
    <n v="610"/>
    <x v="27"/>
    <n v="1"/>
    <n v="0"/>
    <x v="0"/>
    <x v="15"/>
    <b v="0"/>
    <n v="5"/>
    <n v="2"/>
    <n v="0.2"/>
    <n v="0.2576"/>
    <n v="0.86"/>
    <n v="0"/>
    <n v="1"/>
    <n v="40"/>
    <n v="41"/>
    <x v="1"/>
    <x v="2"/>
    <s v="Non-Holiday"/>
    <s v="Low"/>
    <x v="1"/>
  </r>
  <r>
    <n v="611"/>
    <x v="27"/>
    <n v="1"/>
    <n v="0"/>
    <x v="0"/>
    <x v="16"/>
    <b v="0"/>
    <n v="5"/>
    <n v="1"/>
    <n v="0.22"/>
    <n v="0.2727"/>
    <n v="0.8"/>
    <n v="0"/>
    <n v="10"/>
    <n v="70"/>
    <n v="80"/>
    <x v="1"/>
    <x v="2"/>
    <s v="Non-Holiday"/>
    <s v="Medium"/>
    <x v="0"/>
  </r>
  <r>
    <n v="612"/>
    <x v="27"/>
    <n v="1"/>
    <n v="0"/>
    <x v="0"/>
    <x v="17"/>
    <b v="0"/>
    <n v="5"/>
    <n v="1"/>
    <n v="0.24"/>
    <n v="0.2424"/>
    <n v="0.75"/>
    <n v="0.1343"/>
    <n v="2"/>
    <n v="147"/>
    <n v="149"/>
    <x v="1"/>
    <x v="3"/>
    <s v="Non-Holiday"/>
    <s v="Medium"/>
    <x v="0"/>
  </r>
  <r>
    <n v="613"/>
    <x v="27"/>
    <n v="1"/>
    <n v="0"/>
    <x v="0"/>
    <x v="18"/>
    <b v="0"/>
    <n v="5"/>
    <n v="1"/>
    <n v="0.24"/>
    <n v="0.2273"/>
    <n v="0.75"/>
    <n v="0.19400000000000001"/>
    <n v="2"/>
    <n v="107"/>
    <n v="109"/>
    <x v="1"/>
    <x v="3"/>
    <s v="Non-Holiday"/>
    <s v="Medium"/>
    <x v="0"/>
  </r>
  <r>
    <n v="614"/>
    <x v="27"/>
    <n v="1"/>
    <n v="0"/>
    <x v="0"/>
    <x v="19"/>
    <b v="0"/>
    <n v="5"/>
    <n v="2"/>
    <n v="0.24"/>
    <n v="0.2424"/>
    <n v="0.75"/>
    <n v="0.1343"/>
    <n v="5"/>
    <n v="84"/>
    <n v="89"/>
    <x v="1"/>
    <x v="3"/>
    <s v="Non-Holiday"/>
    <s v="Medium"/>
    <x v="1"/>
  </r>
  <r>
    <n v="615"/>
    <x v="27"/>
    <n v="1"/>
    <n v="0"/>
    <x v="0"/>
    <x v="20"/>
    <b v="0"/>
    <n v="5"/>
    <n v="2"/>
    <n v="0.24"/>
    <n v="0.2273"/>
    <n v="0.7"/>
    <n v="0.19400000000000001"/>
    <n v="1"/>
    <n v="61"/>
    <n v="62"/>
    <x v="1"/>
    <x v="3"/>
    <s v="Non-Holiday"/>
    <s v="Low"/>
    <x v="1"/>
  </r>
  <r>
    <n v="616"/>
    <x v="27"/>
    <n v="1"/>
    <n v="0"/>
    <x v="0"/>
    <x v="21"/>
    <b v="0"/>
    <n v="5"/>
    <n v="2"/>
    <n v="0.22"/>
    <n v="0.2273"/>
    <n v="0.75"/>
    <n v="0.1343"/>
    <n v="1"/>
    <n v="57"/>
    <n v="58"/>
    <x v="1"/>
    <x v="4"/>
    <s v="Non-Holiday"/>
    <s v="Low"/>
    <x v="1"/>
  </r>
  <r>
    <n v="617"/>
    <x v="27"/>
    <n v="1"/>
    <n v="0"/>
    <x v="0"/>
    <x v="22"/>
    <b v="0"/>
    <n v="5"/>
    <n v="1"/>
    <n v="0.24"/>
    <n v="0.21210000000000001"/>
    <n v="0.65"/>
    <n v="0.35820000000000002"/>
    <n v="0"/>
    <n v="26"/>
    <n v="26"/>
    <x v="1"/>
    <x v="4"/>
    <s v="Non-Holiday"/>
    <s v="Low"/>
    <x v="0"/>
  </r>
  <r>
    <n v="618"/>
    <x v="27"/>
    <n v="1"/>
    <n v="0"/>
    <x v="0"/>
    <x v="23"/>
    <b v="0"/>
    <n v="5"/>
    <n v="1"/>
    <n v="0.24"/>
    <n v="0.2273"/>
    <n v="0.6"/>
    <n v="0.22389999999999999"/>
    <n v="1"/>
    <n v="22"/>
    <n v="23"/>
    <x v="1"/>
    <x v="4"/>
    <s v="Non-Holiday"/>
    <s v="Low"/>
    <x v="0"/>
  </r>
  <r>
    <n v="619"/>
    <x v="28"/>
    <n v="1"/>
    <n v="0"/>
    <x v="0"/>
    <x v="0"/>
    <b v="0"/>
    <n v="6"/>
    <n v="1"/>
    <n v="0.22"/>
    <n v="0.19700000000000001"/>
    <n v="0.64"/>
    <n v="0.35820000000000002"/>
    <n v="2"/>
    <n v="26"/>
    <n v="28"/>
    <x v="0"/>
    <x v="0"/>
    <s v="Non-Holiday"/>
    <s v="Low"/>
    <x v="0"/>
  </r>
  <r>
    <n v="620"/>
    <x v="28"/>
    <n v="1"/>
    <n v="0"/>
    <x v="0"/>
    <x v="1"/>
    <b v="0"/>
    <n v="6"/>
    <n v="1"/>
    <n v="0.22"/>
    <n v="0.2273"/>
    <n v="0.64"/>
    <n v="0.19400000000000001"/>
    <n v="0"/>
    <n v="20"/>
    <n v="20"/>
    <x v="0"/>
    <x v="0"/>
    <s v="Non-Holiday"/>
    <s v="Low"/>
    <x v="0"/>
  </r>
  <r>
    <n v="621"/>
    <x v="28"/>
    <n v="1"/>
    <n v="0"/>
    <x v="0"/>
    <x v="2"/>
    <b v="0"/>
    <n v="6"/>
    <n v="1"/>
    <n v="0.22"/>
    <n v="0.2273"/>
    <n v="0.64"/>
    <n v="0.16420000000000001"/>
    <n v="0"/>
    <n v="15"/>
    <n v="15"/>
    <x v="0"/>
    <x v="0"/>
    <s v="Non-Holiday"/>
    <s v="Low"/>
    <x v="0"/>
  </r>
  <r>
    <n v="622"/>
    <x v="28"/>
    <n v="1"/>
    <n v="0"/>
    <x v="0"/>
    <x v="3"/>
    <b v="0"/>
    <n v="6"/>
    <n v="1"/>
    <n v="0.2"/>
    <n v="0.21210000000000001"/>
    <n v="0.64"/>
    <n v="0.1343"/>
    <n v="3"/>
    <n v="5"/>
    <n v="8"/>
    <x v="0"/>
    <x v="0"/>
    <s v="Non-Holiday"/>
    <s v="Low"/>
    <x v="0"/>
  </r>
  <r>
    <n v="623"/>
    <x v="28"/>
    <n v="1"/>
    <n v="0"/>
    <x v="0"/>
    <x v="4"/>
    <b v="0"/>
    <n v="6"/>
    <n v="1"/>
    <n v="0.16"/>
    <n v="0.18179999999999999"/>
    <n v="0.69"/>
    <n v="0.1045"/>
    <n v="1"/>
    <n v="2"/>
    <n v="3"/>
    <x v="0"/>
    <x v="0"/>
    <s v="Non-Holiday"/>
    <s v="Low"/>
    <x v="0"/>
  </r>
  <r>
    <n v="624"/>
    <x v="28"/>
    <n v="1"/>
    <n v="0"/>
    <x v="0"/>
    <x v="6"/>
    <b v="0"/>
    <n v="6"/>
    <n v="1"/>
    <n v="0.16"/>
    <n v="0.18179999999999999"/>
    <n v="0.64"/>
    <n v="0.1343"/>
    <n v="0"/>
    <n v="2"/>
    <n v="2"/>
    <x v="0"/>
    <x v="1"/>
    <s v="Non-Holiday"/>
    <s v="Low"/>
    <x v="0"/>
  </r>
  <r>
    <n v="625"/>
    <x v="28"/>
    <n v="1"/>
    <n v="0"/>
    <x v="0"/>
    <x v="7"/>
    <b v="0"/>
    <n v="6"/>
    <n v="1"/>
    <n v="0.16"/>
    <n v="0.18179999999999999"/>
    <n v="0.59"/>
    <n v="0.1045"/>
    <n v="1"/>
    <n v="4"/>
    <n v="5"/>
    <x v="0"/>
    <x v="1"/>
    <s v="Non-Holiday"/>
    <s v="Low"/>
    <x v="0"/>
  </r>
  <r>
    <n v="626"/>
    <x v="28"/>
    <n v="1"/>
    <n v="0"/>
    <x v="0"/>
    <x v="8"/>
    <b v="0"/>
    <n v="6"/>
    <n v="1"/>
    <n v="0.18"/>
    <n v="0.19700000000000001"/>
    <n v="0.55000000000000004"/>
    <n v="0.16420000000000001"/>
    <n v="3"/>
    <n v="31"/>
    <n v="34"/>
    <x v="0"/>
    <x v="1"/>
    <s v="Non-Holiday"/>
    <s v="Low"/>
    <x v="0"/>
  </r>
  <r>
    <n v="627"/>
    <x v="28"/>
    <n v="1"/>
    <n v="0"/>
    <x v="0"/>
    <x v="9"/>
    <b v="0"/>
    <n v="6"/>
    <n v="1"/>
    <n v="0.18"/>
    <n v="0.21210000000000001"/>
    <n v="0.59"/>
    <n v="8.9599999999999999E-2"/>
    <n v="0"/>
    <n v="34"/>
    <n v="34"/>
    <x v="0"/>
    <x v="1"/>
    <s v="Non-Holiday"/>
    <s v="Low"/>
    <x v="0"/>
  </r>
  <r>
    <n v="628"/>
    <x v="28"/>
    <n v="1"/>
    <n v="0"/>
    <x v="0"/>
    <x v="10"/>
    <b v="0"/>
    <n v="6"/>
    <n v="2"/>
    <n v="0.18"/>
    <n v="0.21210000000000001"/>
    <n v="0.64"/>
    <n v="0.1045"/>
    <n v="4"/>
    <n v="51"/>
    <n v="55"/>
    <x v="0"/>
    <x v="2"/>
    <s v="Non-Holiday"/>
    <s v="Low"/>
    <x v="1"/>
  </r>
  <r>
    <n v="629"/>
    <x v="28"/>
    <n v="1"/>
    <n v="0"/>
    <x v="0"/>
    <x v="11"/>
    <b v="0"/>
    <n v="6"/>
    <n v="2"/>
    <n v="0.18"/>
    <n v="0.19700000000000001"/>
    <n v="0.64"/>
    <n v="0.1343"/>
    <n v="4"/>
    <n v="60"/>
    <n v="64"/>
    <x v="0"/>
    <x v="2"/>
    <s v="Non-Holiday"/>
    <s v="Low"/>
    <x v="1"/>
  </r>
  <r>
    <n v="630"/>
    <x v="28"/>
    <n v="1"/>
    <n v="0"/>
    <x v="0"/>
    <x v="12"/>
    <b v="0"/>
    <n v="6"/>
    <n v="2"/>
    <n v="0.2"/>
    <n v="0.19700000000000001"/>
    <n v="0.59"/>
    <n v="0.19400000000000001"/>
    <n v="12"/>
    <n v="66"/>
    <n v="78"/>
    <x v="0"/>
    <x v="2"/>
    <s v="Non-Holiday"/>
    <s v="Low"/>
    <x v="1"/>
  </r>
  <r>
    <n v="631"/>
    <x v="28"/>
    <n v="1"/>
    <n v="0"/>
    <x v="0"/>
    <x v="13"/>
    <b v="0"/>
    <n v="6"/>
    <n v="2"/>
    <n v="0.22"/>
    <n v="0.2273"/>
    <n v="0.55000000000000004"/>
    <n v="0.16420000000000001"/>
    <n v="9"/>
    <n v="56"/>
    <n v="65"/>
    <x v="0"/>
    <x v="2"/>
    <s v="Non-Holiday"/>
    <s v="Low"/>
    <x v="1"/>
  </r>
  <r>
    <n v="632"/>
    <x v="28"/>
    <n v="1"/>
    <n v="0"/>
    <x v="0"/>
    <x v="14"/>
    <b v="0"/>
    <n v="6"/>
    <n v="2"/>
    <n v="0.22"/>
    <n v="0.2273"/>
    <n v="0.6"/>
    <n v="0.1343"/>
    <n v="10"/>
    <n v="89"/>
    <n v="99"/>
    <x v="0"/>
    <x v="2"/>
    <s v="Non-Holiday"/>
    <s v="Medium"/>
    <x v="1"/>
  </r>
  <r>
    <n v="633"/>
    <x v="28"/>
    <n v="1"/>
    <n v="0"/>
    <x v="0"/>
    <x v="15"/>
    <b v="0"/>
    <n v="6"/>
    <n v="1"/>
    <n v="0.22"/>
    <n v="0.21210000000000001"/>
    <n v="0.69"/>
    <n v="0.25369999999999998"/>
    <n v="22"/>
    <n v="98"/>
    <n v="120"/>
    <x v="0"/>
    <x v="2"/>
    <s v="Non-Holiday"/>
    <s v="Medium"/>
    <x v="0"/>
  </r>
  <r>
    <n v="634"/>
    <x v="28"/>
    <n v="1"/>
    <n v="0"/>
    <x v="0"/>
    <x v="16"/>
    <b v="0"/>
    <n v="6"/>
    <n v="1"/>
    <n v="0.24"/>
    <n v="0.2424"/>
    <n v="0.6"/>
    <n v="0.16420000000000001"/>
    <n v="19"/>
    <n v="88"/>
    <n v="107"/>
    <x v="0"/>
    <x v="2"/>
    <s v="Non-Holiday"/>
    <s v="Medium"/>
    <x v="0"/>
  </r>
  <r>
    <n v="635"/>
    <x v="28"/>
    <n v="1"/>
    <n v="0"/>
    <x v="0"/>
    <x v="17"/>
    <b v="0"/>
    <n v="6"/>
    <n v="1"/>
    <n v="0.24"/>
    <n v="0.28789999999999999"/>
    <n v="0.6"/>
    <n v="0"/>
    <n v="9"/>
    <n v="82"/>
    <n v="91"/>
    <x v="0"/>
    <x v="3"/>
    <s v="Non-Holiday"/>
    <s v="Medium"/>
    <x v="0"/>
  </r>
  <r>
    <n v="636"/>
    <x v="28"/>
    <n v="1"/>
    <n v="0"/>
    <x v="0"/>
    <x v="18"/>
    <b v="0"/>
    <n v="6"/>
    <n v="1"/>
    <n v="0.22"/>
    <n v="0.2273"/>
    <n v="0.69"/>
    <n v="0.1343"/>
    <n v="9"/>
    <n v="59"/>
    <n v="68"/>
    <x v="0"/>
    <x v="3"/>
    <s v="Non-Holiday"/>
    <s v="Low"/>
    <x v="0"/>
  </r>
  <r>
    <n v="637"/>
    <x v="28"/>
    <n v="1"/>
    <n v="0"/>
    <x v="0"/>
    <x v="19"/>
    <b v="0"/>
    <n v="6"/>
    <n v="2"/>
    <n v="0.22"/>
    <n v="0.21210000000000001"/>
    <n v="0.69"/>
    <n v="0.25369999999999998"/>
    <n v="6"/>
    <n v="52"/>
    <n v="58"/>
    <x v="0"/>
    <x v="3"/>
    <s v="Non-Holiday"/>
    <s v="Low"/>
    <x v="1"/>
  </r>
  <r>
    <n v="638"/>
    <x v="28"/>
    <n v="1"/>
    <n v="0"/>
    <x v="0"/>
    <x v="20"/>
    <b v="0"/>
    <n v="6"/>
    <n v="1"/>
    <n v="0.18"/>
    <n v="0.21210000000000001"/>
    <n v="0.74"/>
    <n v="8.9599999999999999E-2"/>
    <n v="1"/>
    <n v="42"/>
    <n v="43"/>
    <x v="0"/>
    <x v="3"/>
    <s v="Non-Holiday"/>
    <s v="Low"/>
    <x v="0"/>
  </r>
  <r>
    <n v="639"/>
    <x v="28"/>
    <n v="1"/>
    <n v="0"/>
    <x v="0"/>
    <x v="21"/>
    <b v="0"/>
    <n v="6"/>
    <n v="1"/>
    <n v="0.18"/>
    <n v="0.21210000000000001"/>
    <n v="0.74"/>
    <n v="8.9599999999999999E-2"/>
    <n v="1"/>
    <n v="35"/>
    <n v="36"/>
    <x v="0"/>
    <x v="4"/>
    <s v="Non-Holiday"/>
    <s v="Low"/>
    <x v="0"/>
  </r>
  <r>
    <n v="640"/>
    <x v="28"/>
    <n v="1"/>
    <n v="0"/>
    <x v="0"/>
    <x v="22"/>
    <b v="0"/>
    <n v="6"/>
    <n v="1"/>
    <n v="0.16"/>
    <n v="0.19700000000000001"/>
    <n v="0.8"/>
    <n v="8.9599999999999999E-2"/>
    <n v="4"/>
    <n v="28"/>
    <n v="32"/>
    <x v="0"/>
    <x v="4"/>
    <s v="Non-Holiday"/>
    <s v="Low"/>
    <x v="0"/>
  </r>
  <r>
    <n v="641"/>
    <x v="28"/>
    <n v="1"/>
    <n v="0"/>
    <x v="0"/>
    <x v="23"/>
    <b v="0"/>
    <n v="6"/>
    <n v="1"/>
    <n v="0.16"/>
    <n v="0.19700000000000001"/>
    <n v="0.8"/>
    <n v="8.9599999999999999E-2"/>
    <n v="3"/>
    <n v="30"/>
    <n v="33"/>
    <x v="0"/>
    <x v="4"/>
    <s v="Non-Holiday"/>
    <s v="Low"/>
    <x v="0"/>
  </r>
  <r>
    <n v="642"/>
    <x v="29"/>
    <n v="1"/>
    <n v="0"/>
    <x v="0"/>
    <x v="0"/>
    <b v="0"/>
    <n v="0"/>
    <n v="1"/>
    <n v="0.16"/>
    <n v="0.18179999999999999"/>
    <n v="0.8"/>
    <n v="0.1045"/>
    <n v="0"/>
    <n v="33"/>
    <n v="33"/>
    <x v="0"/>
    <x v="0"/>
    <s v="Non-Holiday"/>
    <s v="Low"/>
    <x v="0"/>
  </r>
  <r>
    <n v="643"/>
    <x v="29"/>
    <n v="1"/>
    <n v="0"/>
    <x v="0"/>
    <x v="1"/>
    <b v="0"/>
    <n v="0"/>
    <n v="1"/>
    <n v="0.14000000000000001"/>
    <n v="0.21210000000000001"/>
    <n v="0.8"/>
    <n v="0"/>
    <n v="7"/>
    <n v="22"/>
    <n v="29"/>
    <x v="0"/>
    <x v="0"/>
    <s v="Non-Holiday"/>
    <s v="Low"/>
    <x v="0"/>
  </r>
  <r>
    <n v="644"/>
    <x v="29"/>
    <n v="1"/>
    <n v="0"/>
    <x v="0"/>
    <x v="2"/>
    <b v="0"/>
    <n v="0"/>
    <n v="1"/>
    <n v="0.16"/>
    <n v="0.2273"/>
    <n v="0.8"/>
    <n v="0"/>
    <n v="1"/>
    <n v="10"/>
    <n v="11"/>
    <x v="0"/>
    <x v="0"/>
    <s v="Non-Holiday"/>
    <s v="Low"/>
    <x v="0"/>
  </r>
  <r>
    <n v="645"/>
    <x v="29"/>
    <n v="1"/>
    <n v="0"/>
    <x v="0"/>
    <x v="3"/>
    <b v="0"/>
    <n v="0"/>
    <n v="1"/>
    <n v="0.14000000000000001"/>
    <n v="0.21210000000000001"/>
    <n v="0.93"/>
    <n v="0"/>
    <n v="1"/>
    <n v="7"/>
    <n v="8"/>
    <x v="0"/>
    <x v="0"/>
    <s v="Non-Holiday"/>
    <s v="Low"/>
    <x v="0"/>
  </r>
  <r>
    <n v="646"/>
    <x v="29"/>
    <n v="1"/>
    <n v="0"/>
    <x v="0"/>
    <x v="4"/>
    <b v="0"/>
    <n v="0"/>
    <n v="1"/>
    <n v="0.14000000000000001"/>
    <n v="0.21210000000000001"/>
    <n v="0.93"/>
    <n v="0"/>
    <n v="0"/>
    <n v="1"/>
    <n v="1"/>
    <x v="0"/>
    <x v="0"/>
    <s v="Non-Holiday"/>
    <s v="Low"/>
    <x v="0"/>
  </r>
  <r>
    <n v="647"/>
    <x v="29"/>
    <n v="1"/>
    <n v="0"/>
    <x v="0"/>
    <x v="5"/>
    <b v="0"/>
    <n v="0"/>
    <n v="1"/>
    <n v="0.14000000000000001"/>
    <n v="0.21210000000000001"/>
    <n v="0.86"/>
    <n v="0"/>
    <n v="0"/>
    <n v="3"/>
    <n v="3"/>
    <x v="0"/>
    <x v="0"/>
    <s v="Non-Holiday"/>
    <s v="Low"/>
    <x v="0"/>
  </r>
  <r>
    <n v="648"/>
    <x v="29"/>
    <n v="1"/>
    <n v="0"/>
    <x v="0"/>
    <x v="7"/>
    <b v="0"/>
    <n v="0"/>
    <n v="1"/>
    <n v="0.14000000000000001"/>
    <n v="0.21210000000000001"/>
    <n v="0.86"/>
    <n v="0"/>
    <n v="0"/>
    <n v="3"/>
    <n v="3"/>
    <x v="0"/>
    <x v="1"/>
    <s v="Non-Holiday"/>
    <s v="Low"/>
    <x v="0"/>
  </r>
  <r>
    <n v="649"/>
    <x v="29"/>
    <n v="1"/>
    <n v="0"/>
    <x v="0"/>
    <x v="8"/>
    <b v="0"/>
    <n v="0"/>
    <n v="2"/>
    <n v="0.14000000000000001"/>
    <n v="0.21210000000000001"/>
    <n v="0.86"/>
    <n v="0"/>
    <n v="1"/>
    <n v="11"/>
    <n v="12"/>
    <x v="0"/>
    <x v="1"/>
    <s v="Non-Holiday"/>
    <s v="Low"/>
    <x v="1"/>
  </r>
  <r>
    <n v="650"/>
    <x v="29"/>
    <n v="1"/>
    <n v="0"/>
    <x v="0"/>
    <x v="9"/>
    <b v="0"/>
    <n v="0"/>
    <n v="2"/>
    <n v="0.16"/>
    <n v="0.2273"/>
    <n v="0.8"/>
    <n v="0"/>
    <n v="4"/>
    <n v="34"/>
    <n v="38"/>
    <x v="0"/>
    <x v="1"/>
    <s v="Non-Holiday"/>
    <s v="Low"/>
    <x v="1"/>
  </r>
  <r>
    <n v="651"/>
    <x v="29"/>
    <n v="1"/>
    <n v="0"/>
    <x v="0"/>
    <x v="10"/>
    <b v="0"/>
    <n v="0"/>
    <n v="2"/>
    <n v="0.18"/>
    <n v="0.2424"/>
    <n v="0.8"/>
    <n v="0"/>
    <n v="7"/>
    <n v="57"/>
    <n v="64"/>
    <x v="0"/>
    <x v="2"/>
    <s v="Non-Holiday"/>
    <s v="Low"/>
    <x v="1"/>
  </r>
  <r>
    <n v="652"/>
    <x v="29"/>
    <n v="1"/>
    <n v="0"/>
    <x v="0"/>
    <x v="11"/>
    <b v="0"/>
    <n v="0"/>
    <n v="1"/>
    <n v="0.22"/>
    <n v="0.2727"/>
    <n v="0.75"/>
    <n v="0"/>
    <n v="9"/>
    <n v="50"/>
    <n v="59"/>
    <x v="0"/>
    <x v="2"/>
    <s v="Non-Holiday"/>
    <s v="Low"/>
    <x v="0"/>
  </r>
  <r>
    <n v="653"/>
    <x v="29"/>
    <n v="1"/>
    <n v="0"/>
    <x v="0"/>
    <x v="12"/>
    <b v="0"/>
    <n v="0"/>
    <n v="1"/>
    <n v="0.3"/>
    <n v="0.31819999999999998"/>
    <n v="0.52"/>
    <n v="0.1045"/>
    <n v="10"/>
    <n v="87"/>
    <n v="97"/>
    <x v="0"/>
    <x v="2"/>
    <s v="Non-Holiday"/>
    <s v="Medium"/>
    <x v="0"/>
  </r>
  <r>
    <n v="654"/>
    <x v="29"/>
    <n v="1"/>
    <n v="0"/>
    <x v="0"/>
    <x v="13"/>
    <b v="0"/>
    <n v="0"/>
    <n v="1"/>
    <n v="0.28000000000000003"/>
    <n v="0.28789999999999999"/>
    <n v="0.61"/>
    <n v="0.1045"/>
    <n v="13"/>
    <n v="71"/>
    <n v="84"/>
    <x v="0"/>
    <x v="2"/>
    <s v="Non-Holiday"/>
    <s v="Medium"/>
    <x v="0"/>
  </r>
  <r>
    <n v="655"/>
    <x v="29"/>
    <n v="1"/>
    <n v="0"/>
    <x v="0"/>
    <x v="14"/>
    <b v="0"/>
    <n v="0"/>
    <n v="1"/>
    <n v="0.28000000000000003"/>
    <n v="0.30299999999999999"/>
    <n v="0.61"/>
    <n v="8.9599999999999999E-2"/>
    <n v="18"/>
    <n v="104"/>
    <n v="122"/>
    <x v="0"/>
    <x v="2"/>
    <s v="Non-Holiday"/>
    <s v="Medium"/>
    <x v="0"/>
  </r>
  <r>
    <n v="656"/>
    <x v="29"/>
    <n v="1"/>
    <n v="0"/>
    <x v="0"/>
    <x v="15"/>
    <b v="0"/>
    <n v="0"/>
    <n v="1"/>
    <n v="0.3"/>
    <n v="0.33329999999999999"/>
    <n v="0.56000000000000005"/>
    <n v="0"/>
    <n v="14"/>
    <n v="95"/>
    <n v="109"/>
    <x v="0"/>
    <x v="2"/>
    <s v="Non-Holiday"/>
    <s v="Medium"/>
    <x v="0"/>
  </r>
  <r>
    <n v="657"/>
    <x v="29"/>
    <n v="1"/>
    <n v="0"/>
    <x v="0"/>
    <x v="16"/>
    <b v="0"/>
    <n v="0"/>
    <n v="1"/>
    <n v="0.3"/>
    <n v="0.33329999999999999"/>
    <n v="0.56000000000000005"/>
    <n v="0"/>
    <n v="19"/>
    <n v="104"/>
    <n v="123"/>
    <x v="0"/>
    <x v="2"/>
    <s v="Non-Holiday"/>
    <s v="Medium"/>
    <x v="0"/>
  </r>
  <r>
    <n v="658"/>
    <x v="29"/>
    <n v="1"/>
    <n v="0"/>
    <x v="0"/>
    <x v="17"/>
    <b v="0"/>
    <n v="0"/>
    <n v="1"/>
    <n v="0.3"/>
    <n v="0.28789999999999999"/>
    <n v="0.56000000000000005"/>
    <n v="0.19400000000000001"/>
    <n v="6"/>
    <n v="71"/>
    <n v="77"/>
    <x v="0"/>
    <x v="3"/>
    <s v="Non-Holiday"/>
    <s v="Low"/>
    <x v="0"/>
  </r>
  <r>
    <n v="659"/>
    <x v="29"/>
    <n v="1"/>
    <n v="0"/>
    <x v="0"/>
    <x v="18"/>
    <b v="0"/>
    <n v="0"/>
    <n v="1"/>
    <n v="0.26"/>
    <n v="0.2576"/>
    <n v="0.65"/>
    <n v="0.16420000000000001"/>
    <n v="8"/>
    <n v="57"/>
    <n v="65"/>
    <x v="0"/>
    <x v="3"/>
    <s v="Non-Holiday"/>
    <s v="Low"/>
    <x v="0"/>
  </r>
  <r>
    <n v="660"/>
    <x v="29"/>
    <n v="1"/>
    <n v="0"/>
    <x v="0"/>
    <x v="19"/>
    <b v="0"/>
    <n v="0"/>
    <n v="1"/>
    <n v="0.26"/>
    <n v="0.2576"/>
    <n v="0.65"/>
    <n v="0.19400000000000001"/>
    <n v="9"/>
    <n v="46"/>
    <n v="55"/>
    <x v="0"/>
    <x v="3"/>
    <s v="Non-Holiday"/>
    <s v="Low"/>
    <x v="0"/>
  </r>
  <r>
    <n v="661"/>
    <x v="29"/>
    <n v="1"/>
    <n v="0"/>
    <x v="0"/>
    <x v="20"/>
    <b v="0"/>
    <n v="0"/>
    <n v="2"/>
    <n v="0.26"/>
    <n v="0.2727"/>
    <n v="0.65"/>
    <n v="0.1045"/>
    <n v="3"/>
    <n v="30"/>
    <n v="33"/>
    <x v="0"/>
    <x v="3"/>
    <s v="Non-Holiday"/>
    <s v="Low"/>
    <x v="1"/>
  </r>
  <r>
    <n v="662"/>
    <x v="29"/>
    <n v="1"/>
    <n v="0"/>
    <x v="0"/>
    <x v="21"/>
    <b v="0"/>
    <n v="0"/>
    <n v="2"/>
    <n v="0.24"/>
    <n v="0.2424"/>
    <n v="0.7"/>
    <n v="0.16420000000000001"/>
    <n v="3"/>
    <n v="25"/>
    <n v="28"/>
    <x v="0"/>
    <x v="4"/>
    <s v="Non-Holiday"/>
    <s v="Low"/>
    <x v="1"/>
  </r>
  <r>
    <n v="663"/>
    <x v="29"/>
    <n v="1"/>
    <n v="0"/>
    <x v="0"/>
    <x v="22"/>
    <b v="0"/>
    <n v="0"/>
    <n v="2"/>
    <n v="0.24"/>
    <n v="0.2273"/>
    <n v="0.7"/>
    <n v="0.19400000000000001"/>
    <n v="2"/>
    <n v="19"/>
    <n v="21"/>
    <x v="0"/>
    <x v="4"/>
    <s v="Non-Holiday"/>
    <s v="Low"/>
    <x v="1"/>
  </r>
  <r>
    <n v="664"/>
    <x v="29"/>
    <n v="1"/>
    <n v="0"/>
    <x v="0"/>
    <x v="23"/>
    <b v="0"/>
    <n v="0"/>
    <n v="2"/>
    <n v="0.24"/>
    <n v="0.21210000000000001"/>
    <n v="0.65"/>
    <n v="0.28360000000000002"/>
    <n v="5"/>
    <n v="16"/>
    <n v="21"/>
    <x v="0"/>
    <x v="4"/>
    <s v="Non-Holiday"/>
    <s v="Low"/>
    <x v="1"/>
  </r>
  <r>
    <n v="665"/>
    <x v="30"/>
    <n v="1"/>
    <n v="0"/>
    <x v="0"/>
    <x v="0"/>
    <b v="0"/>
    <n v="1"/>
    <n v="2"/>
    <n v="0.24"/>
    <n v="0.2273"/>
    <n v="0.65"/>
    <n v="0.22389999999999999"/>
    <n v="1"/>
    <n v="6"/>
    <n v="7"/>
    <x v="1"/>
    <x v="0"/>
    <s v="Non-Holiday"/>
    <s v="Low"/>
    <x v="1"/>
  </r>
  <r>
    <n v="666"/>
    <x v="30"/>
    <n v="1"/>
    <n v="0"/>
    <x v="0"/>
    <x v="1"/>
    <b v="0"/>
    <n v="1"/>
    <n v="1"/>
    <n v="0.22"/>
    <n v="0.21210000000000001"/>
    <n v="0.64"/>
    <n v="0.25369999999999998"/>
    <n v="2"/>
    <n v="5"/>
    <n v="7"/>
    <x v="1"/>
    <x v="0"/>
    <s v="Non-Holiday"/>
    <s v="Low"/>
    <x v="0"/>
  </r>
  <r>
    <n v="667"/>
    <x v="30"/>
    <n v="1"/>
    <n v="0"/>
    <x v="0"/>
    <x v="2"/>
    <b v="0"/>
    <n v="1"/>
    <n v="1"/>
    <n v="0.22"/>
    <n v="0.2273"/>
    <n v="0.64"/>
    <n v="0.19400000000000001"/>
    <n v="0"/>
    <n v="1"/>
    <n v="1"/>
    <x v="1"/>
    <x v="0"/>
    <s v="Non-Holiday"/>
    <s v="Low"/>
    <x v="0"/>
  </r>
  <r>
    <n v="668"/>
    <x v="30"/>
    <n v="1"/>
    <n v="0"/>
    <x v="0"/>
    <x v="3"/>
    <b v="0"/>
    <n v="1"/>
    <n v="1"/>
    <n v="0.22"/>
    <n v="0.2273"/>
    <n v="0.64"/>
    <n v="0.19400000000000001"/>
    <n v="0"/>
    <n v="2"/>
    <n v="2"/>
    <x v="1"/>
    <x v="0"/>
    <s v="Non-Holiday"/>
    <s v="Low"/>
    <x v="0"/>
  </r>
  <r>
    <n v="669"/>
    <x v="30"/>
    <n v="1"/>
    <n v="0"/>
    <x v="0"/>
    <x v="4"/>
    <b v="0"/>
    <n v="1"/>
    <n v="1"/>
    <n v="0.2"/>
    <n v="0.19700000000000001"/>
    <n v="0.59"/>
    <n v="0.22389999999999999"/>
    <n v="0"/>
    <n v="2"/>
    <n v="2"/>
    <x v="1"/>
    <x v="0"/>
    <s v="Non-Holiday"/>
    <s v="Low"/>
    <x v="0"/>
  </r>
  <r>
    <n v="670"/>
    <x v="30"/>
    <n v="1"/>
    <n v="0"/>
    <x v="0"/>
    <x v="5"/>
    <b v="0"/>
    <n v="1"/>
    <n v="1"/>
    <n v="0.18"/>
    <n v="0.16669999999999999"/>
    <n v="0.64"/>
    <n v="0.28360000000000002"/>
    <n v="0"/>
    <n v="8"/>
    <n v="8"/>
    <x v="1"/>
    <x v="0"/>
    <s v="Non-Holiday"/>
    <s v="Low"/>
    <x v="0"/>
  </r>
  <r>
    <n v="671"/>
    <x v="30"/>
    <n v="1"/>
    <n v="0"/>
    <x v="0"/>
    <x v="6"/>
    <b v="0"/>
    <n v="1"/>
    <n v="1"/>
    <n v="0.16"/>
    <n v="0.13639999999999999"/>
    <n v="0.69"/>
    <n v="0.32840000000000003"/>
    <n v="0"/>
    <n v="37"/>
    <n v="37"/>
    <x v="1"/>
    <x v="1"/>
    <s v="Non-Holiday"/>
    <s v="Low"/>
    <x v="0"/>
  </r>
  <r>
    <n v="672"/>
    <x v="30"/>
    <n v="1"/>
    <n v="0"/>
    <x v="0"/>
    <x v="7"/>
    <b v="0"/>
    <n v="1"/>
    <n v="2"/>
    <n v="0.16"/>
    <n v="0.13639999999999999"/>
    <n v="0.64"/>
    <n v="0.28360000000000002"/>
    <n v="1"/>
    <n v="71"/>
    <n v="72"/>
    <x v="1"/>
    <x v="1"/>
    <s v="Non-Holiday"/>
    <s v="Low"/>
    <x v="1"/>
  </r>
  <r>
    <n v="673"/>
    <x v="30"/>
    <n v="1"/>
    <n v="0"/>
    <x v="0"/>
    <x v="8"/>
    <b v="0"/>
    <n v="1"/>
    <n v="2"/>
    <n v="0.16"/>
    <n v="0.13639999999999999"/>
    <n v="0.59"/>
    <n v="0.28360000000000002"/>
    <n v="3"/>
    <n v="182"/>
    <n v="185"/>
    <x v="1"/>
    <x v="1"/>
    <s v="Non-Holiday"/>
    <s v="High"/>
    <x v="1"/>
  </r>
  <r>
    <n v="674"/>
    <x v="30"/>
    <n v="1"/>
    <n v="0"/>
    <x v="0"/>
    <x v="9"/>
    <b v="0"/>
    <n v="1"/>
    <n v="2"/>
    <n v="0.16"/>
    <n v="0.13639999999999999"/>
    <n v="0.59"/>
    <n v="0.29849999999999999"/>
    <n v="0"/>
    <n v="112"/>
    <n v="112"/>
    <x v="1"/>
    <x v="1"/>
    <s v="Non-Holiday"/>
    <s v="Medium"/>
    <x v="1"/>
  </r>
  <r>
    <n v="675"/>
    <x v="30"/>
    <n v="1"/>
    <n v="0"/>
    <x v="0"/>
    <x v="10"/>
    <b v="0"/>
    <n v="1"/>
    <n v="2"/>
    <n v="0.16"/>
    <n v="0.1515"/>
    <n v="0.59"/>
    <n v="0.19400000000000001"/>
    <n v="1"/>
    <n v="68"/>
    <n v="69"/>
    <x v="1"/>
    <x v="2"/>
    <s v="Non-Holiday"/>
    <s v="Low"/>
    <x v="1"/>
  </r>
  <r>
    <n v="676"/>
    <x v="30"/>
    <n v="1"/>
    <n v="0"/>
    <x v="0"/>
    <x v="11"/>
    <b v="0"/>
    <n v="1"/>
    <n v="2"/>
    <n v="0.16"/>
    <n v="0.1515"/>
    <n v="0.59"/>
    <n v="0.19400000000000001"/>
    <n v="2"/>
    <n v="46"/>
    <n v="48"/>
    <x v="1"/>
    <x v="2"/>
    <s v="Non-Holiday"/>
    <s v="Low"/>
    <x v="1"/>
  </r>
  <r>
    <n v="677"/>
    <x v="30"/>
    <n v="1"/>
    <n v="0"/>
    <x v="0"/>
    <x v="12"/>
    <b v="0"/>
    <n v="1"/>
    <n v="2"/>
    <n v="0.18"/>
    <n v="0.21210000000000001"/>
    <n v="0.55000000000000004"/>
    <n v="0.1045"/>
    <n v="6"/>
    <n v="62"/>
    <n v="68"/>
    <x v="1"/>
    <x v="2"/>
    <s v="Non-Holiday"/>
    <s v="Low"/>
    <x v="1"/>
  </r>
  <r>
    <n v="678"/>
    <x v="30"/>
    <n v="1"/>
    <n v="0"/>
    <x v="0"/>
    <x v="13"/>
    <b v="0"/>
    <n v="1"/>
    <n v="2"/>
    <n v="0.16"/>
    <n v="0.2273"/>
    <n v="0.59"/>
    <n v="0"/>
    <n v="2"/>
    <n v="52"/>
    <n v="54"/>
    <x v="1"/>
    <x v="2"/>
    <s v="Non-Holiday"/>
    <s v="Low"/>
    <x v="1"/>
  </r>
  <r>
    <n v="679"/>
    <x v="30"/>
    <n v="1"/>
    <n v="0"/>
    <x v="0"/>
    <x v="14"/>
    <b v="0"/>
    <n v="1"/>
    <n v="2"/>
    <n v="0.18"/>
    <n v="0.19700000000000001"/>
    <n v="0.55000000000000004"/>
    <n v="0.1343"/>
    <n v="1"/>
    <n v="85"/>
    <n v="86"/>
    <x v="1"/>
    <x v="2"/>
    <s v="Non-Holiday"/>
    <s v="Medium"/>
    <x v="1"/>
  </r>
  <r>
    <n v="680"/>
    <x v="30"/>
    <n v="1"/>
    <n v="0"/>
    <x v="0"/>
    <x v="15"/>
    <b v="0"/>
    <n v="1"/>
    <n v="2"/>
    <n v="0.16"/>
    <n v="0.18179999999999999"/>
    <n v="0.59"/>
    <n v="0.1343"/>
    <n v="3"/>
    <n v="41"/>
    <n v="44"/>
    <x v="1"/>
    <x v="2"/>
    <s v="Non-Holiday"/>
    <s v="Low"/>
    <x v="1"/>
  </r>
  <r>
    <n v="681"/>
    <x v="30"/>
    <n v="1"/>
    <n v="0"/>
    <x v="0"/>
    <x v="16"/>
    <b v="0"/>
    <n v="1"/>
    <n v="2"/>
    <n v="0.16"/>
    <n v="0.18179999999999999"/>
    <n v="0.56000000000000005"/>
    <n v="0.19400000000000001"/>
    <n v="3"/>
    <n v="83"/>
    <n v="86"/>
    <x v="1"/>
    <x v="2"/>
    <s v="Non-Holiday"/>
    <s v="Medium"/>
    <x v="1"/>
  </r>
  <r>
    <n v="682"/>
    <x v="30"/>
    <n v="1"/>
    <n v="0"/>
    <x v="0"/>
    <x v="17"/>
    <b v="0"/>
    <n v="1"/>
    <n v="2"/>
    <n v="0.16"/>
    <n v="0.1515"/>
    <n v="0.59"/>
    <n v="0.19400000000000001"/>
    <n v="6"/>
    <n v="155"/>
    <n v="161"/>
    <x v="1"/>
    <x v="3"/>
    <s v="Non-Holiday"/>
    <s v="High"/>
    <x v="1"/>
  </r>
  <r>
    <n v="683"/>
    <x v="30"/>
    <n v="1"/>
    <n v="0"/>
    <x v="0"/>
    <x v="18"/>
    <b v="0"/>
    <n v="1"/>
    <n v="2"/>
    <n v="0.16"/>
    <n v="0.1515"/>
    <n v="0.55000000000000004"/>
    <n v="0.22389999999999999"/>
    <n v="3"/>
    <n v="153"/>
    <n v="156"/>
    <x v="1"/>
    <x v="3"/>
    <s v="Non-Holiday"/>
    <s v="Medium"/>
    <x v="1"/>
  </r>
  <r>
    <n v="684"/>
    <x v="30"/>
    <n v="1"/>
    <n v="0"/>
    <x v="0"/>
    <x v="19"/>
    <b v="0"/>
    <n v="1"/>
    <n v="1"/>
    <n v="0.3"/>
    <n v="0.31819999999999998"/>
    <n v="0.61"/>
    <n v="0.1045"/>
    <n v="3"/>
    <n v="108"/>
    <n v="111"/>
    <x v="1"/>
    <x v="3"/>
    <s v="Non-Holiday"/>
    <s v="Medium"/>
    <x v="0"/>
  </r>
  <r>
    <n v="685"/>
    <x v="30"/>
    <n v="1"/>
    <n v="0"/>
    <x v="0"/>
    <x v="20"/>
    <b v="0"/>
    <n v="1"/>
    <n v="3"/>
    <n v="0.16"/>
    <n v="0.16669999999999999"/>
    <n v="0.59"/>
    <n v="0.16420000000000001"/>
    <n v="0"/>
    <n v="78"/>
    <n v="78"/>
    <x v="1"/>
    <x v="3"/>
    <s v="Non-Holiday"/>
    <s v="Low"/>
    <x v="2"/>
  </r>
  <r>
    <n v="686"/>
    <x v="30"/>
    <n v="1"/>
    <n v="0"/>
    <x v="0"/>
    <x v="21"/>
    <b v="0"/>
    <n v="1"/>
    <n v="3"/>
    <n v="0.16"/>
    <n v="0.19700000000000001"/>
    <n v="0.59"/>
    <n v="8.9599999999999999E-2"/>
    <n v="3"/>
    <n v="53"/>
    <n v="56"/>
    <x v="1"/>
    <x v="4"/>
    <s v="Non-Holiday"/>
    <s v="Low"/>
    <x v="2"/>
  </r>
  <r>
    <n v="687"/>
    <x v="30"/>
    <n v="1"/>
    <n v="0"/>
    <x v="0"/>
    <x v="22"/>
    <b v="0"/>
    <n v="1"/>
    <n v="2"/>
    <n v="0.16"/>
    <n v="0.18179999999999999"/>
    <n v="0.59"/>
    <n v="0.1045"/>
    <n v="0"/>
    <n v="34"/>
    <n v="34"/>
    <x v="1"/>
    <x v="4"/>
    <s v="Non-Holiday"/>
    <s v="Low"/>
    <x v="1"/>
  </r>
  <r>
    <n v="688"/>
    <x v="30"/>
    <n v="1"/>
    <n v="0"/>
    <x v="0"/>
    <x v="23"/>
    <b v="0"/>
    <n v="1"/>
    <n v="2"/>
    <n v="0.16"/>
    <n v="0.19700000000000001"/>
    <n v="0.64"/>
    <n v="8.9599999999999999E-2"/>
    <n v="2"/>
    <n v="15"/>
    <n v="17"/>
    <x v="1"/>
    <x v="4"/>
    <s v="Non-Holiday"/>
    <s v="Low"/>
    <x v="1"/>
  </r>
  <r>
    <n v="689"/>
    <x v="31"/>
    <n v="1"/>
    <n v="0"/>
    <x v="1"/>
    <x v="0"/>
    <b v="0"/>
    <n v="2"/>
    <n v="2"/>
    <n v="0.16"/>
    <n v="0.18179999999999999"/>
    <n v="0.64"/>
    <n v="0.1045"/>
    <n v="2"/>
    <n v="6"/>
    <n v="8"/>
    <x v="1"/>
    <x v="0"/>
    <s v="Non-Holiday"/>
    <s v="Low"/>
    <x v="1"/>
  </r>
  <r>
    <n v="690"/>
    <x v="31"/>
    <n v="1"/>
    <n v="0"/>
    <x v="1"/>
    <x v="1"/>
    <b v="0"/>
    <n v="2"/>
    <n v="2"/>
    <n v="0.16"/>
    <n v="0.18179999999999999"/>
    <n v="0.69"/>
    <n v="0.1045"/>
    <n v="0"/>
    <n v="3"/>
    <n v="3"/>
    <x v="1"/>
    <x v="0"/>
    <s v="Non-Holiday"/>
    <s v="Low"/>
    <x v="1"/>
  </r>
  <r>
    <n v="691"/>
    <x v="31"/>
    <n v="1"/>
    <n v="0"/>
    <x v="1"/>
    <x v="2"/>
    <b v="0"/>
    <n v="2"/>
    <n v="2"/>
    <n v="0.16"/>
    <n v="0.2273"/>
    <n v="0.69"/>
    <n v="0"/>
    <n v="0"/>
    <n v="2"/>
    <n v="2"/>
    <x v="1"/>
    <x v="0"/>
    <s v="Non-Holiday"/>
    <s v="Low"/>
    <x v="1"/>
  </r>
  <r>
    <n v="692"/>
    <x v="31"/>
    <n v="1"/>
    <n v="0"/>
    <x v="1"/>
    <x v="3"/>
    <b v="0"/>
    <n v="2"/>
    <n v="2"/>
    <n v="0.16"/>
    <n v="0.2273"/>
    <n v="0.69"/>
    <n v="0"/>
    <n v="0"/>
    <n v="2"/>
    <n v="2"/>
    <x v="1"/>
    <x v="0"/>
    <s v="Non-Holiday"/>
    <s v="Low"/>
    <x v="1"/>
  </r>
  <r>
    <n v="693"/>
    <x v="31"/>
    <n v="1"/>
    <n v="0"/>
    <x v="1"/>
    <x v="5"/>
    <b v="0"/>
    <n v="2"/>
    <n v="3"/>
    <n v="0.14000000000000001"/>
    <n v="0.21210000000000001"/>
    <n v="0.93"/>
    <n v="0"/>
    <n v="0"/>
    <n v="3"/>
    <n v="3"/>
    <x v="1"/>
    <x v="0"/>
    <s v="Non-Holiday"/>
    <s v="Low"/>
    <x v="2"/>
  </r>
  <r>
    <n v="694"/>
    <x v="31"/>
    <n v="1"/>
    <n v="0"/>
    <x v="1"/>
    <x v="6"/>
    <b v="0"/>
    <n v="2"/>
    <n v="3"/>
    <n v="0.14000000000000001"/>
    <n v="0.21210000000000001"/>
    <n v="0.93"/>
    <n v="0"/>
    <n v="0"/>
    <n v="22"/>
    <n v="22"/>
    <x v="1"/>
    <x v="1"/>
    <s v="Non-Holiday"/>
    <s v="Low"/>
    <x v="2"/>
  </r>
  <r>
    <n v="695"/>
    <x v="31"/>
    <n v="1"/>
    <n v="0"/>
    <x v="1"/>
    <x v="7"/>
    <b v="0"/>
    <n v="2"/>
    <n v="3"/>
    <n v="0.16"/>
    <n v="0.2273"/>
    <n v="0.93"/>
    <n v="0"/>
    <n v="0"/>
    <n v="52"/>
    <n v="52"/>
    <x v="1"/>
    <x v="1"/>
    <s v="Non-Holiday"/>
    <s v="Low"/>
    <x v="2"/>
  </r>
  <r>
    <n v="696"/>
    <x v="31"/>
    <n v="1"/>
    <n v="0"/>
    <x v="1"/>
    <x v="8"/>
    <b v="0"/>
    <n v="2"/>
    <n v="3"/>
    <n v="0.16"/>
    <n v="0.2273"/>
    <n v="0.93"/>
    <n v="0"/>
    <n v="3"/>
    <n v="132"/>
    <n v="135"/>
    <x v="1"/>
    <x v="1"/>
    <s v="Non-Holiday"/>
    <s v="Medium"/>
    <x v="2"/>
  </r>
  <r>
    <n v="697"/>
    <x v="31"/>
    <n v="1"/>
    <n v="0"/>
    <x v="1"/>
    <x v="9"/>
    <b v="0"/>
    <n v="2"/>
    <n v="2"/>
    <n v="0.16"/>
    <n v="0.2273"/>
    <n v="0.93"/>
    <n v="0"/>
    <n v="2"/>
    <n v="114"/>
    <n v="116"/>
    <x v="1"/>
    <x v="1"/>
    <s v="Non-Holiday"/>
    <s v="Medium"/>
    <x v="1"/>
  </r>
  <r>
    <n v="698"/>
    <x v="31"/>
    <n v="1"/>
    <n v="0"/>
    <x v="1"/>
    <x v="10"/>
    <b v="0"/>
    <n v="2"/>
    <n v="2"/>
    <n v="0.16"/>
    <n v="0.2273"/>
    <n v="0.93"/>
    <n v="0"/>
    <n v="0"/>
    <n v="47"/>
    <n v="47"/>
    <x v="1"/>
    <x v="2"/>
    <s v="Non-Holiday"/>
    <s v="Low"/>
    <x v="1"/>
  </r>
  <r>
    <n v="699"/>
    <x v="31"/>
    <n v="1"/>
    <n v="0"/>
    <x v="1"/>
    <x v="11"/>
    <b v="0"/>
    <n v="2"/>
    <n v="2"/>
    <n v="0.18"/>
    <n v="0.2424"/>
    <n v="0.86"/>
    <n v="0"/>
    <n v="2"/>
    <n v="49"/>
    <n v="51"/>
    <x v="1"/>
    <x v="2"/>
    <s v="Non-Holiday"/>
    <s v="Low"/>
    <x v="1"/>
  </r>
  <r>
    <n v="700"/>
    <x v="31"/>
    <n v="1"/>
    <n v="0"/>
    <x v="1"/>
    <x v="12"/>
    <b v="0"/>
    <n v="2"/>
    <n v="2"/>
    <n v="0.2"/>
    <n v="0.2576"/>
    <n v="0.86"/>
    <n v="0"/>
    <n v="2"/>
    <n v="53"/>
    <n v="55"/>
    <x v="1"/>
    <x v="2"/>
    <s v="Non-Holiday"/>
    <s v="Low"/>
    <x v="1"/>
  </r>
  <r>
    <n v="701"/>
    <x v="31"/>
    <n v="1"/>
    <n v="0"/>
    <x v="1"/>
    <x v="13"/>
    <b v="0"/>
    <n v="2"/>
    <n v="2"/>
    <n v="0.2"/>
    <n v="0.2576"/>
    <n v="0.86"/>
    <n v="0"/>
    <n v="3"/>
    <n v="49"/>
    <n v="52"/>
    <x v="1"/>
    <x v="2"/>
    <s v="Non-Holiday"/>
    <s v="Low"/>
    <x v="1"/>
  </r>
  <r>
    <n v="702"/>
    <x v="31"/>
    <n v="1"/>
    <n v="0"/>
    <x v="1"/>
    <x v="14"/>
    <b v="0"/>
    <n v="2"/>
    <n v="2"/>
    <n v="0.22"/>
    <n v="0.2576"/>
    <n v="0.8"/>
    <n v="8.9599999999999999E-2"/>
    <n v="5"/>
    <n v="49"/>
    <n v="54"/>
    <x v="1"/>
    <x v="2"/>
    <s v="Non-Holiday"/>
    <s v="Low"/>
    <x v="1"/>
  </r>
  <r>
    <n v="703"/>
    <x v="31"/>
    <n v="1"/>
    <n v="0"/>
    <x v="1"/>
    <x v="15"/>
    <b v="0"/>
    <n v="2"/>
    <n v="2"/>
    <n v="0.24"/>
    <n v="0.28789999999999999"/>
    <n v="0.75"/>
    <n v="0"/>
    <n v="7"/>
    <n v="45"/>
    <n v="52"/>
    <x v="1"/>
    <x v="2"/>
    <s v="Non-Holiday"/>
    <s v="Low"/>
    <x v="1"/>
  </r>
  <r>
    <n v="704"/>
    <x v="31"/>
    <n v="1"/>
    <n v="0"/>
    <x v="1"/>
    <x v="16"/>
    <b v="0"/>
    <n v="2"/>
    <n v="2"/>
    <n v="0.24"/>
    <n v="0.2424"/>
    <n v="0.75"/>
    <n v="0.1343"/>
    <n v="3"/>
    <n v="61"/>
    <n v="64"/>
    <x v="1"/>
    <x v="2"/>
    <s v="Non-Holiday"/>
    <s v="Low"/>
    <x v="1"/>
  </r>
  <r>
    <n v="705"/>
    <x v="31"/>
    <n v="1"/>
    <n v="0"/>
    <x v="1"/>
    <x v="17"/>
    <b v="0"/>
    <n v="2"/>
    <n v="2"/>
    <n v="0.24"/>
    <n v="0.28789999999999999"/>
    <n v="0.75"/>
    <n v="0"/>
    <n v="4"/>
    <n v="172"/>
    <n v="176"/>
    <x v="1"/>
    <x v="3"/>
    <s v="Non-Holiday"/>
    <s v="High"/>
    <x v="1"/>
  </r>
  <r>
    <n v="706"/>
    <x v="31"/>
    <n v="1"/>
    <n v="0"/>
    <x v="1"/>
    <x v="18"/>
    <b v="0"/>
    <n v="2"/>
    <n v="2"/>
    <n v="0.24"/>
    <n v="0.2576"/>
    <n v="0.81"/>
    <n v="0.1045"/>
    <n v="3"/>
    <n v="165"/>
    <n v="168"/>
    <x v="1"/>
    <x v="3"/>
    <s v="Non-Holiday"/>
    <s v="High"/>
    <x v="1"/>
  </r>
  <r>
    <n v="707"/>
    <x v="31"/>
    <n v="1"/>
    <n v="0"/>
    <x v="1"/>
    <x v="19"/>
    <b v="0"/>
    <n v="2"/>
    <n v="2"/>
    <n v="0.24"/>
    <n v="0.2424"/>
    <n v="0.81"/>
    <n v="0.1343"/>
    <n v="3"/>
    <n v="105"/>
    <n v="108"/>
    <x v="1"/>
    <x v="3"/>
    <s v="Non-Holiday"/>
    <s v="Medium"/>
    <x v="1"/>
  </r>
  <r>
    <n v="708"/>
    <x v="31"/>
    <n v="1"/>
    <n v="0"/>
    <x v="1"/>
    <x v="20"/>
    <b v="0"/>
    <n v="2"/>
    <n v="2"/>
    <n v="0.22"/>
    <n v="0.2273"/>
    <n v="0.87"/>
    <n v="0.1343"/>
    <n v="5"/>
    <n v="69"/>
    <n v="74"/>
    <x v="1"/>
    <x v="3"/>
    <s v="Non-Holiday"/>
    <s v="Low"/>
    <x v="1"/>
  </r>
  <r>
    <n v="709"/>
    <x v="31"/>
    <n v="1"/>
    <n v="0"/>
    <x v="1"/>
    <x v="21"/>
    <b v="0"/>
    <n v="2"/>
    <n v="2"/>
    <n v="0.22"/>
    <n v="0.2273"/>
    <n v="0.87"/>
    <n v="0.1343"/>
    <n v="0"/>
    <n v="64"/>
    <n v="64"/>
    <x v="1"/>
    <x v="4"/>
    <s v="Non-Holiday"/>
    <s v="Low"/>
    <x v="1"/>
  </r>
  <r>
    <n v="710"/>
    <x v="31"/>
    <n v="1"/>
    <n v="0"/>
    <x v="1"/>
    <x v="22"/>
    <b v="0"/>
    <n v="2"/>
    <n v="2"/>
    <n v="0.22"/>
    <n v="0.2576"/>
    <n v="0.87"/>
    <n v="8.9599999999999999E-2"/>
    <n v="2"/>
    <n v="34"/>
    <n v="36"/>
    <x v="1"/>
    <x v="4"/>
    <s v="Non-Holiday"/>
    <s v="Low"/>
    <x v="1"/>
  </r>
  <r>
    <n v="711"/>
    <x v="31"/>
    <n v="1"/>
    <n v="0"/>
    <x v="1"/>
    <x v="23"/>
    <b v="0"/>
    <n v="2"/>
    <n v="3"/>
    <n v="0.2"/>
    <n v="0.19700000000000001"/>
    <n v="0.93"/>
    <n v="0.19400000000000001"/>
    <n v="1"/>
    <n v="15"/>
    <n v="16"/>
    <x v="1"/>
    <x v="4"/>
    <s v="Non-Holiday"/>
    <s v="Low"/>
    <x v="2"/>
  </r>
  <r>
    <n v="712"/>
    <x v="32"/>
    <n v="1"/>
    <n v="0"/>
    <x v="1"/>
    <x v="0"/>
    <b v="0"/>
    <n v="3"/>
    <n v="3"/>
    <n v="0.22"/>
    <n v="0.2424"/>
    <n v="0.93"/>
    <n v="0.1045"/>
    <n v="0"/>
    <n v="2"/>
    <n v="2"/>
    <x v="1"/>
    <x v="0"/>
    <s v="Non-Holiday"/>
    <s v="Low"/>
    <x v="2"/>
  </r>
  <r>
    <n v="713"/>
    <x v="32"/>
    <n v="1"/>
    <n v="0"/>
    <x v="1"/>
    <x v="1"/>
    <b v="0"/>
    <n v="3"/>
    <n v="3"/>
    <n v="0.22"/>
    <n v="0.2273"/>
    <n v="0.93"/>
    <n v="0.19400000000000001"/>
    <n v="0"/>
    <n v="3"/>
    <n v="3"/>
    <x v="1"/>
    <x v="0"/>
    <s v="Non-Holiday"/>
    <s v="Low"/>
    <x v="2"/>
  </r>
  <r>
    <n v="714"/>
    <x v="32"/>
    <n v="1"/>
    <n v="0"/>
    <x v="1"/>
    <x v="2"/>
    <b v="0"/>
    <n v="3"/>
    <n v="3"/>
    <n v="0.22"/>
    <n v="0.2273"/>
    <n v="0.93"/>
    <n v="0.1343"/>
    <n v="4"/>
    <n v="0"/>
    <n v="4"/>
    <x v="1"/>
    <x v="0"/>
    <s v="Non-Holiday"/>
    <s v="Low"/>
    <x v="2"/>
  </r>
  <r>
    <n v="715"/>
    <x v="32"/>
    <n v="1"/>
    <n v="0"/>
    <x v="1"/>
    <x v="3"/>
    <b v="0"/>
    <n v="3"/>
    <n v="3"/>
    <n v="0.22"/>
    <n v="0.2273"/>
    <n v="0.93"/>
    <n v="0.1343"/>
    <n v="0"/>
    <n v="1"/>
    <n v="1"/>
    <x v="1"/>
    <x v="0"/>
    <s v="Non-Holiday"/>
    <s v="Low"/>
    <x v="2"/>
  </r>
  <r>
    <n v="716"/>
    <x v="32"/>
    <n v="1"/>
    <n v="0"/>
    <x v="1"/>
    <x v="4"/>
    <b v="0"/>
    <n v="3"/>
    <n v="3"/>
    <n v="0.22"/>
    <n v="0.21210000000000001"/>
    <n v="0.93"/>
    <n v="0.28360000000000002"/>
    <n v="0"/>
    <n v="1"/>
    <n v="1"/>
    <x v="1"/>
    <x v="0"/>
    <s v="Non-Holiday"/>
    <s v="Low"/>
    <x v="2"/>
  </r>
  <r>
    <n v="717"/>
    <x v="32"/>
    <n v="1"/>
    <n v="0"/>
    <x v="1"/>
    <x v="5"/>
    <b v="0"/>
    <n v="3"/>
    <n v="3"/>
    <n v="0.22"/>
    <n v="0.2424"/>
    <n v="0.93"/>
    <n v="0.1045"/>
    <n v="0"/>
    <n v="3"/>
    <n v="3"/>
    <x v="1"/>
    <x v="0"/>
    <s v="Non-Holiday"/>
    <s v="Low"/>
    <x v="2"/>
  </r>
  <r>
    <n v="718"/>
    <x v="32"/>
    <n v="1"/>
    <n v="0"/>
    <x v="1"/>
    <x v="6"/>
    <b v="0"/>
    <n v="3"/>
    <n v="3"/>
    <n v="0.22"/>
    <n v="0.2424"/>
    <n v="0.93"/>
    <n v="0.1045"/>
    <n v="1"/>
    <n v="17"/>
    <n v="18"/>
    <x v="1"/>
    <x v="1"/>
    <s v="Non-Holiday"/>
    <s v="Low"/>
    <x v="2"/>
  </r>
  <r>
    <n v="719"/>
    <x v="32"/>
    <n v="1"/>
    <n v="0"/>
    <x v="1"/>
    <x v="7"/>
    <b v="0"/>
    <n v="3"/>
    <n v="3"/>
    <n v="0.22"/>
    <n v="0.21210000000000001"/>
    <n v="0.93"/>
    <n v="0.22389999999999999"/>
    <n v="1"/>
    <n v="48"/>
    <n v="49"/>
    <x v="1"/>
    <x v="1"/>
    <s v="Non-Holiday"/>
    <s v="Low"/>
    <x v="2"/>
  </r>
  <r>
    <n v="720"/>
    <x v="32"/>
    <n v="1"/>
    <n v="0"/>
    <x v="1"/>
    <x v="8"/>
    <b v="0"/>
    <n v="3"/>
    <n v="3"/>
    <n v="0.22"/>
    <n v="0.21210000000000001"/>
    <n v="0.93"/>
    <n v="0.22389999999999999"/>
    <n v="1"/>
    <n v="154"/>
    <n v="155"/>
    <x v="1"/>
    <x v="1"/>
    <s v="Non-Holiday"/>
    <s v="Medium"/>
    <x v="2"/>
  </r>
  <r>
    <n v="721"/>
    <x v="32"/>
    <n v="1"/>
    <n v="0"/>
    <x v="1"/>
    <x v="9"/>
    <b v="0"/>
    <n v="3"/>
    <n v="2"/>
    <n v="0.24"/>
    <n v="0.2576"/>
    <n v="0.93"/>
    <n v="8.9599999999999999E-2"/>
    <n v="4"/>
    <n v="119"/>
    <n v="123"/>
    <x v="1"/>
    <x v="1"/>
    <s v="Non-Holiday"/>
    <s v="Medium"/>
    <x v="1"/>
  </r>
  <r>
    <n v="722"/>
    <x v="32"/>
    <n v="1"/>
    <n v="0"/>
    <x v="1"/>
    <x v="10"/>
    <b v="0"/>
    <n v="3"/>
    <n v="2"/>
    <n v="0.22"/>
    <n v="0.2727"/>
    <n v="1"/>
    <n v="0"/>
    <n v="2"/>
    <n v="59"/>
    <n v="61"/>
    <x v="1"/>
    <x v="2"/>
    <s v="Non-Holiday"/>
    <s v="Low"/>
    <x v="1"/>
  </r>
  <r>
    <n v="723"/>
    <x v="32"/>
    <n v="1"/>
    <n v="0"/>
    <x v="1"/>
    <x v="11"/>
    <b v="0"/>
    <n v="3"/>
    <n v="2"/>
    <n v="0.24"/>
    <n v="0.2273"/>
    <n v="0.93"/>
    <n v="0.19400000000000001"/>
    <n v="5"/>
    <n v="47"/>
    <n v="52"/>
    <x v="1"/>
    <x v="2"/>
    <s v="Non-Holiday"/>
    <s v="Low"/>
    <x v="1"/>
  </r>
  <r>
    <n v="724"/>
    <x v="32"/>
    <n v="1"/>
    <n v="0"/>
    <x v="1"/>
    <x v="12"/>
    <b v="0"/>
    <n v="3"/>
    <n v="2"/>
    <n v="0.24"/>
    <n v="0.2273"/>
    <n v="0.93"/>
    <n v="0.22389999999999999"/>
    <n v="3"/>
    <n v="61"/>
    <n v="64"/>
    <x v="1"/>
    <x v="2"/>
    <s v="Non-Holiday"/>
    <s v="Low"/>
    <x v="1"/>
  </r>
  <r>
    <n v="725"/>
    <x v="32"/>
    <n v="1"/>
    <n v="0"/>
    <x v="1"/>
    <x v="13"/>
    <b v="0"/>
    <n v="3"/>
    <n v="1"/>
    <n v="0.34"/>
    <n v="0.33329999999999999"/>
    <n v="0.93"/>
    <n v="0.16420000000000001"/>
    <n v="1"/>
    <n v="74"/>
    <n v="75"/>
    <x v="1"/>
    <x v="2"/>
    <s v="Non-Holiday"/>
    <s v="Low"/>
    <x v="0"/>
  </r>
  <r>
    <n v="726"/>
    <x v="32"/>
    <n v="1"/>
    <n v="0"/>
    <x v="1"/>
    <x v="14"/>
    <b v="0"/>
    <n v="3"/>
    <n v="1"/>
    <n v="0.38"/>
    <n v="0.39389999999999997"/>
    <n v="0.82"/>
    <n v="0.3881"/>
    <n v="2"/>
    <n v="61"/>
    <n v="63"/>
    <x v="1"/>
    <x v="2"/>
    <s v="Non-Holiday"/>
    <s v="Low"/>
    <x v="0"/>
  </r>
  <r>
    <n v="727"/>
    <x v="32"/>
    <n v="1"/>
    <n v="0"/>
    <x v="1"/>
    <x v="15"/>
    <b v="0"/>
    <n v="3"/>
    <n v="1"/>
    <n v="0.38"/>
    <n v="0.39389999999999997"/>
    <n v="0.76"/>
    <n v="0.32840000000000003"/>
    <n v="10"/>
    <n v="66"/>
    <n v="76"/>
    <x v="1"/>
    <x v="2"/>
    <s v="Non-Holiday"/>
    <s v="Low"/>
    <x v="0"/>
  </r>
  <r>
    <n v="728"/>
    <x v="32"/>
    <n v="1"/>
    <n v="0"/>
    <x v="1"/>
    <x v="16"/>
    <b v="0"/>
    <n v="3"/>
    <n v="1"/>
    <n v="0.36"/>
    <n v="0.33329999999999999"/>
    <n v="0.71"/>
    <n v="0.29849999999999999"/>
    <n v="8"/>
    <n v="95"/>
    <n v="103"/>
    <x v="1"/>
    <x v="2"/>
    <s v="Non-Holiday"/>
    <s v="Medium"/>
    <x v="0"/>
  </r>
  <r>
    <n v="729"/>
    <x v="32"/>
    <n v="1"/>
    <n v="0"/>
    <x v="1"/>
    <x v="17"/>
    <b v="0"/>
    <n v="3"/>
    <n v="1"/>
    <n v="0.36"/>
    <n v="0.31819999999999998"/>
    <n v="0.53"/>
    <n v="0.52239999999999998"/>
    <n v="7"/>
    <n v="183"/>
    <n v="190"/>
    <x v="1"/>
    <x v="3"/>
    <s v="Non-Holiday"/>
    <s v="High"/>
    <x v="0"/>
  </r>
  <r>
    <n v="730"/>
    <x v="32"/>
    <n v="1"/>
    <n v="0"/>
    <x v="1"/>
    <x v="18"/>
    <b v="0"/>
    <n v="3"/>
    <n v="1"/>
    <n v="0.34"/>
    <n v="0.28789999999999999"/>
    <n v="0.42"/>
    <n v="0.55220000000000002"/>
    <n v="7"/>
    <n v="175"/>
    <n v="182"/>
    <x v="1"/>
    <x v="3"/>
    <s v="Non-Holiday"/>
    <s v="High"/>
    <x v="0"/>
  </r>
  <r>
    <n v="731"/>
    <x v="32"/>
    <n v="1"/>
    <n v="0"/>
    <x v="1"/>
    <x v="19"/>
    <b v="0"/>
    <n v="3"/>
    <n v="1"/>
    <n v="0.28000000000000003"/>
    <n v="0.2424"/>
    <n v="0.45"/>
    <n v="0.49249999999999999"/>
    <n v="3"/>
    <n v="88"/>
    <n v="91"/>
    <x v="1"/>
    <x v="3"/>
    <s v="Non-Holiday"/>
    <s v="Medium"/>
    <x v="0"/>
  </r>
  <r>
    <n v="732"/>
    <x v="32"/>
    <n v="1"/>
    <n v="0"/>
    <x v="1"/>
    <x v="20"/>
    <b v="0"/>
    <n v="3"/>
    <n v="1"/>
    <n v="0.24"/>
    <n v="0.19700000000000001"/>
    <n v="0.48"/>
    <n v="0.55220000000000002"/>
    <n v="4"/>
    <n v="71"/>
    <n v="75"/>
    <x v="1"/>
    <x v="3"/>
    <s v="Non-Holiday"/>
    <s v="Low"/>
    <x v="0"/>
  </r>
  <r>
    <n v="733"/>
    <x v="32"/>
    <n v="1"/>
    <n v="0"/>
    <x v="1"/>
    <x v="21"/>
    <b v="0"/>
    <n v="3"/>
    <n v="1"/>
    <n v="0.22"/>
    <n v="0.19700000000000001"/>
    <n v="0.47"/>
    <n v="0.32840000000000003"/>
    <n v="1"/>
    <n v="62"/>
    <n v="63"/>
    <x v="1"/>
    <x v="4"/>
    <s v="Non-Holiday"/>
    <s v="Low"/>
    <x v="0"/>
  </r>
  <r>
    <n v="734"/>
    <x v="32"/>
    <n v="1"/>
    <n v="0"/>
    <x v="1"/>
    <x v="22"/>
    <b v="0"/>
    <n v="3"/>
    <n v="1"/>
    <n v="0.22"/>
    <n v="0.21210000000000001"/>
    <n v="0.44"/>
    <n v="0.25369999999999998"/>
    <n v="5"/>
    <n v="35"/>
    <n v="40"/>
    <x v="1"/>
    <x v="4"/>
    <s v="Non-Holiday"/>
    <s v="Low"/>
    <x v="0"/>
  </r>
  <r>
    <n v="735"/>
    <x v="32"/>
    <n v="1"/>
    <n v="0"/>
    <x v="1"/>
    <x v="23"/>
    <b v="0"/>
    <n v="3"/>
    <n v="1"/>
    <n v="0.2"/>
    <n v="0.16669999999999999"/>
    <n v="0.44"/>
    <n v="0.44779999999999998"/>
    <n v="3"/>
    <n v="29"/>
    <n v="32"/>
    <x v="1"/>
    <x v="4"/>
    <s v="Non-Holiday"/>
    <s v="Low"/>
    <x v="0"/>
  </r>
  <r>
    <n v="736"/>
    <x v="33"/>
    <n v="1"/>
    <n v="0"/>
    <x v="1"/>
    <x v="0"/>
    <b v="0"/>
    <n v="4"/>
    <n v="1"/>
    <n v="0.2"/>
    <n v="0.16669999999999999"/>
    <n v="0.4"/>
    <n v="0.44779999999999998"/>
    <n v="1"/>
    <n v="11"/>
    <n v="12"/>
    <x v="1"/>
    <x v="0"/>
    <s v="Non-Holiday"/>
    <s v="Low"/>
    <x v="0"/>
  </r>
  <r>
    <n v="737"/>
    <x v="33"/>
    <n v="1"/>
    <n v="0"/>
    <x v="1"/>
    <x v="1"/>
    <b v="0"/>
    <n v="4"/>
    <n v="1"/>
    <n v="0.2"/>
    <n v="0.1515"/>
    <n v="0.44"/>
    <n v="0.52239999999999998"/>
    <n v="0"/>
    <n v="5"/>
    <n v="5"/>
    <x v="1"/>
    <x v="0"/>
    <s v="Non-Holiday"/>
    <s v="Low"/>
    <x v="0"/>
  </r>
  <r>
    <n v="738"/>
    <x v="33"/>
    <n v="1"/>
    <n v="0"/>
    <x v="1"/>
    <x v="2"/>
    <b v="0"/>
    <n v="4"/>
    <n v="1"/>
    <n v="0.18"/>
    <n v="0.16669999999999999"/>
    <n v="0.43"/>
    <n v="0.25369999999999998"/>
    <n v="0"/>
    <n v="2"/>
    <n v="2"/>
    <x v="1"/>
    <x v="0"/>
    <s v="Non-Holiday"/>
    <s v="Low"/>
    <x v="0"/>
  </r>
  <r>
    <n v="739"/>
    <x v="33"/>
    <n v="1"/>
    <n v="0"/>
    <x v="1"/>
    <x v="3"/>
    <b v="0"/>
    <n v="4"/>
    <n v="1"/>
    <n v="0.18"/>
    <n v="0.16669999999999999"/>
    <n v="0.43"/>
    <n v="0.25369999999999998"/>
    <n v="0"/>
    <n v="1"/>
    <n v="1"/>
    <x v="1"/>
    <x v="0"/>
    <s v="Non-Holiday"/>
    <s v="Low"/>
    <x v="0"/>
  </r>
  <r>
    <n v="740"/>
    <x v="33"/>
    <n v="1"/>
    <n v="0"/>
    <x v="1"/>
    <x v="5"/>
    <b v="0"/>
    <n v="4"/>
    <n v="1"/>
    <n v="0.16"/>
    <n v="0.13639999999999999"/>
    <n v="0.5"/>
    <n v="0.29849999999999999"/>
    <n v="0"/>
    <n v="2"/>
    <n v="2"/>
    <x v="1"/>
    <x v="0"/>
    <s v="Non-Holiday"/>
    <s v="Low"/>
    <x v="0"/>
  </r>
  <r>
    <n v="741"/>
    <x v="33"/>
    <n v="1"/>
    <n v="0"/>
    <x v="1"/>
    <x v="6"/>
    <b v="0"/>
    <n v="4"/>
    <n v="1"/>
    <n v="0.16"/>
    <n v="0.13639999999999999"/>
    <n v="0.43"/>
    <n v="0.35820000000000002"/>
    <n v="0"/>
    <n v="39"/>
    <n v="39"/>
    <x v="1"/>
    <x v="1"/>
    <s v="Non-Holiday"/>
    <s v="Low"/>
    <x v="0"/>
  </r>
  <r>
    <n v="742"/>
    <x v="33"/>
    <n v="1"/>
    <n v="0"/>
    <x v="1"/>
    <x v="7"/>
    <b v="0"/>
    <n v="4"/>
    <n v="1"/>
    <n v="0.14000000000000001"/>
    <n v="0.1212"/>
    <n v="0.5"/>
    <n v="0.32840000000000003"/>
    <n v="1"/>
    <n v="86"/>
    <n v="87"/>
    <x v="1"/>
    <x v="1"/>
    <s v="Non-Holiday"/>
    <s v="Medium"/>
    <x v="0"/>
  </r>
  <r>
    <n v="743"/>
    <x v="33"/>
    <n v="1"/>
    <n v="0"/>
    <x v="1"/>
    <x v="8"/>
    <b v="0"/>
    <n v="4"/>
    <n v="1"/>
    <n v="0.14000000000000001"/>
    <n v="0.1212"/>
    <n v="0.5"/>
    <n v="0.35820000000000002"/>
    <n v="4"/>
    <n v="184"/>
    <n v="188"/>
    <x v="1"/>
    <x v="1"/>
    <s v="Non-Holiday"/>
    <s v="High"/>
    <x v="0"/>
  </r>
  <r>
    <n v="744"/>
    <x v="33"/>
    <n v="1"/>
    <n v="0"/>
    <x v="1"/>
    <x v="9"/>
    <b v="0"/>
    <n v="4"/>
    <n v="1"/>
    <n v="0.16"/>
    <n v="0.13639999999999999"/>
    <n v="0.47"/>
    <n v="0.29849999999999999"/>
    <n v="6"/>
    <n v="127"/>
    <n v="133"/>
    <x v="1"/>
    <x v="1"/>
    <s v="Non-Holiday"/>
    <s v="Medium"/>
    <x v="0"/>
  </r>
  <r>
    <n v="745"/>
    <x v="33"/>
    <n v="1"/>
    <n v="0"/>
    <x v="1"/>
    <x v="10"/>
    <b v="0"/>
    <n v="4"/>
    <n v="1"/>
    <n v="0.18"/>
    <n v="0.1515"/>
    <n v="0.43"/>
    <n v="0.32840000000000003"/>
    <n v="2"/>
    <n v="50"/>
    <n v="52"/>
    <x v="1"/>
    <x v="2"/>
    <s v="Non-Holiday"/>
    <s v="Low"/>
    <x v="0"/>
  </r>
  <r>
    <n v="746"/>
    <x v="33"/>
    <n v="1"/>
    <n v="0"/>
    <x v="1"/>
    <x v="11"/>
    <b v="0"/>
    <n v="4"/>
    <n v="1"/>
    <n v="0.18"/>
    <n v="0.13639999999999999"/>
    <n v="0.43"/>
    <n v="0.44779999999999998"/>
    <n v="9"/>
    <n v="55"/>
    <n v="64"/>
    <x v="1"/>
    <x v="2"/>
    <s v="Non-Holiday"/>
    <s v="Low"/>
    <x v="0"/>
  </r>
  <r>
    <n v="747"/>
    <x v="33"/>
    <n v="1"/>
    <n v="0"/>
    <x v="1"/>
    <x v="12"/>
    <b v="0"/>
    <n v="4"/>
    <n v="1"/>
    <n v="0.2"/>
    <n v="0.18179999999999999"/>
    <n v="0.4"/>
    <n v="0.35820000000000002"/>
    <n v="2"/>
    <n v="67"/>
    <n v="69"/>
    <x v="1"/>
    <x v="2"/>
    <s v="Non-Holiday"/>
    <s v="Low"/>
    <x v="0"/>
  </r>
  <r>
    <n v="748"/>
    <x v="33"/>
    <n v="1"/>
    <n v="0"/>
    <x v="1"/>
    <x v="13"/>
    <b v="0"/>
    <n v="4"/>
    <n v="1"/>
    <n v="0.2"/>
    <n v="0.16669999999999999"/>
    <n v="0.4"/>
    <n v="0.41789999999999999"/>
    <n v="4"/>
    <n v="47"/>
    <n v="51"/>
    <x v="1"/>
    <x v="2"/>
    <s v="Non-Holiday"/>
    <s v="Low"/>
    <x v="0"/>
  </r>
  <r>
    <n v="749"/>
    <x v="33"/>
    <n v="1"/>
    <n v="0"/>
    <x v="1"/>
    <x v="14"/>
    <b v="0"/>
    <n v="4"/>
    <n v="1"/>
    <n v="0.22"/>
    <n v="0.19700000000000001"/>
    <n v="0.37"/>
    <n v="0.3881"/>
    <n v="4"/>
    <n v="43"/>
    <n v="47"/>
    <x v="1"/>
    <x v="2"/>
    <s v="Non-Holiday"/>
    <s v="Low"/>
    <x v="0"/>
  </r>
  <r>
    <n v="750"/>
    <x v="33"/>
    <n v="1"/>
    <n v="0"/>
    <x v="1"/>
    <x v="15"/>
    <b v="0"/>
    <n v="4"/>
    <n v="1"/>
    <n v="0.22"/>
    <n v="0.19700000000000001"/>
    <n v="0.37"/>
    <n v="0.32840000000000003"/>
    <n v="4"/>
    <n v="56"/>
    <n v="60"/>
    <x v="1"/>
    <x v="2"/>
    <s v="Non-Holiday"/>
    <s v="Low"/>
    <x v="0"/>
  </r>
  <r>
    <n v="751"/>
    <x v="33"/>
    <n v="1"/>
    <n v="0"/>
    <x v="1"/>
    <x v="16"/>
    <b v="0"/>
    <n v="4"/>
    <n v="1"/>
    <n v="0.22"/>
    <n v="0.21210000000000001"/>
    <n v="0.37"/>
    <n v="0.25369999999999998"/>
    <n v="5"/>
    <n v="73"/>
    <n v="78"/>
    <x v="1"/>
    <x v="2"/>
    <s v="Non-Holiday"/>
    <s v="Low"/>
    <x v="0"/>
  </r>
  <r>
    <n v="752"/>
    <x v="33"/>
    <n v="1"/>
    <n v="0"/>
    <x v="1"/>
    <x v="17"/>
    <b v="0"/>
    <n v="4"/>
    <n v="1"/>
    <n v="0.2"/>
    <n v="0.19700000000000001"/>
    <n v="0.4"/>
    <n v="0.19400000000000001"/>
    <n v="5"/>
    <n v="170"/>
    <n v="175"/>
    <x v="1"/>
    <x v="3"/>
    <s v="Non-Holiday"/>
    <s v="High"/>
    <x v="0"/>
  </r>
  <r>
    <n v="753"/>
    <x v="33"/>
    <n v="1"/>
    <n v="0"/>
    <x v="1"/>
    <x v="18"/>
    <b v="0"/>
    <n v="4"/>
    <n v="1"/>
    <n v="0.2"/>
    <n v="0.21210000000000001"/>
    <n v="0.4"/>
    <n v="0.16420000000000001"/>
    <n v="2"/>
    <n v="145"/>
    <n v="147"/>
    <x v="1"/>
    <x v="3"/>
    <s v="Non-Holiday"/>
    <s v="Medium"/>
    <x v="0"/>
  </r>
  <r>
    <n v="754"/>
    <x v="33"/>
    <n v="1"/>
    <n v="0"/>
    <x v="1"/>
    <x v="19"/>
    <b v="0"/>
    <n v="4"/>
    <n v="1"/>
    <n v="0.2"/>
    <n v="0.2576"/>
    <n v="0.4"/>
    <n v="0"/>
    <n v="4"/>
    <n v="92"/>
    <n v="96"/>
    <x v="1"/>
    <x v="3"/>
    <s v="Non-Holiday"/>
    <s v="Medium"/>
    <x v="0"/>
  </r>
  <r>
    <n v="755"/>
    <x v="33"/>
    <n v="1"/>
    <n v="0"/>
    <x v="1"/>
    <x v="20"/>
    <b v="0"/>
    <n v="4"/>
    <n v="1"/>
    <n v="0.2"/>
    <n v="0.2273"/>
    <n v="0.47"/>
    <n v="8.9599999999999999E-2"/>
    <n v="1"/>
    <n v="108"/>
    <n v="109"/>
    <x v="1"/>
    <x v="3"/>
    <s v="Non-Holiday"/>
    <s v="Medium"/>
    <x v="0"/>
  </r>
  <r>
    <n v="756"/>
    <x v="33"/>
    <n v="1"/>
    <n v="0"/>
    <x v="1"/>
    <x v="21"/>
    <b v="0"/>
    <n v="4"/>
    <n v="1"/>
    <n v="0.18"/>
    <n v="0.21210000000000001"/>
    <n v="0.55000000000000004"/>
    <n v="0.1045"/>
    <n v="1"/>
    <n v="53"/>
    <n v="54"/>
    <x v="1"/>
    <x v="4"/>
    <s v="Non-Holiday"/>
    <s v="Low"/>
    <x v="0"/>
  </r>
  <r>
    <n v="757"/>
    <x v="33"/>
    <n v="1"/>
    <n v="0"/>
    <x v="1"/>
    <x v="22"/>
    <b v="0"/>
    <n v="4"/>
    <n v="1"/>
    <n v="0.18"/>
    <n v="0.21210000000000001"/>
    <n v="0.51"/>
    <n v="8.9599999999999999E-2"/>
    <n v="2"/>
    <n v="39"/>
    <n v="41"/>
    <x v="1"/>
    <x v="4"/>
    <s v="Non-Holiday"/>
    <s v="Low"/>
    <x v="0"/>
  </r>
  <r>
    <n v="758"/>
    <x v="33"/>
    <n v="1"/>
    <n v="0"/>
    <x v="1"/>
    <x v="23"/>
    <b v="0"/>
    <n v="4"/>
    <n v="1"/>
    <n v="0.2"/>
    <n v="0.2273"/>
    <n v="0.47"/>
    <n v="0.1045"/>
    <n v="4"/>
    <n v="34"/>
    <n v="38"/>
    <x v="1"/>
    <x v="4"/>
    <s v="Non-Holiday"/>
    <s v="Low"/>
    <x v="0"/>
  </r>
  <r>
    <n v="759"/>
    <x v="34"/>
    <n v="1"/>
    <n v="0"/>
    <x v="1"/>
    <x v="0"/>
    <b v="0"/>
    <n v="5"/>
    <n v="2"/>
    <n v="0.2"/>
    <n v="0.2576"/>
    <n v="0.44"/>
    <n v="0"/>
    <n v="3"/>
    <n v="10"/>
    <n v="13"/>
    <x v="1"/>
    <x v="0"/>
    <s v="Non-Holiday"/>
    <s v="Low"/>
    <x v="1"/>
  </r>
  <r>
    <n v="760"/>
    <x v="34"/>
    <n v="1"/>
    <n v="0"/>
    <x v="1"/>
    <x v="1"/>
    <b v="0"/>
    <n v="5"/>
    <n v="2"/>
    <n v="0.16"/>
    <n v="0.2273"/>
    <n v="0.59"/>
    <n v="0"/>
    <n v="0"/>
    <n v="7"/>
    <n v="7"/>
    <x v="1"/>
    <x v="0"/>
    <s v="Non-Holiday"/>
    <s v="Low"/>
    <x v="1"/>
  </r>
  <r>
    <n v="761"/>
    <x v="34"/>
    <n v="1"/>
    <n v="0"/>
    <x v="1"/>
    <x v="2"/>
    <b v="0"/>
    <n v="5"/>
    <n v="2"/>
    <n v="0.14000000000000001"/>
    <n v="0.16669999999999999"/>
    <n v="0.63"/>
    <n v="0.1045"/>
    <n v="0"/>
    <n v="1"/>
    <n v="1"/>
    <x v="1"/>
    <x v="0"/>
    <s v="Non-Holiday"/>
    <s v="Low"/>
    <x v="1"/>
  </r>
  <r>
    <n v="762"/>
    <x v="34"/>
    <n v="1"/>
    <n v="0"/>
    <x v="1"/>
    <x v="3"/>
    <b v="0"/>
    <n v="5"/>
    <n v="2"/>
    <n v="0.14000000000000001"/>
    <n v="0.16669999999999999"/>
    <n v="0.63"/>
    <n v="0.1045"/>
    <n v="0"/>
    <n v="1"/>
    <n v="1"/>
    <x v="1"/>
    <x v="0"/>
    <s v="Non-Holiday"/>
    <s v="Low"/>
    <x v="1"/>
  </r>
  <r>
    <n v="763"/>
    <x v="34"/>
    <n v="1"/>
    <n v="0"/>
    <x v="1"/>
    <x v="5"/>
    <b v="0"/>
    <n v="5"/>
    <n v="2"/>
    <n v="0.14000000000000001"/>
    <n v="0.1515"/>
    <n v="0.63"/>
    <n v="0.1343"/>
    <n v="0"/>
    <n v="7"/>
    <n v="7"/>
    <x v="1"/>
    <x v="0"/>
    <s v="Non-Holiday"/>
    <s v="Low"/>
    <x v="1"/>
  </r>
  <r>
    <n v="764"/>
    <x v="34"/>
    <n v="1"/>
    <n v="0"/>
    <x v="1"/>
    <x v="6"/>
    <b v="0"/>
    <n v="5"/>
    <n v="2"/>
    <n v="0.16"/>
    <n v="0.2273"/>
    <n v="0.55000000000000004"/>
    <n v="0"/>
    <n v="2"/>
    <n v="26"/>
    <n v="28"/>
    <x v="1"/>
    <x v="1"/>
    <s v="Non-Holiday"/>
    <s v="Low"/>
    <x v="1"/>
  </r>
  <r>
    <n v="765"/>
    <x v="34"/>
    <n v="1"/>
    <n v="0"/>
    <x v="1"/>
    <x v="7"/>
    <b v="0"/>
    <n v="5"/>
    <n v="1"/>
    <n v="0.14000000000000001"/>
    <n v="0.21210000000000001"/>
    <n v="0.59"/>
    <n v="0"/>
    <n v="0"/>
    <n v="87"/>
    <n v="87"/>
    <x v="1"/>
    <x v="1"/>
    <s v="Non-Holiday"/>
    <s v="Medium"/>
    <x v="0"/>
  </r>
  <r>
    <n v="766"/>
    <x v="34"/>
    <n v="1"/>
    <n v="0"/>
    <x v="1"/>
    <x v="8"/>
    <b v="0"/>
    <n v="5"/>
    <n v="1"/>
    <n v="0.14000000000000001"/>
    <n v="0.1515"/>
    <n v="0.74"/>
    <n v="0.1343"/>
    <n v="3"/>
    <n v="217"/>
    <n v="220"/>
    <x v="1"/>
    <x v="1"/>
    <s v="Non-Holiday"/>
    <s v="High"/>
    <x v="0"/>
  </r>
  <r>
    <n v="767"/>
    <x v="34"/>
    <n v="1"/>
    <n v="0"/>
    <x v="1"/>
    <x v="9"/>
    <b v="0"/>
    <n v="5"/>
    <n v="2"/>
    <n v="0.16"/>
    <n v="0.18179999999999999"/>
    <n v="0.8"/>
    <n v="0.1343"/>
    <n v="3"/>
    <n v="124"/>
    <n v="127"/>
    <x v="1"/>
    <x v="1"/>
    <s v="Non-Holiday"/>
    <s v="Medium"/>
    <x v="1"/>
  </r>
  <r>
    <n v="768"/>
    <x v="34"/>
    <n v="1"/>
    <n v="0"/>
    <x v="1"/>
    <x v="10"/>
    <b v="0"/>
    <n v="5"/>
    <n v="2"/>
    <n v="0.2"/>
    <n v="0.21210000000000001"/>
    <n v="0.51"/>
    <n v="0.1343"/>
    <n v="5"/>
    <n v="46"/>
    <n v="51"/>
    <x v="1"/>
    <x v="2"/>
    <s v="Non-Holiday"/>
    <s v="Low"/>
    <x v="1"/>
  </r>
  <r>
    <n v="769"/>
    <x v="34"/>
    <n v="1"/>
    <n v="0"/>
    <x v="1"/>
    <x v="11"/>
    <b v="0"/>
    <n v="5"/>
    <n v="1"/>
    <n v="0.22"/>
    <n v="0.2273"/>
    <n v="0.51"/>
    <n v="0.16420000000000001"/>
    <n v="3"/>
    <n v="61"/>
    <n v="64"/>
    <x v="1"/>
    <x v="2"/>
    <s v="Non-Holiday"/>
    <s v="Low"/>
    <x v="0"/>
  </r>
  <r>
    <n v="770"/>
    <x v="34"/>
    <n v="1"/>
    <n v="0"/>
    <x v="1"/>
    <x v="12"/>
    <b v="0"/>
    <n v="5"/>
    <n v="2"/>
    <n v="0.24"/>
    <n v="0.2424"/>
    <n v="0.48"/>
    <n v="0.16420000000000001"/>
    <n v="8"/>
    <n v="78"/>
    <n v="86"/>
    <x v="1"/>
    <x v="2"/>
    <s v="Non-Holiday"/>
    <s v="Medium"/>
    <x v="1"/>
  </r>
  <r>
    <n v="771"/>
    <x v="34"/>
    <n v="1"/>
    <n v="0"/>
    <x v="1"/>
    <x v="13"/>
    <b v="0"/>
    <n v="5"/>
    <n v="2"/>
    <n v="0.26"/>
    <n v="0.2576"/>
    <n v="0.5"/>
    <n v="0.22389999999999999"/>
    <n v="9"/>
    <n v="73"/>
    <n v="82"/>
    <x v="1"/>
    <x v="2"/>
    <s v="Non-Holiday"/>
    <s v="Medium"/>
    <x v="1"/>
  </r>
  <r>
    <n v="772"/>
    <x v="34"/>
    <n v="1"/>
    <n v="0"/>
    <x v="1"/>
    <x v="14"/>
    <b v="0"/>
    <n v="5"/>
    <n v="2"/>
    <n v="0.28000000000000003"/>
    <n v="0.2727"/>
    <n v="0.45"/>
    <n v="0.16420000000000001"/>
    <n v="15"/>
    <n v="76"/>
    <n v="91"/>
    <x v="1"/>
    <x v="2"/>
    <s v="Non-Holiday"/>
    <s v="Medium"/>
    <x v="1"/>
  </r>
  <r>
    <n v="773"/>
    <x v="34"/>
    <n v="1"/>
    <n v="0"/>
    <x v="1"/>
    <x v="15"/>
    <b v="0"/>
    <n v="5"/>
    <n v="2"/>
    <n v="0.28000000000000003"/>
    <n v="0.2727"/>
    <n v="0.48"/>
    <n v="0.25369999999999998"/>
    <n v="9"/>
    <n v="81"/>
    <n v="90"/>
    <x v="1"/>
    <x v="2"/>
    <s v="Non-Holiday"/>
    <s v="Medium"/>
    <x v="1"/>
  </r>
  <r>
    <n v="774"/>
    <x v="34"/>
    <n v="1"/>
    <n v="0"/>
    <x v="1"/>
    <x v="16"/>
    <b v="0"/>
    <n v="5"/>
    <n v="2"/>
    <n v="0.3"/>
    <n v="0.28789999999999999"/>
    <n v="0.42"/>
    <n v="0.22389999999999999"/>
    <n v="8"/>
    <n v="91"/>
    <n v="99"/>
    <x v="1"/>
    <x v="2"/>
    <s v="Non-Holiday"/>
    <s v="Medium"/>
    <x v="1"/>
  </r>
  <r>
    <n v="775"/>
    <x v="34"/>
    <n v="1"/>
    <n v="0"/>
    <x v="1"/>
    <x v="17"/>
    <b v="0"/>
    <n v="5"/>
    <n v="2"/>
    <n v="0.26"/>
    <n v="0.2727"/>
    <n v="0.56000000000000005"/>
    <n v="0.1343"/>
    <n v="10"/>
    <n v="195"/>
    <n v="205"/>
    <x v="1"/>
    <x v="3"/>
    <s v="Non-Holiday"/>
    <s v="High"/>
    <x v="1"/>
  </r>
  <r>
    <n v="776"/>
    <x v="34"/>
    <n v="1"/>
    <n v="0"/>
    <x v="1"/>
    <x v="18"/>
    <b v="0"/>
    <n v="5"/>
    <n v="2"/>
    <n v="0.24"/>
    <n v="0.2576"/>
    <n v="0.6"/>
    <n v="0.1045"/>
    <n v="3"/>
    <n v="152"/>
    <n v="155"/>
    <x v="1"/>
    <x v="3"/>
    <s v="Non-Holiday"/>
    <s v="Medium"/>
    <x v="1"/>
  </r>
  <r>
    <n v="777"/>
    <x v="34"/>
    <n v="1"/>
    <n v="0"/>
    <x v="1"/>
    <x v="19"/>
    <b v="0"/>
    <n v="5"/>
    <n v="2"/>
    <n v="0.24"/>
    <n v="0.2424"/>
    <n v="0.65"/>
    <n v="0.1343"/>
    <n v="1"/>
    <n v="102"/>
    <n v="103"/>
    <x v="1"/>
    <x v="3"/>
    <s v="Non-Holiday"/>
    <s v="Medium"/>
    <x v="1"/>
  </r>
  <r>
    <n v="778"/>
    <x v="34"/>
    <n v="1"/>
    <n v="0"/>
    <x v="1"/>
    <x v="20"/>
    <b v="0"/>
    <n v="5"/>
    <n v="2"/>
    <n v="0.24"/>
    <n v="0.2424"/>
    <n v="0.65"/>
    <n v="0.16420000000000001"/>
    <n v="2"/>
    <n v="69"/>
    <n v="71"/>
    <x v="1"/>
    <x v="3"/>
    <s v="Non-Holiday"/>
    <s v="Low"/>
    <x v="1"/>
  </r>
  <r>
    <n v="779"/>
    <x v="34"/>
    <n v="1"/>
    <n v="0"/>
    <x v="1"/>
    <x v="21"/>
    <b v="0"/>
    <n v="5"/>
    <n v="2"/>
    <n v="0.24"/>
    <n v="0.2424"/>
    <n v="0.7"/>
    <n v="0.16420000000000001"/>
    <n v="2"/>
    <n v="41"/>
    <n v="43"/>
    <x v="1"/>
    <x v="4"/>
    <s v="Non-Holiday"/>
    <s v="Low"/>
    <x v="1"/>
  </r>
  <r>
    <n v="780"/>
    <x v="34"/>
    <n v="1"/>
    <n v="0"/>
    <x v="1"/>
    <x v="22"/>
    <b v="0"/>
    <n v="5"/>
    <n v="2"/>
    <n v="0.24"/>
    <n v="0.2424"/>
    <n v="0.65"/>
    <n v="0.16420000000000001"/>
    <n v="1"/>
    <n v="45"/>
    <n v="46"/>
    <x v="1"/>
    <x v="4"/>
    <s v="Non-Holiday"/>
    <s v="Low"/>
    <x v="1"/>
  </r>
  <r>
    <n v="781"/>
    <x v="34"/>
    <n v="1"/>
    <n v="0"/>
    <x v="1"/>
    <x v="23"/>
    <b v="0"/>
    <n v="5"/>
    <n v="2"/>
    <n v="0.24"/>
    <n v="0.2424"/>
    <n v="0.7"/>
    <n v="0.1343"/>
    <n v="1"/>
    <n v="30"/>
    <n v="31"/>
    <x v="1"/>
    <x v="4"/>
    <s v="Non-Holiday"/>
    <s v="Low"/>
    <x v="1"/>
  </r>
  <r>
    <n v="782"/>
    <x v="35"/>
    <n v="1"/>
    <n v="0"/>
    <x v="1"/>
    <x v="0"/>
    <b v="0"/>
    <n v="6"/>
    <n v="2"/>
    <n v="0.24"/>
    <n v="0.2424"/>
    <n v="0.7"/>
    <n v="0.16420000000000001"/>
    <n v="3"/>
    <n v="36"/>
    <n v="39"/>
    <x v="0"/>
    <x v="0"/>
    <s v="Non-Holiday"/>
    <s v="Low"/>
    <x v="1"/>
  </r>
  <r>
    <n v="783"/>
    <x v="35"/>
    <n v="1"/>
    <n v="0"/>
    <x v="1"/>
    <x v="1"/>
    <b v="0"/>
    <n v="6"/>
    <n v="2"/>
    <n v="0.24"/>
    <n v="0.2424"/>
    <n v="0.65"/>
    <n v="0.16420000000000001"/>
    <n v="1"/>
    <n v="17"/>
    <n v="18"/>
    <x v="0"/>
    <x v="0"/>
    <s v="Non-Holiday"/>
    <s v="Low"/>
    <x v="1"/>
  </r>
  <r>
    <n v="784"/>
    <x v="35"/>
    <n v="1"/>
    <n v="0"/>
    <x v="1"/>
    <x v="2"/>
    <b v="0"/>
    <n v="6"/>
    <n v="2"/>
    <n v="0.24"/>
    <n v="0.2424"/>
    <n v="0.75"/>
    <n v="0.16420000000000001"/>
    <n v="5"/>
    <n v="12"/>
    <n v="17"/>
    <x v="0"/>
    <x v="0"/>
    <s v="Non-Holiday"/>
    <s v="Low"/>
    <x v="1"/>
  </r>
  <r>
    <n v="785"/>
    <x v="35"/>
    <n v="1"/>
    <n v="0"/>
    <x v="1"/>
    <x v="3"/>
    <b v="0"/>
    <n v="6"/>
    <n v="2"/>
    <n v="0.24"/>
    <n v="0.2424"/>
    <n v="0.75"/>
    <n v="0.16420000000000001"/>
    <n v="1"/>
    <n v="10"/>
    <n v="11"/>
    <x v="0"/>
    <x v="0"/>
    <s v="Non-Holiday"/>
    <s v="Low"/>
    <x v="1"/>
  </r>
  <r>
    <n v="786"/>
    <x v="35"/>
    <n v="1"/>
    <n v="0"/>
    <x v="1"/>
    <x v="4"/>
    <b v="0"/>
    <n v="6"/>
    <n v="3"/>
    <n v="0.22"/>
    <n v="0.2273"/>
    <n v="0.93"/>
    <n v="0.1343"/>
    <n v="0"/>
    <n v="8"/>
    <n v="8"/>
    <x v="0"/>
    <x v="0"/>
    <s v="Non-Holiday"/>
    <s v="Low"/>
    <x v="2"/>
  </r>
  <r>
    <n v="787"/>
    <x v="35"/>
    <n v="1"/>
    <n v="0"/>
    <x v="1"/>
    <x v="5"/>
    <b v="0"/>
    <n v="6"/>
    <n v="3"/>
    <n v="0.2"/>
    <n v="0.2273"/>
    <n v="1"/>
    <n v="8.9599999999999999E-2"/>
    <n v="0"/>
    <n v="9"/>
    <n v="9"/>
    <x v="0"/>
    <x v="0"/>
    <s v="Non-Holiday"/>
    <s v="Low"/>
    <x v="2"/>
  </r>
  <r>
    <n v="788"/>
    <x v="35"/>
    <n v="1"/>
    <n v="0"/>
    <x v="1"/>
    <x v="6"/>
    <b v="0"/>
    <n v="6"/>
    <n v="3"/>
    <n v="0.2"/>
    <n v="0.2576"/>
    <n v="1"/>
    <n v="0"/>
    <n v="0"/>
    <n v="4"/>
    <n v="4"/>
    <x v="0"/>
    <x v="1"/>
    <s v="Non-Holiday"/>
    <s v="Low"/>
    <x v="2"/>
  </r>
  <r>
    <n v="789"/>
    <x v="35"/>
    <n v="1"/>
    <n v="0"/>
    <x v="1"/>
    <x v="7"/>
    <b v="0"/>
    <n v="6"/>
    <n v="3"/>
    <n v="0.22"/>
    <n v="0.2576"/>
    <n v="0.93"/>
    <n v="8.9599999999999999E-2"/>
    <n v="0"/>
    <n v="4"/>
    <n v="4"/>
    <x v="0"/>
    <x v="1"/>
    <s v="Non-Holiday"/>
    <s v="Low"/>
    <x v="2"/>
  </r>
  <r>
    <n v="790"/>
    <x v="35"/>
    <n v="1"/>
    <n v="0"/>
    <x v="1"/>
    <x v="8"/>
    <b v="0"/>
    <n v="6"/>
    <n v="3"/>
    <n v="0.2"/>
    <n v="0.2273"/>
    <n v="1"/>
    <n v="8.9599999999999999E-2"/>
    <n v="0"/>
    <n v="10"/>
    <n v="10"/>
    <x v="0"/>
    <x v="1"/>
    <s v="Non-Holiday"/>
    <s v="Low"/>
    <x v="2"/>
  </r>
  <r>
    <n v="791"/>
    <x v="35"/>
    <n v="1"/>
    <n v="0"/>
    <x v="1"/>
    <x v="9"/>
    <b v="0"/>
    <n v="6"/>
    <n v="3"/>
    <n v="0.2"/>
    <n v="0.2273"/>
    <n v="1"/>
    <n v="8.9599999999999999E-2"/>
    <n v="3"/>
    <n v="17"/>
    <n v="20"/>
    <x v="0"/>
    <x v="1"/>
    <s v="Non-Holiday"/>
    <s v="Low"/>
    <x v="2"/>
  </r>
  <r>
    <n v="792"/>
    <x v="35"/>
    <n v="1"/>
    <n v="0"/>
    <x v="1"/>
    <x v="10"/>
    <b v="0"/>
    <n v="6"/>
    <n v="3"/>
    <n v="0.2"/>
    <n v="0.21210000000000001"/>
    <n v="1"/>
    <n v="0.1343"/>
    <n v="3"/>
    <n v="31"/>
    <n v="34"/>
    <x v="0"/>
    <x v="2"/>
    <s v="Non-Holiday"/>
    <s v="Low"/>
    <x v="2"/>
  </r>
  <r>
    <n v="793"/>
    <x v="35"/>
    <n v="1"/>
    <n v="0"/>
    <x v="1"/>
    <x v="11"/>
    <b v="0"/>
    <n v="6"/>
    <n v="3"/>
    <n v="0.22"/>
    <n v="0.2273"/>
    <n v="1"/>
    <n v="0.1343"/>
    <n v="1"/>
    <n v="46"/>
    <n v="47"/>
    <x v="0"/>
    <x v="2"/>
    <s v="Non-Holiday"/>
    <s v="Low"/>
    <x v="2"/>
  </r>
  <r>
    <n v="794"/>
    <x v="35"/>
    <n v="1"/>
    <n v="0"/>
    <x v="1"/>
    <x v="12"/>
    <b v="0"/>
    <n v="6"/>
    <n v="3"/>
    <n v="0.22"/>
    <n v="0.2273"/>
    <n v="1"/>
    <n v="0.16420000000000001"/>
    <n v="10"/>
    <n v="42"/>
    <n v="52"/>
    <x v="0"/>
    <x v="2"/>
    <s v="Non-Holiday"/>
    <s v="Low"/>
    <x v="2"/>
  </r>
  <r>
    <n v="795"/>
    <x v="35"/>
    <n v="1"/>
    <n v="0"/>
    <x v="1"/>
    <x v="13"/>
    <b v="0"/>
    <n v="6"/>
    <n v="3"/>
    <n v="0.22"/>
    <n v="0.2273"/>
    <n v="1"/>
    <n v="0.16420000000000001"/>
    <n v="10"/>
    <n v="62"/>
    <n v="72"/>
    <x v="0"/>
    <x v="2"/>
    <s v="Non-Holiday"/>
    <s v="Low"/>
    <x v="2"/>
  </r>
  <r>
    <n v="796"/>
    <x v="35"/>
    <n v="1"/>
    <n v="0"/>
    <x v="1"/>
    <x v="14"/>
    <b v="0"/>
    <n v="6"/>
    <n v="3"/>
    <n v="0.22"/>
    <n v="0.2727"/>
    <n v="1"/>
    <n v="0"/>
    <n v="5"/>
    <n v="50"/>
    <n v="55"/>
    <x v="0"/>
    <x v="2"/>
    <s v="Non-Holiday"/>
    <s v="Low"/>
    <x v="2"/>
  </r>
  <r>
    <n v="797"/>
    <x v="35"/>
    <n v="1"/>
    <n v="0"/>
    <x v="1"/>
    <x v="15"/>
    <b v="0"/>
    <n v="6"/>
    <n v="3"/>
    <n v="0.22"/>
    <n v="0.2727"/>
    <n v="1"/>
    <n v="0"/>
    <n v="11"/>
    <n v="49"/>
    <n v="60"/>
    <x v="0"/>
    <x v="2"/>
    <s v="Non-Holiday"/>
    <s v="Low"/>
    <x v="2"/>
  </r>
  <r>
    <n v="798"/>
    <x v="35"/>
    <n v="1"/>
    <n v="0"/>
    <x v="1"/>
    <x v="16"/>
    <b v="0"/>
    <n v="6"/>
    <n v="3"/>
    <n v="0.22"/>
    <n v="0.2273"/>
    <n v="1"/>
    <n v="0.1343"/>
    <n v="8"/>
    <n v="63"/>
    <n v="71"/>
    <x v="0"/>
    <x v="2"/>
    <s v="Non-Holiday"/>
    <s v="Low"/>
    <x v="2"/>
  </r>
  <r>
    <n v="799"/>
    <x v="35"/>
    <n v="1"/>
    <n v="0"/>
    <x v="1"/>
    <x v="17"/>
    <b v="0"/>
    <n v="6"/>
    <n v="2"/>
    <n v="0.24"/>
    <n v="0.21210000000000001"/>
    <n v="1"/>
    <n v="0.28360000000000002"/>
    <n v="14"/>
    <n v="64"/>
    <n v="78"/>
    <x v="0"/>
    <x v="3"/>
    <s v="Non-Holiday"/>
    <s v="Low"/>
    <x v="1"/>
  </r>
  <r>
    <n v="800"/>
    <x v="35"/>
    <n v="1"/>
    <n v="0"/>
    <x v="1"/>
    <x v="18"/>
    <b v="0"/>
    <n v="6"/>
    <n v="2"/>
    <n v="0.28000000000000003"/>
    <n v="0.2424"/>
    <n v="0.93"/>
    <n v="0.44779999999999998"/>
    <n v="2"/>
    <n v="81"/>
    <n v="83"/>
    <x v="0"/>
    <x v="3"/>
    <s v="Non-Holiday"/>
    <s v="Medium"/>
    <x v="1"/>
  </r>
  <r>
    <n v="801"/>
    <x v="35"/>
    <n v="1"/>
    <n v="0"/>
    <x v="1"/>
    <x v="19"/>
    <b v="0"/>
    <n v="6"/>
    <n v="2"/>
    <n v="0.28000000000000003"/>
    <n v="0.2424"/>
    <n v="0.93"/>
    <n v="0.44779999999999998"/>
    <n v="6"/>
    <n v="78"/>
    <n v="84"/>
    <x v="0"/>
    <x v="3"/>
    <s v="Non-Holiday"/>
    <s v="Medium"/>
    <x v="1"/>
  </r>
  <r>
    <n v="802"/>
    <x v="35"/>
    <n v="1"/>
    <n v="0"/>
    <x v="1"/>
    <x v="20"/>
    <b v="0"/>
    <n v="6"/>
    <n v="1"/>
    <n v="0.3"/>
    <n v="0.28789999999999999"/>
    <n v="0.87"/>
    <n v="0.25369999999999998"/>
    <n v="5"/>
    <n v="64"/>
    <n v="69"/>
    <x v="0"/>
    <x v="3"/>
    <s v="Non-Holiday"/>
    <s v="Low"/>
    <x v="0"/>
  </r>
  <r>
    <n v="803"/>
    <x v="35"/>
    <n v="1"/>
    <n v="0"/>
    <x v="1"/>
    <x v="21"/>
    <b v="0"/>
    <n v="6"/>
    <n v="1"/>
    <n v="0.26"/>
    <n v="0.2576"/>
    <n v="1"/>
    <n v="0.19400000000000001"/>
    <n v="3"/>
    <n v="53"/>
    <n v="56"/>
    <x v="0"/>
    <x v="4"/>
    <s v="Non-Holiday"/>
    <s v="Low"/>
    <x v="0"/>
  </r>
  <r>
    <n v="804"/>
    <x v="35"/>
    <n v="1"/>
    <n v="0"/>
    <x v="1"/>
    <x v="22"/>
    <b v="0"/>
    <n v="6"/>
    <n v="1"/>
    <n v="0.26"/>
    <n v="0.2727"/>
    <n v="0.93"/>
    <n v="0.1343"/>
    <n v="2"/>
    <n v="43"/>
    <n v="45"/>
    <x v="0"/>
    <x v="4"/>
    <s v="Non-Holiday"/>
    <s v="Low"/>
    <x v="0"/>
  </r>
  <r>
    <n v="805"/>
    <x v="35"/>
    <n v="1"/>
    <n v="0"/>
    <x v="1"/>
    <x v="23"/>
    <b v="0"/>
    <n v="6"/>
    <n v="1"/>
    <n v="0.26"/>
    <n v="0.2576"/>
    <n v="0.93"/>
    <n v="0.22389999999999999"/>
    <n v="7"/>
    <n v="52"/>
    <n v="59"/>
    <x v="0"/>
    <x v="4"/>
    <s v="Non-Holiday"/>
    <s v="Low"/>
    <x v="0"/>
  </r>
  <r>
    <n v="806"/>
    <x v="36"/>
    <n v="1"/>
    <n v="0"/>
    <x v="1"/>
    <x v="0"/>
    <b v="0"/>
    <n v="0"/>
    <n v="1"/>
    <n v="0.26"/>
    <n v="0.2576"/>
    <n v="0.7"/>
    <n v="0.19400000000000001"/>
    <n v="2"/>
    <n v="37"/>
    <n v="39"/>
    <x v="0"/>
    <x v="0"/>
    <s v="Non-Holiday"/>
    <s v="Low"/>
    <x v="0"/>
  </r>
  <r>
    <n v="807"/>
    <x v="36"/>
    <n v="1"/>
    <n v="0"/>
    <x v="1"/>
    <x v="1"/>
    <b v="0"/>
    <n v="0"/>
    <n v="1"/>
    <n v="0.26"/>
    <n v="0.2273"/>
    <n v="0.65"/>
    <n v="0.41789999999999999"/>
    <n v="4"/>
    <n v="40"/>
    <n v="44"/>
    <x v="0"/>
    <x v="0"/>
    <s v="Non-Holiday"/>
    <s v="Low"/>
    <x v="0"/>
  </r>
  <r>
    <n v="808"/>
    <x v="36"/>
    <n v="1"/>
    <n v="0"/>
    <x v="1"/>
    <x v="2"/>
    <b v="0"/>
    <n v="0"/>
    <n v="1"/>
    <n v="0.26"/>
    <n v="0.2273"/>
    <n v="0.6"/>
    <n v="0.32840000000000003"/>
    <n v="0"/>
    <n v="20"/>
    <n v="20"/>
    <x v="0"/>
    <x v="0"/>
    <s v="Non-Holiday"/>
    <s v="Low"/>
    <x v="0"/>
  </r>
  <r>
    <n v="809"/>
    <x v="36"/>
    <n v="1"/>
    <n v="0"/>
    <x v="1"/>
    <x v="3"/>
    <b v="0"/>
    <n v="0"/>
    <n v="1"/>
    <n v="0.26"/>
    <n v="0.28789999999999999"/>
    <n v="0.6"/>
    <n v="8.9599999999999999E-2"/>
    <n v="3"/>
    <n v="10"/>
    <n v="13"/>
    <x v="0"/>
    <x v="0"/>
    <s v="Non-Holiday"/>
    <s v="Low"/>
    <x v="0"/>
  </r>
  <r>
    <n v="810"/>
    <x v="36"/>
    <n v="1"/>
    <n v="0"/>
    <x v="1"/>
    <x v="4"/>
    <b v="0"/>
    <n v="0"/>
    <n v="1"/>
    <n v="0.26"/>
    <n v="0.2273"/>
    <n v="0.6"/>
    <n v="0.35820000000000002"/>
    <n v="0"/>
    <n v="2"/>
    <n v="2"/>
    <x v="0"/>
    <x v="0"/>
    <s v="Non-Holiday"/>
    <s v="Low"/>
    <x v="0"/>
  </r>
  <r>
    <n v="811"/>
    <x v="36"/>
    <n v="1"/>
    <n v="0"/>
    <x v="1"/>
    <x v="5"/>
    <b v="0"/>
    <n v="0"/>
    <n v="1"/>
    <n v="0.26"/>
    <n v="0.2576"/>
    <n v="0.6"/>
    <n v="0.22389999999999999"/>
    <n v="0"/>
    <n v="1"/>
    <n v="1"/>
    <x v="0"/>
    <x v="0"/>
    <s v="Non-Holiday"/>
    <s v="Low"/>
    <x v="0"/>
  </r>
  <r>
    <n v="812"/>
    <x v="36"/>
    <n v="1"/>
    <n v="0"/>
    <x v="1"/>
    <x v="6"/>
    <b v="0"/>
    <n v="0"/>
    <n v="1"/>
    <n v="0.26"/>
    <n v="0.2576"/>
    <n v="0.6"/>
    <n v="0.22389999999999999"/>
    <n v="0"/>
    <n v="1"/>
    <n v="1"/>
    <x v="0"/>
    <x v="1"/>
    <s v="Non-Holiday"/>
    <s v="Low"/>
    <x v="0"/>
  </r>
  <r>
    <n v="813"/>
    <x v="36"/>
    <n v="1"/>
    <n v="0"/>
    <x v="1"/>
    <x v="7"/>
    <b v="0"/>
    <n v="0"/>
    <n v="1"/>
    <n v="0.24"/>
    <n v="0.2424"/>
    <n v="0.65"/>
    <n v="0.16420000000000001"/>
    <n v="0"/>
    <n v="8"/>
    <n v="8"/>
    <x v="0"/>
    <x v="1"/>
    <s v="Non-Holiday"/>
    <s v="Low"/>
    <x v="0"/>
  </r>
  <r>
    <n v="814"/>
    <x v="36"/>
    <n v="1"/>
    <n v="0"/>
    <x v="1"/>
    <x v="8"/>
    <b v="0"/>
    <n v="0"/>
    <n v="1"/>
    <n v="0.24"/>
    <n v="0.2576"/>
    <n v="0.65"/>
    <n v="0.1045"/>
    <n v="2"/>
    <n v="21"/>
    <n v="23"/>
    <x v="0"/>
    <x v="1"/>
    <s v="Non-Holiday"/>
    <s v="Low"/>
    <x v="0"/>
  </r>
  <r>
    <n v="815"/>
    <x v="36"/>
    <n v="1"/>
    <n v="0"/>
    <x v="1"/>
    <x v="9"/>
    <b v="0"/>
    <n v="0"/>
    <n v="1"/>
    <n v="0.28000000000000003"/>
    <n v="0.28789999999999999"/>
    <n v="0.56000000000000005"/>
    <n v="0.1045"/>
    <n v="7"/>
    <n v="38"/>
    <n v="45"/>
    <x v="0"/>
    <x v="1"/>
    <s v="Non-Holiday"/>
    <s v="Low"/>
    <x v="0"/>
  </r>
  <r>
    <n v="816"/>
    <x v="36"/>
    <n v="1"/>
    <n v="0"/>
    <x v="1"/>
    <x v="10"/>
    <b v="0"/>
    <n v="0"/>
    <n v="1"/>
    <n v="0.3"/>
    <n v="0.28789999999999999"/>
    <n v="0.52"/>
    <n v="0.25369999999999998"/>
    <n v="15"/>
    <n v="74"/>
    <n v="89"/>
    <x v="0"/>
    <x v="2"/>
    <s v="Non-Holiday"/>
    <s v="Medium"/>
    <x v="0"/>
  </r>
  <r>
    <n v="817"/>
    <x v="36"/>
    <n v="1"/>
    <n v="0"/>
    <x v="1"/>
    <x v="11"/>
    <b v="0"/>
    <n v="0"/>
    <n v="1"/>
    <n v="0.32"/>
    <n v="0.30299999999999999"/>
    <n v="0.49"/>
    <n v="0.25369999999999998"/>
    <n v="28"/>
    <n v="89"/>
    <n v="117"/>
    <x v="0"/>
    <x v="2"/>
    <s v="Non-Holiday"/>
    <s v="Medium"/>
    <x v="0"/>
  </r>
  <r>
    <n v="818"/>
    <x v="36"/>
    <n v="1"/>
    <n v="0"/>
    <x v="1"/>
    <x v="12"/>
    <b v="0"/>
    <n v="0"/>
    <n v="1"/>
    <n v="0.34"/>
    <n v="0.33329999999999999"/>
    <n v="0.46"/>
    <n v="0"/>
    <n v="48"/>
    <n v="126"/>
    <n v="174"/>
    <x v="0"/>
    <x v="2"/>
    <s v="Non-Holiday"/>
    <s v="High"/>
    <x v="0"/>
  </r>
  <r>
    <n v="819"/>
    <x v="36"/>
    <n v="1"/>
    <n v="0"/>
    <x v="1"/>
    <x v="13"/>
    <b v="0"/>
    <n v="0"/>
    <n v="1"/>
    <n v="0.34"/>
    <n v="0.36359999999999998"/>
    <n v="0.46"/>
    <n v="0"/>
    <n v="47"/>
    <n v="135"/>
    <n v="182"/>
    <x v="0"/>
    <x v="2"/>
    <s v="Non-Holiday"/>
    <s v="High"/>
    <x v="0"/>
  </r>
  <r>
    <n v="820"/>
    <x v="36"/>
    <n v="1"/>
    <n v="0"/>
    <x v="1"/>
    <x v="14"/>
    <b v="0"/>
    <n v="0"/>
    <n v="1"/>
    <n v="0.34"/>
    <n v="0.34849999999999998"/>
    <n v="0.46"/>
    <n v="8.9599999999999999E-2"/>
    <n v="47"/>
    <n v="114"/>
    <n v="161"/>
    <x v="0"/>
    <x v="2"/>
    <s v="Non-Holiday"/>
    <s v="High"/>
    <x v="0"/>
  </r>
  <r>
    <n v="821"/>
    <x v="36"/>
    <n v="1"/>
    <n v="0"/>
    <x v="1"/>
    <x v="15"/>
    <b v="0"/>
    <n v="0"/>
    <n v="1"/>
    <n v="0.34"/>
    <n v="0.34849999999999998"/>
    <n v="0.46"/>
    <n v="8.9599999999999999E-2"/>
    <n v="52"/>
    <n v="130"/>
    <n v="182"/>
    <x v="0"/>
    <x v="2"/>
    <s v="Non-Holiday"/>
    <s v="High"/>
    <x v="0"/>
  </r>
  <r>
    <n v="822"/>
    <x v="36"/>
    <n v="1"/>
    <n v="0"/>
    <x v="1"/>
    <x v="16"/>
    <b v="0"/>
    <n v="0"/>
    <n v="1"/>
    <n v="0.34"/>
    <n v="0.34849999999999998"/>
    <n v="0.49"/>
    <n v="0.1045"/>
    <n v="42"/>
    <n v="115"/>
    <n v="157"/>
    <x v="0"/>
    <x v="2"/>
    <s v="Non-Holiday"/>
    <s v="Medium"/>
    <x v="0"/>
  </r>
  <r>
    <n v="823"/>
    <x v="36"/>
    <n v="1"/>
    <n v="0"/>
    <x v="1"/>
    <x v="17"/>
    <b v="0"/>
    <n v="0"/>
    <n v="1"/>
    <n v="0.34"/>
    <n v="0.36359999999999998"/>
    <n v="0.46"/>
    <n v="0"/>
    <n v="24"/>
    <n v="97"/>
    <n v="121"/>
    <x v="0"/>
    <x v="3"/>
    <s v="Non-Holiday"/>
    <s v="Medium"/>
    <x v="0"/>
  </r>
  <r>
    <n v="824"/>
    <x v="36"/>
    <n v="1"/>
    <n v="0"/>
    <x v="1"/>
    <x v="18"/>
    <b v="0"/>
    <n v="0"/>
    <n v="1"/>
    <n v="0.3"/>
    <n v="0.30299999999999999"/>
    <n v="0.56000000000000005"/>
    <n v="0.16420000000000001"/>
    <n v="13"/>
    <n v="65"/>
    <n v="78"/>
    <x v="0"/>
    <x v="3"/>
    <s v="Non-Holiday"/>
    <s v="Low"/>
    <x v="0"/>
  </r>
  <r>
    <n v="825"/>
    <x v="36"/>
    <n v="1"/>
    <n v="0"/>
    <x v="1"/>
    <x v="19"/>
    <b v="0"/>
    <n v="0"/>
    <n v="1"/>
    <n v="0.28000000000000003"/>
    <n v="0.28789999999999999"/>
    <n v="0.61"/>
    <n v="0.1343"/>
    <n v="1"/>
    <n v="20"/>
    <n v="21"/>
    <x v="0"/>
    <x v="3"/>
    <s v="Non-Holiday"/>
    <s v="Low"/>
    <x v="0"/>
  </r>
  <r>
    <n v="826"/>
    <x v="36"/>
    <n v="1"/>
    <n v="0"/>
    <x v="1"/>
    <x v="20"/>
    <b v="0"/>
    <n v="0"/>
    <n v="1"/>
    <n v="0.28000000000000003"/>
    <n v="0.28789999999999999"/>
    <n v="0.61"/>
    <n v="0.1045"/>
    <n v="5"/>
    <n v="21"/>
    <n v="26"/>
    <x v="0"/>
    <x v="3"/>
    <s v="Non-Holiday"/>
    <s v="Low"/>
    <x v="0"/>
  </r>
  <r>
    <n v="827"/>
    <x v="36"/>
    <n v="1"/>
    <n v="0"/>
    <x v="1"/>
    <x v="21"/>
    <b v="0"/>
    <n v="0"/>
    <n v="1"/>
    <n v="0.26"/>
    <n v="0.30299999999999999"/>
    <n v="0.6"/>
    <n v="0"/>
    <n v="5"/>
    <n v="22"/>
    <n v="27"/>
    <x v="0"/>
    <x v="4"/>
    <s v="Non-Holiday"/>
    <s v="Low"/>
    <x v="0"/>
  </r>
  <r>
    <n v="828"/>
    <x v="36"/>
    <n v="1"/>
    <n v="0"/>
    <x v="1"/>
    <x v="22"/>
    <b v="0"/>
    <n v="0"/>
    <n v="1"/>
    <n v="0.26"/>
    <n v="0.30299999999999999"/>
    <n v="0.6"/>
    <n v="0"/>
    <n v="5"/>
    <n v="57"/>
    <n v="62"/>
    <x v="0"/>
    <x v="4"/>
    <s v="Non-Holiday"/>
    <s v="Low"/>
    <x v="0"/>
  </r>
  <r>
    <n v="829"/>
    <x v="36"/>
    <n v="1"/>
    <n v="0"/>
    <x v="1"/>
    <x v="23"/>
    <b v="0"/>
    <n v="0"/>
    <n v="1"/>
    <n v="0.24"/>
    <n v="0.28789999999999999"/>
    <n v="0.65"/>
    <n v="0"/>
    <n v="4"/>
    <n v="26"/>
    <n v="30"/>
    <x v="0"/>
    <x v="4"/>
    <s v="Non-Holiday"/>
    <s v="Low"/>
    <x v="0"/>
  </r>
  <r>
    <n v="830"/>
    <x v="37"/>
    <n v="1"/>
    <n v="0"/>
    <x v="1"/>
    <x v="0"/>
    <b v="0"/>
    <n v="1"/>
    <n v="1"/>
    <n v="0.24"/>
    <n v="0.28789999999999999"/>
    <n v="0.65"/>
    <n v="0"/>
    <n v="1"/>
    <n v="14"/>
    <n v="15"/>
    <x v="1"/>
    <x v="0"/>
    <s v="Non-Holiday"/>
    <s v="Low"/>
    <x v="0"/>
  </r>
  <r>
    <n v="831"/>
    <x v="37"/>
    <n v="1"/>
    <n v="0"/>
    <x v="1"/>
    <x v="1"/>
    <b v="0"/>
    <n v="1"/>
    <n v="1"/>
    <n v="0.22"/>
    <n v="0.2727"/>
    <n v="0.75"/>
    <n v="0"/>
    <n v="1"/>
    <n v="4"/>
    <n v="5"/>
    <x v="1"/>
    <x v="0"/>
    <s v="Non-Holiday"/>
    <s v="Low"/>
    <x v="0"/>
  </r>
  <r>
    <n v="832"/>
    <x v="37"/>
    <n v="1"/>
    <n v="0"/>
    <x v="1"/>
    <x v="2"/>
    <b v="0"/>
    <n v="1"/>
    <n v="1"/>
    <n v="0.2"/>
    <n v="0.2576"/>
    <n v="0.8"/>
    <n v="0"/>
    <n v="0"/>
    <n v="3"/>
    <n v="3"/>
    <x v="1"/>
    <x v="0"/>
    <s v="Non-Holiday"/>
    <s v="Low"/>
    <x v="0"/>
  </r>
  <r>
    <n v="833"/>
    <x v="37"/>
    <n v="1"/>
    <n v="0"/>
    <x v="1"/>
    <x v="3"/>
    <b v="0"/>
    <n v="1"/>
    <n v="1"/>
    <n v="0.2"/>
    <n v="0.2576"/>
    <n v="0.86"/>
    <n v="0"/>
    <n v="0"/>
    <n v="1"/>
    <n v="1"/>
    <x v="1"/>
    <x v="0"/>
    <s v="Non-Holiday"/>
    <s v="Low"/>
    <x v="0"/>
  </r>
  <r>
    <n v="834"/>
    <x v="37"/>
    <n v="1"/>
    <n v="0"/>
    <x v="1"/>
    <x v="4"/>
    <b v="0"/>
    <n v="1"/>
    <n v="1"/>
    <n v="0.2"/>
    <n v="0.2576"/>
    <n v="0.86"/>
    <n v="0"/>
    <n v="1"/>
    <n v="1"/>
    <n v="2"/>
    <x v="1"/>
    <x v="0"/>
    <s v="Non-Holiday"/>
    <s v="Low"/>
    <x v="0"/>
  </r>
  <r>
    <n v="835"/>
    <x v="37"/>
    <n v="1"/>
    <n v="0"/>
    <x v="1"/>
    <x v="5"/>
    <b v="0"/>
    <n v="1"/>
    <n v="1"/>
    <n v="0.2"/>
    <n v="0.2576"/>
    <n v="0.86"/>
    <n v="0"/>
    <n v="1"/>
    <n v="9"/>
    <n v="10"/>
    <x v="1"/>
    <x v="0"/>
    <s v="Non-Holiday"/>
    <s v="Low"/>
    <x v="0"/>
  </r>
  <r>
    <n v="836"/>
    <x v="37"/>
    <n v="1"/>
    <n v="0"/>
    <x v="1"/>
    <x v="6"/>
    <b v="0"/>
    <n v="1"/>
    <n v="1"/>
    <n v="0.18"/>
    <n v="0.2424"/>
    <n v="0.93"/>
    <n v="0"/>
    <n v="1"/>
    <n v="29"/>
    <n v="30"/>
    <x v="1"/>
    <x v="1"/>
    <s v="Non-Holiday"/>
    <s v="Low"/>
    <x v="0"/>
  </r>
  <r>
    <n v="837"/>
    <x v="37"/>
    <n v="1"/>
    <n v="0"/>
    <x v="1"/>
    <x v="7"/>
    <b v="0"/>
    <n v="1"/>
    <n v="1"/>
    <n v="0.18"/>
    <n v="0.2424"/>
    <n v="0.86"/>
    <n v="0"/>
    <n v="6"/>
    <n v="89"/>
    <n v="95"/>
    <x v="1"/>
    <x v="1"/>
    <s v="Non-Holiday"/>
    <s v="Medium"/>
    <x v="0"/>
  </r>
  <r>
    <n v="838"/>
    <x v="37"/>
    <n v="1"/>
    <n v="0"/>
    <x v="1"/>
    <x v="8"/>
    <b v="0"/>
    <n v="1"/>
    <n v="2"/>
    <n v="0.16"/>
    <n v="0.2273"/>
    <n v="1"/>
    <n v="0"/>
    <n v="7"/>
    <n v="223"/>
    <n v="230"/>
    <x v="1"/>
    <x v="1"/>
    <s v="Non-Holiday"/>
    <s v="High"/>
    <x v="1"/>
  </r>
  <r>
    <n v="839"/>
    <x v="37"/>
    <n v="1"/>
    <n v="0"/>
    <x v="1"/>
    <x v="9"/>
    <b v="0"/>
    <n v="1"/>
    <n v="1"/>
    <n v="0.22"/>
    <n v="0.2727"/>
    <n v="0.8"/>
    <n v="0"/>
    <n v="3"/>
    <n v="115"/>
    <n v="118"/>
    <x v="1"/>
    <x v="1"/>
    <s v="Non-Holiday"/>
    <s v="Medium"/>
    <x v="0"/>
  </r>
  <r>
    <n v="840"/>
    <x v="37"/>
    <n v="1"/>
    <n v="0"/>
    <x v="1"/>
    <x v="10"/>
    <b v="0"/>
    <n v="1"/>
    <n v="1"/>
    <n v="0.24"/>
    <n v="0.2576"/>
    <n v="0.75"/>
    <n v="0.1045"/>
    <n v="6"/>
    <n v="49"/>
    <n v="55"/>
    <x v="1"/>
    <x v="2"/>
    <s v="Non-Holiday"/>
    <s v="Low"/>
    <x v="0"/>
  </r>
  <r>
    <n v="841"/>
    <x v="37"/>
    <n v="1"/>
    <n v="0"/>
    <x v="1"/>
    <x v="11"/>
    <b v="0"/>
    <n v="1"/>
    <n v="1"/>
    <n v="0.3"/>
    <n v="0.31819999999999998"/>
    <n v="0.65"/>
    <n v="8.9599999999999999E-2"/>
    <n v="11"/>
    <n v="36"/>
    <n v="47"/>
    <x v="1"/>
    <x v="2"/>
    <s v="Non-Holiday"/>
    <s v="Low"/>
    <x v="0"/>
  </r>
  <r>
    <n v="842"/>
    <x v="37"/>
    <n v="1"/>
    <n v="0"/>
    <x v="1"/>
    <x v="12"/>
    <b v="0"/>
    <n v="1"/>
    <n v="2"/>
    <n v="0.32"/>
    <n v="0.34849999999999998"/>
    <n v="0.62"/>
    <n v="0"/>
    <n v="7"/>
    <n v="59"/>
    <n v="66"/>
    <x v="1"/>
    <x v="2"/>
    <s v="Non-Holiday"/>
    <s v="Low"/>
    <x v="1"/>
  </r>
  <r>
    <n v="843"/>
    <x v="37"/>
    <n v="1"/>
    <n v="0"/>
    <x v="1"/>
    <x v="13"/>
    <b v="0"/>
    <n v="1"/>
    <n v="2"/>
    <n v="0.36"/>
    <n v="0.36359999999999998"/>
    <n v="0.56999999999999995"/>
    <n v="8.9599999999999999E-2"/>
    <n v="10"/>
    <n v="54"/>
    <n v="64"/>
    <x v="1"/>
    <x v="2"/>
    <s v="Non-Holiday"/>
    <s v="Low"/>
    <x v="1"/>
  </r>
  <r>
    <n v="844"/>
    <x v="37"/>
    <n v="1"/>
    <n v="0"/>
    <x v="1"/>
    <x v="14"/>
    <b v="0"/>
    <n v="1"/>
    <n v="2"/>
    <n v="0.36"/>
    <n v="0.36359999999999998"/>
    <n v="0.56999999999999995"/>
    <n v="8.9599999999999999E-2"/>
    <n v="8"/>
    <n v="52"/>
    <n v="60"/>
    <x v="1"/>
    <x v="2"/>
    <s v="Non-Holiday"/>
    <s v="Low"/>
    <x v="1"/>
  </r>
  <r>
    <n v="845"/>
    <x v="37"/>
    <n v="1"/>
    <n v="0"/>
    <x v="1"/>
    <x v="15"/>
    <b v="0"/>
    <n v="1"/>
    <n v="2"/>
    <n v="0.38"/>
    <n v="0.39389999999999997"/>
    <n v="0.54"/>
    <n v="8.9599999999999999E-2"/>
    <n v="4"/>
    <n v="46"/>
    <n v="50"/>
    <x v="1"/>
    <x v="2"/>
    <s v="Non-Holiday"/>
    <s v="Low"/>
    <x v="1"/>
  </r>
  <r>
    <n v="846"/>
    <x v="37"/>
    <n v="1"/>
    <n v="0"/>
    <x v="1"/>
    <x v="16"/>
    <b v="0"/>
    <n v="1"/>
    <n v="2"/>
    <n v="0.36"/>
    <n v="0.34849999999999998"/>
    <n v="0.56999999999999995"/>
    <n v="0.1343"/>
    <n v="16"/>
    <n v="98"/>
    <n v="114"/>
    <x v="1"/>
    <x v="2"/>
    <s v="Non-Holiday"/>
    <s v="Medium"/>
    <x v="1"/>
  </r>
  <r>
    <n v="847"/>
    <x v="37"/>
    <n v="1"/>
    <n v="0"/>
    <x v="1"/>
    <x v="17"/>
    <b v="0"/>
    <n v="1"/>
    <n v="2"/>
    <n v="0.32"/>
    <n v="0.31819999999999998"/>
    <n v="0.7"/>
    <n v="0.16420000000000001"/>
    <n v="9"/>
    <n v="207"/>
    <n v="216"/>
    <x v="1"/>
    <x v="3"/>
    <s v="Non-Holiday"/>
    <s v="High"/>
    <x v="1"/>
  </r>
  <r>
    <n v="848"/>
    <x v="37"/>
    <n v="1"/>
    <n v="0"/>
    <x v="1"/>
    <x v="18"/>
    <b v="0"/>
    <n v="1"/>
    <n v="2"/>
    <n v="0.34"/>
    <n v="0.33329999999999999"/>
    <n v="0.66"/>
    <n v="0.1343"/>
    <n v="5"/>
    <n v="170"/>
    <n v="175"/>
    <x v="1"/>
    <x v="3"/>
    <s v="Non-Holiday"/>
    <s v="High"/>
    <x v="1"/>
  </r>
  <r>
    <n v="849"/>
    <x v="37"/>
    <n v="1"/>
    <n v="0"/>
    <x v="1"/>
    <x v="19"/>
    <b v="0"/>
    <n v="1"/>
    <n v="2"/>
    <n v="0.32"/>
    <n v="0.34849999999999998"/>
    <n v="0.7"/>
    <n v="0"/>
    <n v="5"/>
    <n v="123"/>
    <n v="128"/>
    <x v="1"/>
    <x v="3"/>
    <s v="Non-Holiday"/>
    <s v="Medium"/>
    <x v="1"/>
  </r>
  <r>
    <n v="850"/>
    <x v="37"/>
    <n v="1"/>
    <n v="0"/>
    <x v="1"/>
    <x v="20"/>
    <b v="0"/>
    <n v="1"/>
    <n v="2"/>
    <n v="0.32"/>
    <n v="0.33329999999999999"/>
    <n v="0.7"/>
    <n v="0.1045"/>
    <n v="6"/>
    <n v="82"/>
    <n v="88"/>
    <x v="1"/>
    <x v="3"/>
    <s v="Non-Holiday"/>
    <s v="Medium"/>
    <x v="1"/>
  </r>
  <r>
    <n v="851"/>
    <x v="37"/>
    <n v="1"/>
    <n v="0"/>
    <x v="1"/>
    <x v="21"/>
    <b v="0"/>
    <n v="1"/>
    <n v="1"/>
    <n v="0.32"/>
    <n v="0.34849999999999998"/>
    <n v="0.7"/>
    <n v="0"/>
    <n v="3"/>
    <n v="75"/>
    <n v="78"/>
    <x v="1"/>
    <x v="4"/>
    <s v="Non-Holiday"/>
    <s v="Low"/>
    <x v="0"/>
  </r>
  <r>
    <n v="852"/>
    <x v="37"/>
    <n v="1"/>
    <n v="0"/>
    <x v="1"/>
    <x v="22"/>
    <b v="0"/>
    <n v="1"/>
    <n v="1"/>
    <n v="0.28000000000000003"/>
    <n v="0.30299999999999999"/>
    <n v="0.81"/>
    <n v="8.9599999999999999E-2"/>
    <n v="3"/>
    <n v="34"/>
    <n v="37"/>
    <x v="1"/>
    <x v="4"/>
    <s v="Non-Holiday"/>
    <s v="Low"/>
    <x v="0"/>
  </r>
  <r>
    <n v="853"/>
    <x v="37"/>
    <n v="1"/>
    <n v="0"/>
    <x v="1"/>
    <x v="23"/>
    <b v="0"/>
    <n v="1"/>
    <n v="2"/>
    <n v="0.3"/>
    <n v="0.33329999999999999"/>
    <n v="0.81"/>
    <n v="0"/>
    <n v="6"/>
    <n v="19"/>
    <n v="25"/>
    <x v="1"/>
    <x v="4"/>
    <s v="Non-Holiday"/>
    <s v="Low"/>
    <x v="1"/>
  </r>
  <r>
    <n v="854"/>
    <x v="38"/>
    <n v="1"/>
    <n v="0"/>
    <x v="1"/>
    <x v="0"/>
    <b v="0"/>
    <n v="2"/>
    <n v="2"/>
    <n v="0.28000000000000003"/>
    <n v="0.31819999999999998"/>
    <n v="0.87"/>
    <n v="0"/>
    <n v="4"/>
    <n v="6"/>
    <n v="10"/>
    <x v="1"/>
    <x v="0"/>
    <s v="Non-Holiday"/>
    <s v="Low"/>
    <x v="1"/>
  </r>
  <r>
    <n v="855"/>
    <x v="38"/>
    <n v="1"/>
    <n v="0"/>
    <x v="1"/>
    <x v="1"/>
    <b v="0"/>
    <n v="2"/>
    <n v="2"/>
    <n v="0.28000000000000003"/>
    <n v="0.31819999999999998"/>
    <n v="0.87"/>
    <n v="0"/>
    <n v="0"/>
    <n v="4"/>
    <n v="4"/>
    <x v="1"/>
    <x v="0"/>
    <s v="Non-Holiday"/>
    <s v="Low"/>
    <x v="1"/>
  </r>
  <r>
    <n v="856"/>
    <x v="38"/>
    <n v="1"/>
    <n v="0"/>
    <x v="1"/>
    <x v="2"/>
    <b v="0"/>
    <n v="2"/>
    <n v="2"/>
    <n v="0.26"/>
    <n v="0.2727"/>
    <n v="0.93"/>
    <n v="0.1045"/>
    <n v="1"/>
    <n v="1"/>
    <n v="2"/>
    <x v="1"/>
    <x v="0"/>
    <s v="Non-Holiday"/>
    <s v="Low"/>
    <x v="1"/>
  </r>
  <r>
    <n v="857"/>
    <x v="38"/>
    <n v="1"/>
    <n v="0"/>
    <x v="1"/>
    <x v="3"/>
    <b v="0"/>
    <n v="2"/>
    <n v="3"/>
    <n v="0.28000000000000003"/>
    <n v="0.2727"/>
    <n v="0.93"/>
    <n v="0.16420000000000001"/>
    <n v="0"/>
    <n v="1"/>
    <n v="1"/>
    <x v="1"/>
    <x v="0"/>
    <s v="Non-Holiday"/>
    <s v="Low"/>
    <x v="2"/>
  </r>
  <r>
    <n v="858"/>
    <x v="38"/>
    <n v="1"/>
    <n v="0"/>
    <x v="1"/>
    <x v="4"/>
    <b v="0"/>
    <n v="2"/>
    <n v="1"/>
    <n v="0.26"/>
    <n v="0.2576"/>
    <n v="0.93"/>
    <n v="0.16420000000000001"/>
    <n v="0"/>
    <n v="3"/>
    <n v="3"/>
    <x v="1"/>
    <x v="0"/>
    <s v="Non-Holiday"/>
    <s v="Low"/>
    <x v="0"/>
  </r>
  <r>
    <n v="859"/>
    <x v="38"/>
    <n v="1"/>
    <n v="0"/>
    <x v="1"/>
    <x v="5"/>
    <b v="0"/>
    <n v="2"/>
    <n v="1"/>
    <n v="0.26"/>
    <n v="0.2273"/>
    <n v="0.81"/>
    <n v="0.32840000000000003"/>
    <n v="0"/>
    <n v="2"/>
    <n v="2"/>
    <x v="1"/>
    <x v="0"/>
    <s v="Non-Holiday"/>
    <s v="Low"/>
    <x v="0"/>
  </r>
  <r>
    <n v="860"/>
    <x v="38"/>
    <n v="1"/>
    <n v="0"/>
    <x v="1"/>
    <x v="6"/>
    <b v="0"/>
    <n v="2"/>
    <n v="1"/>
    <n v="0.26"/>
    <n v="0.2273"/>
    <n v="0.7"/>
    <n v="0.32840000000000003"/>
    <n v="0"/>
    <n v="39"/>
    <n v="39"/>
    <x v="1"/>
    <x v="1"/>
    <s v="Non-Holiday"/>
    <s v="Low"/>
    <x v="0"/>
  </r>
  <r>
    <n v="861"/>
    <x v="38"/>
    <n v="1"/>
    <n v="0"/>
    <x v="1"/>
    <x v="7"/>
    <b v="0"/>
    <n v="2"/>
    <n v="1"/>
    <n v="0.24"/>
    <n v="0.19700000000000001"/>
    <n v="0.65"/>
    <n v="0.41789999999999999"/>
    <n v="3"/>
    <n v="97"/>
    <n v="100"/>
    <x v="1"/>
    <x v="1"/>
    <s v="Non-Holiday"/>
    <s v="Medium"/>
    <x v="0"/>
  </r>
  <r>
    <n v="862"/>
    <x v="38"/>
    <n v="1"/>
    <n v="0"/>
    <x v="1"/>
    <x v="8"/>
    <b v="0"/>
    <n v="2"/>
    <n v="1"/>
    <n v="0.24"/>
    <n v="0.19700000000000001"/>
    <n v="0.56000000000000005"/>
    <n v="0.49249999999999999"/>
    <n v="7"/>
    <n v="236"/>
    <n v="243"/>
    <x v="1"/>
    <x v="1"/>
    <s v="Non-Holiday"/>
    <s v="High"/>
    <x v="0"/>
  </r>
  <r>
    <n v="863"/>
    <x v="38"/>
    <n v="1"/>
    <n v="0"/>
    <x v="1"/>
    <x v="9"/>
    <b v="0"/>
    <n v="2"/>
    <n v="1"/>
    <n v="0.24"/>
    <n v="0.19700000000000001"/>
    <n v="0.52"/>
    <n v="0.49249999999999999"/>
    <n v="7"/>
    <n v="128"/>
    <n v="135"/>
    <x v="1"/>
    <x v="1"/>
    <s v="Non-Holiday"/>
    <s v="Medium"/>
    <x v="0"/>
  </r>
  <r>
    <n v="864"/>
    <x v="38"/>
    <n v="1"/>
    <n v="0"/>
    <x v="1"/>
    <x v="10"/>
    <b v="0"/>
    <n v="2"/>
    <n v="1"/>
    <n v="0.22"/>
    <n v="0.18179999999999999"/>
    <n v="0.47"/>
    <n v="0.55220000000000002"/>
    <n v="4"/>
    <n v="44"/>
    <n v="48"/>
    <x v="1"/>
    <x v="2"/>
    <s v="Non-Holiday"/>
    <s v="Low"/>
    <x v="0"/>
  </r>
  <r>
    <n v="865"/>
    <x v="38"/>
    <n v="1"/>
    <n v="0"/>
    <x v="1"/>
    <x v="11"/>
    <b v="0"/>
    <n v="2"/>
    <n v="1"/>
    <n v="0.22"/>
    <n v="0.18179999999999999"/>
    <n v="0.47"/>
    <n v="0.4627"/>
    <n v="1"/>
    <n v="49"/>
    <n v="50"/>
    <x v="1"/>
    <x v="2"/>
    <s v="Non-Holiday"/>
    <s v="Low"/>
    <x v="0"/>
  </r>
  <r>
    <n v="866"/>
    <x v="38"/>
    <n v="1"/>
    <n v="0"/>
    <x v="1"/>
    <x v="12"/>
    <b v="0"/>
    <n v="2"/>
    <n v="1"/>
    <n v="0.24"/>
    <n v="0.19700000000000001"/>
    <n v="0.38"/>
    <n v="0.49249999999999999"/>
    <n v="2"/>
    <n v="63"/>
    <n v="65"/>
    <x v="1"/>
    <x v="2"/>
    <s v="Non-Holiday"/>
    <s v="Low"/>
    <x v="0"/>
  </r>
  <r>
    <n v="867"/>
    <x v="38"/>
    <n v="1"/>
    <n v="0"/>
    <x v="1"/>
    <x v="13"/>
    <b v="0"/>
    <n v="2"/>
    <n v="2"/>
    <n v="0.24"/>
    <n v="0.19700000000000001"/>
    <n v="0.32"/>
    <n v="0.44779999999999998"/>
    <n v="2"/>
    <n v="48"/>
    <n v="50"/>
    <x v="1"/>
    <x v="2"/>
    <s v="Non-Holiday"/>
    <s v="Low"/>
    <x v="1"/>
  </r>
  <r>
    <n v="868"/>
    <x v="38"/>
    <n v="1"/>
    <n v="0"/>
    <x v="1"/>
    <x v="14"/>
    <b v="0"/>
    <n v="2"/>
    <n v="1"/>
    <n v="0.22"/>
    <n v="0.19700000000000001"/>
    <n v="0.37"/>
    <n v="0.41789999999999999"/>
    <n v="3"/>
    <n v="61"/>
    <n v="64"/>
    <x v="1"/>
    <x v="2"/>
    <s v="Non-Holiday"/>
    <s v="Low"/>
    <x v="0"/>
  </r>
  <r>
    <n v="869"/>
    <x v="38"/>
    <n v="1"/>
    <n v="0"/>
    <x v="1"/>
    <x v="15"/>
    <b v="0"/>
    <n v="2"/>
    <n v="1"/>
    <n v="0.22"/>
    <n v="0.19700000000000001"/>
    <n v="0.35"/>
    <n v="0.3881"/>
    <n v="6"/>
    <n v="45"/>
    <n v="51"/>
    <x v="1"/>
    <x v="2"/>
    <s v="Non-Holiday"/>
    <s v="Low"/>
    <x v="0"/>
  </r>
  <r>
    <n v="870"/>
    <x v="38"/>
    <n v="1"/>
    <n v="0"/>
    <x v="1"/>
    <x v="16"/>
    <b v="0"/>
    <n v="2"/>
    <n v="1"/>
    <n v="0.22"/>
    <n v="0.18179999999999999"/>
    <n v="0.35"/>
    <n v="0.52239999999999998"/>
    <n v="4"/>
    <n v="79"/>
    <n v="83"/>
    <x v="1"/>
    <x v="2"/>
    <s v="Non-Holiday"/>
    <s v="Medium"/>
    <x v="0"/>
  </r>
  <r>
    <n v="871"/>
    <x v="38"/>
    <n v="1"/>
    <n v="0"/>
    <x v="1"/>
    <x v="17"/>
    <b v="0"/>
    <n v="2"/>
    <n v="1"/>
    <n v="0.22"/>
    <n v="0.18179999999999999"/>
    <n v="0.32"/>
    <n v="0.58209999999999995"/>
    <n v="4"/>
    <n v="172"/>
    <n v="176"/>
    <x v="1"/>
    <x v="3"/>
    <s v="Non-Holiday"/>
    <s v="High"/>
    <x v="0"/>
  </r>
  <r>
    <n v="872"/>
    <x v="38"/>
    <n v="1"/>
    <n v="0"/>
    <x v="1"/>
    <x v="18"/>
    <b v="0"/>
    <n v="2"/>
    <n v="1"/>
    <n v="0.2"/>
    <n v="0.18179999999999999"/>
    <n v="0.32"/>
    <n v="0.3881"/>
    <n v="1"/>
    <n v="151"/>
    <n v="152"/>
    <x v="1"/>
    <x v="3"/>
    <s v="Non-Holiday"/>
    <s v="Medium"/>
    <x v="0"/>
  </r>
  <r>
    <n v="873"/>
    <x v="38"/>
    <n v="1"/>
    <n v="0"/>
    <x v="1"/>
    <x v="19"/>
    <b v="0"/>
    <n v="2"/>
    <n v="1"/>
    <n v="0.16"/>
    <n v="0.1212"/>
    <n v="0.4"/>
    <n v="0.4627"/>
    <n v="1"/>
    <n v="100"/>
    <n v="101"/>
    <x v="1"/>
    <x v="3"/>
    <s v="Non-Holiday"/>
    <s v="Medium"/>
    <x v="0"/>
  </r>
  <r>
    <n v="874"/>
    <x v="38"/>
    <n v="1"/>
    <n v="0"/>
    <x v="1"/>
    <x v="20"/>
    <b v="0"/>
    <n v="2"/>
    <n v="1"/>
    <n v="0.16"/>
    <n v="0.13639999999999999"/>
    <n v="0.4"/>
    <n v="0.32840000000000003"/>
    <n v="3"/>
    <n v="53"/>
    <n v="56"/>
    <x v="1"/>
    <x v="3"/>
    <s v="Non-Holiday"/>
    <s v="Low"/>
    <x v="0"/>
  </r>
  <r>
    <n v="875"/>
    <x v="38"/>
    <n v="1"/>
    <n v="0"/>
    <x v="1"/>
    <x v="21"/>
    <b v="0"/>
    <n v="2"/>
    <n v="1"/>
    <n v="0.14000000000000001"/>
    <n v="0.1061"/>
    <n v="0.33"/>
    <n v="0.4627"/>
    <n v="8"/>
    <n v="46"/>
    <n v="54"/>
    <x v="1"/>
    <x v="4"/>
    <s v="Non-Holiday"/>
    <s v="Low"/>
    <x v="0"/>
  </r>
  <r>
    <n v="876"/>
    <x v="38"/>
    <n v="1"/>
    <n v="0"/>
    <x v="1"/>
    <x v="22"/>
    <b v="0"/>
    <n v="2"/>
    <n v="1"/>
    <n v="0.12"/>
    <n v="0.1061"/>
    <n v="0.33"/>
    <n v="0.35820000000000002"/>
    <n v="0"/>
    <n v="29"/>
    <n v="29"/>
    <x v="1"/>
    <x v="4"/>
    <s v="Non-Holiday"/>
    <s v="Low"/>
    <x v="0"/>
  </r>
  <r>
    <n v="877"/>
    <x v="38"/>
    <n v="1"/>
    <n v="0"/>
    <x v="1"/>
    <x v="23"/>
    <b v="0"/>
    <n v="2"/>
    <n v="1"/>
    <n v="0.12"/>
    <n v="0.1061"/>
    <n v="0.33"/>
    <n v="0.32840000000000003"/>
    <n v="3"/>
    <n v="9"/>
    <n v="12"/>
    <x v="1"/>
    <x v="4"/>
    <s v="Non-Holiday"/>
    <s v="Low"/>
    <x v="0"/>
  </r>
  <r>
    <n v="878"/>
    <x v="39"/>
    <n v="1"/>
    <n v="0"/>
    <x v="1"/>
    <x v="0"/>
    <b v="0"/>
    <n v="3"/>
    <n v="1"/>
    <n v="0.1"/>
    <n v="7.5800000000000006E-2"/>
    <n v="0.36"/>
    <n v="0.35820000000000002"/>
    <n v="0"/>
    <n v="17"/>
    <n v="17"/>
    <x v="1"/>
    <x v="0"/>
    <s v="Non-Holiday"/>
    <s v="Low"/>
    <x v="0"/>
  </r>
  <r>
    <n v="879"/>
    <x v="39"/>
    <n v="1"/>
    <n v="0"/>
    <x v="1"/>
    <x v="1"/>
    <b v="0"/>
    <n v="3"/>
    <n v="1"/>
    <n v="0.1"/>
    <n v="0.1061"/>
    <n v="0.36"/>
    <n v="0.22389999999999999"/>
    <n v="0"/>
    <n v="7"/>
    <n v="7"/>
    <x v="1"/>
    <x v="0"/>
    <s v="Non-Holiday"/>
    <s v="Low"/>
    <x v="0"/>
  </r>
  <r>
    <n v="880"/>
    <x v="39"/>
    <n v="1"/>
    <n v="0"/>
    <x v="1"/>
    <x v="2"/>
    <b v="0"/>
    <n v="3"/>
    <n v="1"/>
    <n v="0.08"/>
    <n v="7.5800000000000006E-2"/>
    <n v="0.38"/>
    <n v="0.28360000000000002"/>
    <n v="1"/>
    <n v="2"/>
    <n v="3"/>
    <x v="1"/>
    <x v="0"/>
    <s v="Non-Holiday"/>
    <s v="Low"/>
    <x v="0"/>
  </r>
  <r>
    <n v="881"/>
    <x v="39"/>
    <n v="1"/>
    <n v="0"/>
    <x v="1"/>
    <x v="3"/>
    <b v="0"/>
    <n v="3"/>
    <n v="1"/>
    <n v="0.06"/>
    <n v="7.5800000000000006E-2"/>
    <n v="0.45"/>
    <n v="0.1343"/>
    <n v="0"/>
    <n v="2"/>
    <n v="2"/>
    <x v="1"/>
    <x v="0"/>
    <s v="Non-Holiday"/>
    <s v="Low"/>
    <x v="0"/>
  </r>
  <r>
    <n v="882"/>
    <x v="39"/>
    <n v="1"/>
    <n v="0"/>
    <x v="1"/>
    <x v="5"/>
    <b v="0"/>
    <n v="3"/>
    <n v="1"/>
    <n v="0.06"/>
    <n v="0.1061"/>
    <n v="0.45"/>
    <n v="0.1045"/>
    <n v="0"/>
    <n v="7"/>
    <n v="7"/>
    <x v="1"/>
    <x v="0"/>
    <s v="Non-Holiday"/>
    <s v="Low"/>
    <x v="0"/>
  </r>
  <r>
    <n v="883"/>
    <x v="39"/>
    <n v="1"/>
    <n v="0"/>
    <x v="1"/>
    <x v="6"/>
    <b v="0"/>
    <n v="3"/>
    <n v="1"/>
    <n v="0.06"/>
    <n v="0.1515"/>
    <n v="0.45"/>
    <n v="0"/>
    <n v="0"/>
    <n v="43"/>
    <n v="43"/>
    <x v="1"/>
    <x v="1"/>
    <s v="Non-Holiday"/>
    <s v="Low"/>
    <x v="0"/>
  </r>
  <r>
    <n v="884"/>
    <x v="39"/>
    <n v="1"/>
    <n v="0"/>
    <x v="1"/>
    <x v="7"/>
    <b v="0"/>
    <n v="3"/>
    <n v="1"/>
    <n v="0.06"/>
    <n v="0.1061"/>
    <n v="0.49"/>
    <n v="0.1045"/>
    <n v="4"/>
    <n v="95"/>
    <n v="99"/>
    <x v="1"/>
    <x v="1"/>
    <s v="Non-Holiday"/>
    <s v="Medium"/>
    <x v="0"/>
  </r>
  <r>
    <n v="885"/>
    <x v="39"/>
    <n v="1"/>
    <n v="0"/>
    <x v="1"/>
    <x v="8"/>
    <b v="0"/>
    <n v="3"/>
    <n v="1"/>
    <n v="0.1"/>
    <n v="0.13639999999999999"/>
    <n v="0.42"/>
    <n v="0"/>
    <n v="1"/>
    <n v="198"/>
    <n v="199"/>
    <x v="1"/>
    <x v="1"/>
    <s v="Non-Holiday"/>
    <s v="High"/>
    <x v="0"/>
  </r>
  <r>
    <n v="886"/>
    <x v="39"/>
    <n v="1"/>
    <n v="0"/>
    <x v="1"/>
    <x v="9"/>
    <b v="0"/>
    <n v="3"/>
    <n v="1"/>
    <n v="0.12"/>
    <n v="0.13639999999999999"/>
    <n v="0.39"/>
    <n v="0.16420000000000001"/>
    <n v="4"/>
    <n v="119"/>
    <n v="123"/>
    <x v="1"/>
    <x v="1"/>
    <s v="Non-Holiday"/>
    <s v="Medium"/>
    <x v="0"/>
  </r>
  <r>
    <n v="887"/>
    <x v="39"/>
    <n v="1"/>
    <n v="0"/>
    <x v="1"/>
    <x v="10"/>
    <b v="0"/>
    <n v="3"/>
    <n v="1"/>
    <n v="0.14000000000000001"/>
    <n v="0.18179999999999999"/>
    <n v="0.36"/>
    <n v="0"/>
    <n v="8"/>
    <n v="51"/>
    <n v="59"/>
    <x v="1"/>
    <x v="2"/>
    <s v="Non-Holiday"/>
    <s v="Low"/>
    <x v="0"/>
  </r>
  <r>
    <n v="888"/>
    <x v="39"/>
    <n v="1"/>
    <n v="0"/>
    <x v="1"/>
    <x v="11"/>
    <b v="0"/>
    <n v="3"/>
    <n v="2"/>
    <n v="0.14000000000000001"/>
    <n v="0.1515"/>
    <n v="0.43"/>
    <n v="0.16420000000000001"/>
    <n v="1"/>
    <n v="40"/>
    <n v="41"/>
    <x v="1"/>
    <x v="2"/>
    <s v="Non-Holiday"/>
    <s v="Low"/>
    <x v="1"/>
  </r>
  <r>
    <n v="889"/>
    <x v="39"/>
    <n v="1"/>
    <n v="0"/>
    <x v="1"/>
    <x v="12"/>
    <b v="0"/>
    <n v="3"/>
    <n v="2"/>
    <n v="0.18"/>
    <n v="0.18179999999999999"/>
    <n v="0.4"/>
    <n v="0.22389999999999999"/>
    <n v="4"/>
    <n v="57"/>
    <n v="61"/>
    <x v="1"/>
    <x v="2"/>
    <s v="Non-Holiday"/>
    <s v="Low"/>
    <x v="1"/>
  </r>
  <r>
    <n v="890"/>
    <x v="39"/>
    <n v="1"/>
    <n v="0"/>
    <x v="1"/>
    <x v="13"/>
    <b v="0"/>
    <n v="3"/>
    <n v="1"/>
    <n v="0.18"/>
    <n v="0.16669999999999999"/>
    <n v="0.4"/>
    <n v="0.25369999999999998"/>
    <n v="2"/>
    <n v="67"/>
    <n v="69"/>
    <x v="1"/>
    <x v="2"/>
    <s v="Non-Holiday"/>
    <s v="Low"/>
    <x v="0"/>
  </r>
  <r>
    <n v="891"/>
    <x v="39"/>
    <n v="1"/>
    <n v="0"/>
    <x v="1"/>
    <x v="14"/>
    <b v="0"/>
    <n v="3"/>
    <n v="1"/>
    <n v="0.2"/>
    <n v="0.18179999999999999"/>
    <n v="0.34"/>
    <n v="0.29849999999999999"/>
    <n v="2"/>
    <n v="56"/>
    <n v="58"/>
    <x v="1"/>
    <x v="2"/>
    <s v="Non-Holiday"/>
    <s v="Low"/>
    <x v="0"/>
  </r>
  <r>
    <n v="892"/>
    <x v="39"/>
    <n v="1"/>
    <n v="0"/>
    <x v="1"/>
    <x v="15"/>
    <b v="0"/>
    <n v="3"/>
    <n v="2"/>
    <n v="0.2"/>
    <n v="0.18179999999999999"/>
    <n v="0.34"/>
    <n v="0.28360000000000002"/>
    <n v="3"/>
    <n v="61"/>
    <n v="64"/>
    <x v="1"/>
    <x v="2"/>
    <s v="Non-Holiday"/>
    <s v="Low"/>
    <x v="1"/>
  </r>
  <r>
    <n v="893"/>
    <x v="39"/>
    <n v="1"/>
    <n v="0"/>
    <x v="1"/>
    <x v="16"/>
    <b v="0"/>
    <n v="3"/>
    <n v="2"/>
    <n v="0.2"/>
    <n v="0.19700000000000001"/>
    <n v="0.37"/>
    <n v="0.25369999999999998"/>
    <n v="7"/>
    <n v="72"/>
    <n v="79"/>
    <x v="1"/>
    <x v="2"/>
    <s v="Non-Holiday"/>
    <s v="Low"/>
    <x v="1"/>
  </r>
  <r>
    <n v="894"/>
    <x v="39"/>
    <n v="1"/>
    <n v="0"/>
    <x v="1"/>
    <x v="17"/>
    <b v="0"/>
    <n v="3"/>
    <n v="2"/>
    <n v="0.2"/>
    <n v="0.19700000000000001"/>
    <n v="0.34"/>
    <n v="0.25369999999999998"/>
    <n v="9"/>
    <n v="157"/>
    <n v="166"/>
    <x v="1"/>
    <x v="3"/>
    <s v="Non-Holiday"/>
    <s v="High"/>
    <x v="1"/>
  </r>
  <r>
    <n v="895"/>
    <x v="39"/>
    <n v="1"/>
    <n v="0"/>
    <x v="1"/>
    <x v="18"/>
    <b v="0"/>
    <n v="3"/>
    <n v="2"/>
    <n v="0.18"/>
    <n v="0.16669999999999999"/>
    <n v="0.47"/>
    <n v="0.29849999999999999"/>
    <n v="2"/>
    <n v="168"/>
    <n v="170"/>
    <x v="1"/>
    <x v="3"/>
    <s v="Non-Holiday"/>
    <s v="High"/>
    <x v="1"/>
  </r>
  <r>
    <n v="896"/>
    <x v="39"/>
    <n v="1"/>
    <n v="0"/>
    <x v="1"/>
    <x v="19"/>
    <b v="0"/>
    <n v="3"/>
    <n v="3"/>
    <n v="0.14000000000000001"/>
    <n v="0.1212"/>
    <n v="0.86"/>
    <n v="0.25369999999999998"/>
    <n v="1"/>
    <n v="87"/>
    <n v="88"/>
    <x v="1"/>
    <x v="3"/>
    <s v="Non-Holiday"/>
    <s v="Medium"/>
    <x v="2"/>
  </r>
  <r>
    <n v="897"/>
    <x v="39"/>
    <n v="1"/>
    <n v="0"/>
    <x v="1"/>
    <x v="20"/>
    <b v="0"/>
    <n v="3"/>
    <n v="3"/>
    <n v="0.14000000000000001"/>
    <n v="0.1515"/>
    <n v="0.86"/>
    <n v="0.16420000000000001"/>
    <n v="0"/>
    <n v="84"/>
    <n v="84"/>
    <x v="1"/>
    <x v="3"/>
    <s v="Non-Holiday"/>
    <s v="Medium"/>
    <x v="2"/>
  </r>
  <r>
    <n v="898"/>
    <x v="39"/>
    <n v="1"/>
    <n v="0"/>
    <x v="1"/>
    <x v="21"/>
    <b v="0"/>
    <n v="3"/>
    <n v="2"/>
    <n v="0.14000000000000001"/>
    <n v="0.1515"/>
    <n v="0.86"/>
    <n v="0.16420000000000001"/>
    <n v="0"/>
    <n v="83"/>
    <n v="83"/>
    <x v="1"/>
    <x v="4"/>
    <s v="Non-Holiday"/>
    <s v="Medium"/>
    <x v="1"/>
  </r>
  <r>
    <n v="899"/>
    <x v="39"/>
    <n v="1"/>
    <n v="0"/>
    <x v="1"/>
    <x v="22"/>
    <b v="0"/>
    <n v="3"/>
    <n v="3"/>
    <n v="0.16"/>
    <n v="0.16669999999999999"/>
    <n v="0.8"/>
    <n v="0.16420000000000001"/>
    <n v="4"/>
    <n v="42"/>
    <n v="46"/>
    <x v="1"/>
    <x v="4"/>
    <s v="Non-Holiday"/>
    <s v="Low"/>
    <x v="2"/>
  </r>
  <r>
    <n v="900"/>
    <x v="39"/>
    <n v="1"/>
    <n v="0"/>
    <x v="1"/>
    <x v="23"/>
    <b v="0"/>
    <n v="3"/>
    <n v="3"/>
    <n v="0.16"/>
    <n v="0.1515"/>
    <n v="0.8"/>
    <n v="0.19400000000000001"/>
    <n v="0"/>
    <n v="37"/>
    <n v="37"/>
    <x v="1"/>
    <x v="4"/>
    <s v="Non-Holiday"/>
    <s v="Low"/>
    <x v="2"/>
  </r>
  <r>
    <n v="901"/>
    <x v="40"/>
    <n v="1"/>
    <n v="0"/>
    <x v="1"/>
    <x v="0"/>
    <b v="0"/>
    <n v="4"/>
    <n v="3"/>
    <n v="0.14000000000000001"/>
    <n v="0.13639999999999999"/>
    <n v="0.86"/>
    <n v="0.19400000000000001"/>
    <n v="0"/>
    <n v="16"/>
    <n v="16"/>
    <x v="1"/>
    <x v="0"/>
    <s v="Non-Holiday"/>
    <s v="Low"/>
    <x v="2"/>
  </r>
  <r>
    <n v="902"/>
    <x v="40"/>
    <n v="1"/>
    <n v="0"/>
    <x v="1"/>
    <x v="1"/>
    <b v="0"/>
    <n v="4"/>
    <n v="3"/>
    <n v="0.14000000000000001"/>
    <n v="0.1515"/>
    <n v="0.8"/>
    <n v="0.1343"/>
    <n v="0"/>
    <n v="7"/>
    <n v="7"/>
    <x v="1"/>
    <x v="0"/>
    <s v="Non-Holiday"/>
    <s v="Low"/>
    <x v="2"/>
  </r>
  <r>
    <n v="903"/>
    <x v="40"/>
    <n v="1"/>
    <n v="0"/>
    <x v="1"/>
    <x v="2"/>
    <b v="0"/>
    <n v="4"/>
    <n v="3"/>
    <n v="0.14000000000000001"/>
    <n v="0.1515"/>
    <n v="0.8"/>
    <n v="0.1343"/>
    <n v="0"/>
    <n v="3"/>
    <n v="3"/>
    <x v="1"/>
    <x v="0"/>
    <s v="Non-Holiday"/>
    <s v="Low"/>
    <x v="2"/>
  </r>
  <r>
    <n v="904"/>
    <x v="40"/>
    <n v="1"/>
    <n v="0"/>
    <x v="1"/>
    <x v="4"/>
    <b v="0"/>
    <n v="4"/>
    <n v="2"/>
    <n v="0.14000000000000001"/>
    <n v="0.13639999999999999"/>
    <n v="0.59"/>
    <n v="0.22389999999999999"/>
    <n v="0"/>
    <n v="1"/>
    <n v="1"/>
    <x v="1"/>
    <x v="0"/>
    <s v="Non-Holiday"/>
    <s v="Low"/>
    <x v="1"/>
  </r>
  <r>
    <n v="905"/>
    <x v="40"/>
    <n v="1"/>
    <n v="0"/>
    <x v="1"/>
    <x v="5"/>
    <b v="0"/>
    <n v="4"/>
    <n v="2"/>
    <n v="0.12"/>
    <n v="0.1212"/>
    <n v="0.5"/>
    <n v="0.22389999999999999"/>
    <n v="0"/>
    <n v="6"/>
    <n v="6"/>
    <x v="1"/>
    <x v="0"/>
    <s v="Non-Holiday"/>
    <s v="Low"/>
    <x v="1"/>
  </r>
  <r>
    <n v="906"/>
    <x v="40"/>
    <n v="1"/>
    <n v="0"/>
    <x v="1"/>
    <x v="6"/>
    <b v="0"/>
    <n v="4"/>
    <n v="2"/>
    <n v="0.12"/>
    <n v="0.1212"/>
    <n v="0.54"/>
    <n v="0.28360000000000002"/>
    <n v="0"/>
    <n v="26"/>
    <n v="26"/>
    <x v="1"/>
    <x v="1"/>
    <s v="Non-Holiday"/>
    <s v="Low"/>
    <x v="1"/>
  </r>
  <r>
    <n v="907"/>
    <x v="40"/>
    <n v="1"/>
    <n v="0"/>
    <x v="1"/>
    <x v="7"/>
    <b v="0"/>
    <n v="4"/>
    <n v="1"/>
    <n v="0.1"/>
    <n v="7.5800000000000006E-2"/>
    <n v="0.5"/>
    <n v="0.41789999999999999"/>
    <n v="0"/>
    <n v="99"/>
    <n v="99"/>
    <x v="1"/>
    <x v="1"/>
    <s v="Non-Holiday"/>
    <s v="Medium"/>
    <x v="0"/>
  </r>
  <r>
    <n v="908"/>
    <x v="40"/>
    <n v="1"/>
    <n v="0"/>
    <x v="1"/>
    <x v="8"/>
    <b v="0"/>
    <n v="4"/>
    <n v="1"/>
    <n v="0.1"/>
    <n v="7.5800000000000006E-2"/>
    <n v="0.49"/>
    <n v="0.32840000000000003"/>
    <n v="5"/>
    <n v="173"/>
    <n v="178"/>
    <x v="1"/>
    <x v="1"/>
    <s v="Non-Holiday"/>
    <s v="High"/>
    <x v="0"/>
  </r>
  <r>
    <n v="909"/>
    <x v="40"/>
    <n v="1"/>
    <n v="0"/>
    <x v="1"/>
    <x v="9"/>
    <b v="0"/>
    <n v="4"/>
    <n v="1"/>
    <n v="0.12"/>
    <n v="0.1061"/>
    <n v="0.42"/>
    <n v="0.35820000000000002"/>
    <n v="1"/>
    <n v="121"/>
    <n v="122"/>
    <x v="1"/>
    <x v="1"/>
    <s v="Non-Holiday"/>
    <s v="Medium"/>
    <x v="0"/>
  </r>
  <r>
    <n v="910"/>
    <x v="40"/>
    <n v="1"/>
    <n v="0"/>
    <x v="1"/>
    <x v="10"/>
    <b v="0"/>
    <n v="4"/>
    <n v="1"/>
    <n v="0.12"/>
    <n v="0.1061"/>
    <n v="0.42"/>
    <n v="0.29849999999999999"/>
    <n v="1"/>
    <n v="34"/>
    <n v="35"/>
    <x v="1"/>
    <x v="2"/>
    <s v="Non-Holiday"/>
    <s v="Low"/>
    <x v="0"/>
  </r>
  <r>
    <n v="911"/>
    <x v="40"/>
    <n v="1"/>
    <n v="0"/>
    <x v="1"/>
    <x v="11"/>
    <b v="0"/>
    <n v="4"/>
    <n v="1"/>
    <n v="0.14000000000000001"/>
    <n v="0.1212"/>
    <n v="0.39"/>
    <n v="0.35820000000000002"/>
    <n v="1"/>
    <n v="44"/>
    <n v="45"/>
    <x v="1"/>
    <x v="2"/>
    <s v="Non-Holiday"/>
    <s v="Low"/>
    <x v="0"/>
  </r>
  <r>
    <n v="912"/>
    <x v="40"/>
    <n v="1"/>
    <n v="0"/>
    <x v="1"/>
    <x v="12"/>
    <b v="0"/>
    <n v="4"/>
    <n v="1"/>
    <n v="0.16"/>
    <n v="0.13639999999999999"/>
    <n v="0.34"/>
    <n v="0.3881"/>
    <n v="4"/>
    <n v="65"/>
    <n v="69"/>
    <x v="1"/>
    <x v="2"/>
    <s v="Non-Holiday"/>
    <s v="Low"/>
    <x v="0"/>
  </r>
  <r>
    <n v="913"/>
    <x v="40"/>
    <n v="1"/>
    <n v="0"/>
    <x v="1"/>
    <x v="13"/>
    <b v="0"/>
    <n v="4"/>
    <n v="1"/>
    <n v="0.18"/>
    <n v="0.16669999999999999"/>
    <n v="0.28999999999999998"/>
    <n v="0.29849999999999999"/>
    <n v="3"/>
    <n v="59"/>
    <n v="62"/>
    <x v="1"/>
    <x v="2"/>
    <s v="Non-Holiday"/>
    <s v="Low"/>
    <x v="0"/>
  </r>
  <r>
    <n v="914"/>
    <x v="40"/>
    <n v="1"/>
    <n v="0"/>
    <x v="1"/>
    <x v="14"/>
    <b v="0"/>
    <n v="4"/>
    <n v="1"/>
    <n v="0.2"/>
    <n v="0.18179999999999999"/>
    <n v="0.27"/>
    <n v="0.28360000000000002"/>
    <n v="6"/>
    <n v="42"/>
    <n v="48"/>
    <x v="1"/>
    <x v="2"/>
    <s v="Non-Holiday"/>
    <s v="Low"/>
    <x v="0"/>
  </r>
  <r>
    <n v="915"/>
    <x v="40"/>
    <n v="1"/>
    <n v="0"/>
    <x v="1"/>
    <x v="15"/>
    <b v="0"/>
    <n v="4"/>
    <n v="1"/>
    <n v="0.2"/>
    <n v="0.19700000000000001"/>
    <n v="0.25"/>
    <n v="0.25369999999999998"/>
    <n v="0"/>
    <n v="50"/>
    <n v="50"/>
    <x v="1"/>
    <x v="2"/>
    <s v="Non-Holiday"/>
    <s v="Low"/>
    <x v="0"/>
  </r>
  <r>
    <n v="916"/>
    <x v="40"/>
    <n v="1"/>
    <n v="0"/>
    <x v="1"/>
    <x v="16"/>
    <b v="0"/>
    <n v="4"/>
    <n v="1"/>
    <n v="0.2"/>
    <n v="0.18179999999999999"/>
    <n v="0.27"/>
    <n v="0.29849999999999999"/>
    <n v="4"/>
    <n v="76"/>
    <n v="80"/>
    <x v="1"/>
    <x v="2"/>
    <s v="Non-Holiday"/>
    <s v="Medium"/>
    <x v="0"/>
  </r>
  <r>
    <n v="917"/>
    <x v="40"/>
    <n v="1"/>
    <n v="0"/>
    <x v="1"/>
    <x v="17"/>
    <b v="0"/>
    <n v="4"/>
    <n v="1"/>
    <n v="0.18"/>
    <n v="0.18179999999999999"/>
    <n v="0.26"/>
    <n v="0.19400000000000001"/>
    <n v="6"/>
    <n v="159"/>
    <n v="165"/>
    <x v="1"/>
    <x v="3"/>
    <s v="Non-Holiday"/>
    <s v="High"/>
    <x v="0"/>
  </r>
  <r>
    <n v="918"/>
    <x v="40"/>
    <n v="1"/>
    <n v="0"/>
    <x v="1"/>
    <x v="18"/>
    <b v="0"/>
    <n v="4"/>
    <n v="1"/>
    <n v="0.16"/>
    <n v="0.18179999999999999"/>
    <n v="0.28000000000000003"/>
    <n v="0.1343"/>
    <n v="3"/>
    <n v="157"/>
    <n v="160"/>
    <x v="1"/>
    <x v="3"/>
    <s v="Non-Holiday"/>
    <s v="High"/>
    <x v="0"/>
  </r>
  <r>
    <n v="919"/>
    <x v="40"/>
    <n v="1"/>
    <n v="0"/>
    <x v="1"/>
    <x v="19"/>
    <b v="0"/>
    <n v="4"/>
    <n v="1"/>
    <n v="0.14000000000000001"/>
    <n v="0.16669999999999999"/>
    <n v="0.28000000000000003"/>
    <n v="0.1045"/>
    <n v="2"/>
    <n v="110"/>
    <n v="112"/>
    <x v="1"/>
    <x v="3"/>
    <s v="Non-Holiday"/>
    <s v="Medium"/>
    <x v="0"/>
  </r>
  <r>
    <n v="920"/>
    <x v="40"/>
    <n v="1"/>
    <n v="0"/>
    <x v="1"/>
    <x v="20"/>
    <b v="0"/>
    <n v="4"/>
    <n v="1"/>
    <n v="0.14000000000000001"/>
    <n v="0.18179999999999999"/>
    <n v="0.31"/>
    <n v="8.9599999999999999E-2"/>
    <n v="4"/>
    <n v="93"/>
    <n v="97"/>
    <x v="1"/>
    <x v="3"/>
    <s v="Non-Holiday"/>
    <s v="Medium"/>
    <x v="0"/>
  </r>
  <r>
    <n v="921"/>
    <x v="40"/>
    <n v="1"/>
    <n v="0"/>
    <x v="1"/>
    <x v="21"/>
    <b v="0"/>
    <n v="4"/>
    <n v="1"/>
    <n v="0.14000000000000001"/>
    <n v="0.21210000000000001"/>
    <n v="0.39"/>
    <n v="0"/>
    <n v="2"/>
    <n v="70"/>
    <n v="72"/>
    <x v="1"/>
    <x v="4"/>
    <s v="Non-Holiday"/>
    <s v="Low"/>
    <x v="0"/>
  </r>
  <r>
    <n v="922"/>
    <x v="40"/>
    <n v="1"/>
    <n v="0"/>
    <x v="1"/>
    <x v="22"/>
    <b v="0"/>
    <n v="4"/>
    <n v="1"/>
    <n v="0.12"/>
    <n v="0.19700000000000001"/>
    <n v="0.39"/>
    <n v="0"/>
    <n v="4"/>
    <n v="47"/>
    <n v="51"/>
    <x v="1"/>
    <x v="4"/>
    <s v="Non-Holiday"/>
    <s v="Low"/>
    <x v="0"/>
  </r>
  <r>
    <n v="923"/>
    <x v="40"/>
    <n v="1"/>
    <n v="0"/>
    <x v="1"/>
    <x v="23"/>
    <b v="0"/>
    <n v="4"/>
    <n v="1"/>
    <n v="0.12"/>
    <n v="0.1515"/>
    <n v="0.42"/>
    <n v="0.1045"/>
    <n v="1"/>
    <n v="33"/>
    <n v="34"/>
    <x v="1"/>
    <x v="4"/>
    <s v="Non-Holiday"/>
    <s v="Low"/>
    <x v="0"/>
  </r>
  <r>
    <n v="924"/>
    <x v="41"/>
    <n v="1"/>
    <n v="0"/>
    <x v="1"/>
    <x v="0"/>
    <b v="0"/>
    <n v="5"/>
    <n v="1"/>
    <n v="0.1"/>
    <n v="0.13639999999999999"/>
    <n v="0.49"/>
    <n v="0.1045"/>
    <n v="2"/>
    <n v="12"/>
    <n v="14"/>
    <x v="1"/>
    <x v="0"/>
    <s v="Non-Holiday"/>
    <s v="Low"/>
    <x v="0"/>
  </r>
  <r>
    <n v="925"/>
    <x v="41"/>
    <n v="1"/>
    <n v="0"/>
    <x v="1"/>
    <x v="1"/>
    <b v="0"/>
    <n v="5"/>
    <n v="1"/>
    <n v="0.1"/>
    <n v="0.13639999999999999"/>
    <n v="0.54"/>
    <n v="8.9599999999999999E-2"/>
    <n v="1"/>
    <n v="6"/>
    <n v="7"/>
    <x v="1"/>
    <x v="0"/>
    <s v="Non-Holiday"/>
    <s v="Low"/>
    <x v="0"/>
  </r>
  <r>
    <n v="926"/>
    <x v="41"/>
    <n v="1"/>
    <n v="0"/>
    <x v="1"/>
    <x v="2"/>
    <b v="0"/>
    <n v="5"/>
    <n v="1"/>
    <n v="0.1"/>
    <n v="0.13639999999999999"/>
    <n v="0.54"/>
    <n v="8.9599999999999999E-2"/>
    <n v="0"/>
    <n v="3"/>
    <n v="3"/>
    <x v="1"/>
    <x v="0"/>
    <s v="Non-Holiday"/>
    <s v="Low"/>
    <x v="0"/>
  </r>
  <r>
    <n v="927"/>
    <x v="41"/>
    <n v="1"/>
    <n v="0"/>
    <x v="1"/>
    <x v="5"/>
    <b v="0"/>
    <n v="5"/>
    <n v="1"/>
    <n v="0.08"/>
    <n v="0.1212"/>
    <n v="0.63"/>
    <n v="8.9599999999999999E-2"/>
    <n v="0"/>
    <n v="4"/>
    <n v="4"/>
    <x v="1"/>
    <x v="0"/>
    <s v="Non-Holiday"/>
    <s v="Low"/>
    <x v="0"/>
  </r>
  <r>
    <n v="928"/>
    <x v="41"/>
    <n v="1"/>
    <n v="0"/>
    <x v="1"/>
    <x v="6"/>
    <b v="0"/>
    <n v="5"/>
    <n v="1"/>
    <n v="0.1"/>
    <n v="0.18179999999999999"/>
    <n v="0.68"/>
    <n v="0"/>
    <n v="1"/>
    <n v="23"/>
    <n v="24"/>
    <x v="1"/>
    <x v="1"/>
    <s v="Non-Holiday"/>
    <s v="Low"/>
    <x v="0"/>
  </r>
  <r>
    <n v="929"/>
    <x v="41"/>
    <n v="1"/>
    <n v="0"/>
    <x v="1"/>
    <x v="7"/>
    <b v="0"/>
    <n v="5"/>
    <n v="1"/>
    <n v="0.08"/>
    <n v="0.16669999999999999"/>
    <n v="0.73"/>
    <n v="0"/>
    <n v="1"/>
    <n v="73"/>
    <n v="74"/>
    <x v="1"/>
    <x v="1"/>
    <s v="Non-Holiday"/>
    <s v="Low"/>
    <x v="0"/>
  </r>
  <r>
    <n v="930"/>
    <x v="41"/>
    <n v="1"/>
    <n v="0"/>
    <x v="1"/>
    <x v="8"/>
    <b v="0"/>
    <n v="5"/>
    <n v="1"/>
    <n v="0.1"/>
    <n v="0.1212"/>
    <n v="0.74"/>
    <n v="0.16420000000000001"/>
    <n v="4"/>
    <n v="212"/>
    <n v="216"/>
    <x v="1"/>
    <x v="1"/>
    <s v="Non-Holiday"/>
    <s v="High"/>
    <x v="0"/>
  </r>
  <r>
    <n v="931"/>
    <x v="41"/>
    <n v="1"/>
    <n v="0"/>
    <x v="1"/>
    <x v="9"/>
    <b v="0"/>
    <n v="5"/>
    <n v="1"/>
    <n v="0.12"/>
    <n v="0.1212"/>
    <n v="0.74"/>
    <n v="0.22389999999999999"/>
    <n v="8"/>
    <n v="132"/>
    <n v="140"/>
    <x v="1"/>
    <x v="1"/>
    <s v="Non-Holiday"/>
    <s v="Medium"/>
    <x v="0"/>
  </r>
  <r>
    <n v="932"/>
    <x v="41"/>
    <n v="1"/>
    <n v="0"/>
    <x v="1"/>
    <x v="10"/>
    <b v="0"/>
    <n v="5"/>
    <n v="1"/>
    <n v="0.14000000000000001"/>
    <n v="0.13639999999999999"/>
    <n v="0.69"/>
    <n v="0.19400000000000001"/>
    <n v="5"/>
    <n v="39"/>
    <n v="44"/>
    <x v="1"/>
    <x v="2"/>
    <s v="Non-Holiday"/>
    <s v="Low"/>
    <x v="0"/>
  </r>
  <r>
    <n v="933"/>
    <x v="41"/>
    <n v="1"/>
    <n v="0"/>
    <x v="1"/>
    <x v="11"/>
    <b v="0"/>
    <n v="5"/>
    <n v="1"/>
    <n v="0.22"/>
    <n v="0.2273"/>
    <n v="0.47"/>
    <n v="0.1343"/>
    <n v="12"/>
    <n v="52"/>
    <n v="64"/>
    <x v="1"/>
    <x v="2"/>
    <s v="Non-Holiday"/>
    <s v="Low"/>
    <x v="0"/>
  </r>
  <r>
    <n v="934"/>
    <x v="41"/>
    <n v="1"/>
    <n v="0"/>
    <x v="1"/>
    <x v="12"/>
    <b v="0"/>
    <n v="5"/>
    <n v="1"/>
    <n v="0.22"/>
    <n v="0.2273"/>
    <n v="0.47"/>
    <n v="0.1343"/>
    <n v="7"/>
    <n v="64"/>
    <n v="71"/>
    <x v="1"/>
    <x v="2"/>
    <s v="Non-Holiday"/>
    <s v="Low"/>
    <x v="0"/>
  </r>
  <r>
    <n v="935"/>
    <x v="41"/>
    <n v="1"/>
    <n v="0"/>
    <x v="1"/>
    <x v="13"/>
    <b v="0"/>
    <n v="5"/>
    <n v="1"/>
    <n v="0.24"/>
    <n v="0.2273"/>
    <n v="0.35"/>
    <n v="0.19400000000000001"/>
    <n v="21"/>
    <n v="89"/>
    <n v="110"/>
    <x v="1"/>
    <x v="2"/>
    <s v="Non-Holiday"/>
    <s v="Medium"/>
    <x v="0"/>
  </r>
  <r>
    <n v="936"/>
    <x v="41"/>
    <n v="1"/>
    <n v="0"/>
    <x v="1"/>
    <x v="14"/>
    <b v="0"/>
    <n v="5"/>
    <n v="1"/>
    <n v="0.3"/>
    <n v="0.28789999999999999"/>
    <n v="0.26"/>
    <n v="0.25369999999999998"/>
    <n v="17"/>
    <n v="67"/>
    <n v="84"/>
    <x v="1"/>
    <x v="2"/>
    <s v="Non-Holiday"/>
    <s v="Medium"/>
    <x v="0"/>
  </r>
  <r>
    <n v="937"/>
    <x v="41"/>
    <n v="1"/>
    <n v="0"/>
    <x v="1"/>
    <x v="15"/>
    <b v="0"/>
    <n v="5"/>
    <n v="1"/>
    <n v="0.32"/>
    <n v="0.31819999999999998"/>
    <n v="0.21"/>
    <n v="0.16420000000000001"/>
    <n v="12"/>
    <n v="62"/>
    <n v="74"/>
    <x v="1"/>
    <x v="2"/>
    <s v="Non-Holiday"/>
    <s v="Low"/>
    <x v="0"/>
  </r>
  <r>
    <n v="938"/>
    <x v="41"/>
    <n v="1"/>
    <n v="0"/>
    <x v="1"/>
    <x v="16"/>
    <b v="0"/>
    <n v="5"/>
    <n v="1"/>
    <n v="0.3"/>
    <n v="0.28789999999999999"/>
    <n v="0.28000000000000003"/>
    <n v="0.19400000000000001"/>
    <n v="14"/>
    <n v="111"/>
    <n v="125"/>
    <x v="1"/>
    <x v="2"/>
    <s v="Non-Holiday"/>
    <s v="Medium"/>
    <x v="0"/>
  </r>
  <r>
    <n v="939"/>
    <x v="41"/>
    <n v="1"/>
    <n v="0"/>
    <x v="1"/>
    <x v="17"/>
    <b v="0"/>
    <n v="5"/>
    <n v="1"/>
    <n v="0.3"/>
    <n v="0.33329999999999999"/>
    <n v="0.24"/>
    <n v="0"/>
    <n v="18"/>
    <n v="193"/>
    <n v="211"/>
    <x v="1"/>
    <x v="3"/>
    <s v="Non-Holiday"/>
    <s v="High"/>
    <x v="0"/>
  </r>
  <r>
    <n v="940"/>
    <x v="41"/>
    <n v="1"/>
    <n v="0"/>
    <x v="1"/>
    <x v="18"/>
    <b v="0"/>
    <n v="5"/>
    <n v="1"/>
    <n v="0.28000000000000003"/>
    <n v="0.31819999999999998"/>
    <n v="0.28000000000000003"/>
    <n v="0"/>
    <n v="9"/>
    <n v="165"/>
    <n v="174"/>
    <x v="1"/>
    <x v="3"/>
    <s v="Non-Holiday"/>
    <s v="High"/>
    <x v="0"/>
  </r>
  <r>
    <n v="941"/>
    <x v="41"/>
    <n v="1"/>
    <n v="0"/>
    <x v="1"/>
    <x v="19"/>
    <b v="0"/>
    <n v="5"/>
    <n v="1"/>
    <n v="0.26"/>
    <n v="0.30299999999999999"/>
    <n v="0.33"/>
    <n v="0"/>
    <n v="7"/>
    <n v="94"/>
    <n v="101"/>
    <x v="1"/>
    <x v="3"/>
    <s v="Non-Holiday"/>
    <s v="Medium"/>
    <x v="0"/>
  </r>
  <r>
    <n v="942"/>
    <x v="41"/>
    <n v="1"/>
    <n v="0"/>
    <x v="1"/>
    <x v="20"/>
    <b v="0"/>
    <n v="5"/>
    <n v="1"/>
    <n v="0.22"/>
    <n v="0.2273"/>
    <n v="0.55000000000000004"/>
    <n v="0.1343"/>
    <n v="2"/>
    <n v="61"/>
    <n v="63"/>
    <x v="1"/>
    <x v="3"/>
    <s v="Non-Holiday"/>
    <s v="Low"/>
    <x v="0"/>
  </r>
  <r>
    <n v="943"/>
    <x v="41"/>
    <n v="1"/>
    <n v="0"/>
    <x v="1"/>
    <x v="21"/>
    <b v="0"/>
    <n v="5"/>
    <n v="1"/>
    <n v="0.2"/>
    <n v="0.21210000000000001"/>
    <n v="0.59"/>
    <n v="0.1343"/>
    <n v="1"/>
    <n v="46"/>
    <n v="47"/>
    <x v="1"/>
    <x v="4"/>
    <s v="Non-Holiday"/>
    <s v="Low"/>
    <x v="0"/>
  </r>
  <r>
    <n v="944"/>
    <x v="41"/>
    <n v="1"/>
    <n v="0"/>
    <x v="1"/>
    <x v="22"/>
    <b v="0"/>
    <n v="5"/>
    <n v="1"/>
    <n v="0.2"/>
    <n v="0.2273"/>
    <n v="0.64"/>
    <n v="8.9599999999999999E-2"/>
    <n v="2"/>
    <n v="41"/>
    <n v="43"/>
    <x v="1"/>
    <x v="4"/>
    <s v="Non-Holiday"/>
    <s v="Low"/>
    <x v="0"/>
  </r>
  <r>
    <n v="945"/>
    <x v="41"/>
    <n v="1"/>
    <n v="0"/>
    <x v="1"/>
    <x v="23"/>
    <b v="0"/>
    <n v="5"/>
    <n v="1"/>
    <n v="0.18"/>
    <n v="0.2424"/>
    <n v="0.69"/>
    <n v="0"/>
    <n v="5"/>
    <n v="48"/>
    <n v="53"/>
    <x v="1"/>
    <x v="4"/>
    <s v="Non-Holiday"/>
    <s v="Low"/>
    <x v="0"/>
  </r>
  <r>
    <n v="946"/>
    <x v="42"/>
    <n v="1"/>
    <n v="0"/>
    <x v="1"/>
    <x v="0"/>
    <b v="0"/>
    <n v="6"/>
    <n v="1"/>
    <n v="0.16"/>
    <n v="0.19700000000000001"/>
    <n v="0.69"/>
    <n v="8.9599999999999999E-2"/>
    <n v="3"/>
    <n v="27"/>
    <n v="30"/>
    <x v="0"/>
    <x v="0"/>
    <s v="Non-Holiday"/>
    <s v="Low"/>
    <x v="0"/>
  </r>
  <r>
    <n v="947"/>
    <x v="42"/>
    <n v="1"/>
    <n v="0"/>
    <x v="1"/>
    <x v="1"/>
    <b v="0"/>
    <n v="6"/>
    <n v="1"/>
    <n v="0.14000000000000001"/>
    <n v="0.21210000000000001"/>
    <n v="0.86"/>
    <n v="0"/>
    <n v="2"/>
    <n v="22"/>
    <n v="24"/>
    <x v="0"/>
    <x v="0"/>
    <s v="Non-Holiday"/>
    <s v="Low"/>
    <x v="0"/>
  </r>
  <r>
    <n v="948"/>
    <x v="42"/>
    <n v="1"/>
    <n v="0"/>
    <x v="1"/>
    <x v="2"/>
    <b v="0"/>
    <n v="6"/>
    <n v="1"/>
    <n v="0.14000000000000001"/>
    <n v="0.21210000000000001"/>
    <n v="0.8"/>
    <n v="0"/>
    <n v="2"/>
    <n v="13"/>
    <n v="15"/>
    <x v="0"/>
    <x v="0"/>
    <s v="Non-Holiday"/>
    <s v="Low"/>
    <x v="0"/>
  </r>
  <r>
    <n v="949"/>
    <x v="42"/>
    <n v="1"/>
    <n v="0"/>
    <x v="1"/>
    <x v="3"/>
    <b v="0"/>
    <n v="6"/>
    <n v="1"/>
    <n v="0.12"/>
    <n v="0.19700000000000001"/>
    <n v="0.8"/>
    <n v="0"/>
    <n v="3"/>
    <n v="7"/>
    <n v="10"/>
    <x v="0"/>
    <x v="0"/>
    <s v="Non-Holiday"/>
    <s v="Low"/>
    <x v="0"/>
  </r>
  <r>
    <n v="950"/>
    <x v="42"/>
    <n v="1"/>
    <n v="0"/>
    <x v="1"/>
    <x v="4"/>
    <b v="0"/>
    <n v="6"/>
    <n v="1"/>
    <n v="0.12"/>
    <n v="0.16669999999999999"/>
    <n v="0.74"/>
    <n v="8.9599999999999999E-2"/>
    <n v="0"/>
    <n v="4"/>
    <n v="4"/>
    <x v="0"/>
    <x v="0"/>
    <s v="Non-Holiday"/>
    <s v="Low"/>
    <x v="0"/>
  </r>
  <r>
    <n v="951"/>
    <x v="42"/>
    <n v="1"/>
    <n v="0"/>
    <x v="1"/>
    <x v="5"/>
    <b v="0"/>
    <n v="6"/>
    <n v="1"/>
    <n v="0.12"/>
    <n v="0.16669999999999999"/>
    <n v="0.74"/>
    <n v="8.9599999999999999E-2"/>
    <n v="0"/>
    <n v="1"/>
    <n v="1"/>
    <x v="0"/>
    <x v="0"/>
    <s v="Non-Holiday"/>
    <s v="Low"/>
    <x v="0"/>
  </r>
  <r>
    <n v="952"/>
    <x v="42"/>
    <n v="1"/>
    <n v="0"/>
    <x v="1"/>
    <x v="6"/>
    <b v="0"/>
    <n v="6"/>
    <n v="1"/>
    <n v="0.12"/>
    <n v="0.13639999999999999"/>
    <n v="0.93"/>
    <n v="0.19400000000000001"/>
    <n v="1"/>
    <n v="1"/>
    <n v="2"/>
    <x v="0"/>
    <x v="1"/>
    <s v="Non-Holiday"/>
    <s v="Low"/>
    <x v="0"/>
  </r>
  <r>
    <n v="953"/>
    <x v="42"/>
    <n v="1"/>
    <n v="0"/>
    <x v="1"/>
    <x v="7"/>
    <b v="0"/>
    <n v="6"/>
    <n v="1"/>
    <n v="0.12"/>
    <n v="0.1515"/>
    <n v="0.8"/>
    <n v="0.1045"/>
    <n v="2"/>
    <n v="9"/>
    <n v="11"/>
    <x v="0"/>
    <x v="1"/>
    <s v="Non-Holiday"/>
    <s v="Low"/>
    <x v="0"/>
  </r>
  <r>
    <n v="954"/>
    <x v="42"/>
    <n v="1"/>
    <n v="0"/>
    <x v="1"/>
    <x v="8"/>
    <b v="0"/>
    <n v="6"/>
    <n v="1"/>
    <n v="0.14000000000000001"/>
    <n v="0.1515"/>
    <n v="0.86"/>
    <n v="0.1343"/>
    <n v="2"/>
    <n v="28"/>
    <n v="30"/>
    <x v="0"/>
    <x v="1"/>
    <s v="Non-Holiday"/>
    <s v="Low"/>
    <x v="0"/>
  </r>
  <r>
    <n v="955"/>
    <x v="42"/>
    <n v="1"/>
    <n v="0"/>
    <x v="1"/>
    <x v="9"/>
    <b v="0"/>
    <n v="6"/>
    <n v="1"/>
    <n v="0.16"/>
    <n v="0.18179999999999999"/>
    <n v="0.64"/>
    <n v="0.1343"/>
    <n v="5"/>
    <n v="38"/>
    <n v="43"/>
    <x v="0"/>
    <x v="1"/>
    <s v="Non-Holiday"/>
    <s v="Low"/>
    <x v="0"/>
  </r>
  <r>
    <n v="956"/>
    <x v="42"/>
    <n v="1"/>
    <n v="0"/>
    <x v="1"/>
    <x v="10"/>
    <b v="0"/>
    <n v="6"/>
    <n v="1"/>
    <n v="0.22"/>
    <n v="0.21210000000000001"/>
    <n v="0.41"/>
    <n v="0.25369999999999998"/>
    <n v="13"/>
    <n v="71"/>
    <n v="84"/>
    <x v="0"/>
    <x v="2"/>
    <s v="Non-Holiday"/>
    <s v="Medium"/>
    <x v="0"/>
  </r>
  <r>
    <n v="957"/>
    <x v="42"/>
    <n v="1"/>
    <n v="0"/>
    <x v="1"/>
    <x v="11"/>
    <b v="0"/>
    <n v="6"/>
    <n v="1"/>
    <n v="0.3"/>
    <n v="0.2727"/>
    <n v="0.28000000000000003"/>
    <n v="0.32840000000000003"/>
    <n v="30"/>
    <n v="84"/>
    <n v="114"/>
    <x v="0"/>
    <x v="2"/>
    <s v="Non-Holiday"/>
    <s v="Medium"/>
    <x v="0"/>
  </r>
  <r>
    <n v="958"/>
    <x v="42"/>
    <n v="1"/>
    <n v="0"/>
    <x v="1"/>
    <x v="12"/>
    <b v="0"/>
    <n v="6"/>
    <n v="1"/>
    <n v="0.3"/>
    <n v="0.2727"/>
    <n v="0.39"/>
    <n v="0.4627"/>
    <n v="27"/>
    <n v="93"/>
    <n v="120"/>
    <x v="0"/>
    <x v="2"/>
    <s v="Non-Holiday"/>
    <s v="Medium"/>
    <x v="0"/>
  </r>
  <r>
    <n v="959"/>
    <x v="42"/>
    <n v="1"/>
    <n v="0"/>
    <x v="1"/>
    <x v="13"/>
    <b v="0"/>
    <n v="6"/>
    <n v="1"/>
    <n v="0.3"/>
    <n v="0.2727"/>
    <n v="0.39"/>
    <n v="0.41789999999999999"/>
    <n v="32"/>
    <n v="103"/>
    <n v="135"/>
    <x v="0"/>
    <x v="2"/>
    <s v="Non-Holiday"/>
    <s v="Medium"/>
    <x v="0"/>
  </r>
  <r>
    <n v="960"/>
    <x v="42"/>
    <n v="1"/>
    <n v="0"/>
    <x v="1"/>
    <x v="14"/>
    <b v="0"/>
    <n v="6"/>
    <n v="1"/>
    <n v="0.34"/>
    <n v="0.31819999999999998"/>
    <n v="0.31"/>
    <n v="0.28360000000000002"/>
    <n v="30"/>
    <n v="90"/>
    <n v="120"/>
    <x v="0"/>
    <x v="2"/>
    <s v="Non-Holiday"/>
    <s v="Medium"/>
    <x v="0"/>
  </r>
  <r>
    <n v="961"/>
    <x v="42"/>
    <n v="1"/>
    <n v="0"/>
    <x v="1"/>
    <x v="15"/>
    <b v="0"/>
    <n v="6"/>
    <n v="1"/>
    <n v="0.34"/>
    <n v="0.30299999999999999"/>
    <n v="0.28999999999999998"/>
    <n v="0.41789999999999999"/>
    <n v="47"/>
    <n v="127"/>
    <n v="174"/>
    <x v="0"/>
    <x v="2"/>
    <s v="Non-Holiday"/>
    <s v="High"/>
    <x v="0"/>
  </r>
  <r>
    <n v="962"/>
    <x v="42"/>
    <n v="1"/>
    <n v="0"/>
    <x v="1"/>
    <x v="16"/>
    <b v="0"/>
    <n v="6"/>
    <n v="1"/>
    <n v="0.34"/>
    <n v="0.30299999999999999"/>
    <n v="0.28999999999999998"/>
    <n v="0.41789999999999999"/>
    <n v="42"/>
    <n v="103"/>
    <n v="145"/>
    <x v="0"/>
    <x v="2"/>
    <s v="Non-Holiday"/>
    <s v="Medium"/>
    <x v="0"/>
  </r>
  <r>
    <n v="963"/>
    <x v="42"/>
    <n v="1"/>
    <n v="0"/>
    <x v="1"/>
    <x v="17"/>
    <b v="0"/>
    <n v="6"/>
    <n v="1"/>
    <n v="0.32"/>
    <n v="0.28789999999999999"/>
    <n v="0.31"/>
    <n v="0.52239999999999998"/>
    <n v="24"/>
    <n v="113"/>
    <n v="137"/>
    <x v="0"/>
    <x v="3"/>
    <s v="Non-Holiday"/>
    <s v="Medium"/>
    <x v="0"/>
  </r>
  <r>
    <n v="964"/>
    <x v="42"/>
    <n v="1"/>
    <n v="0"/>
    <x v="1"/>
    <x v="18"/>
    <b v="0"/>
    <n v="6"/>
    <n v="1"/>
    <n v="0.28000000000000003"/>
    <n v="0.2576"/>
    <n v="0.38"/>
    <n v="0.32840000000000003"/>
    <n v="4"/>
    <n v="60"/>
    <n v="64"/>
    <x v="0"/>
    <x v="3"/>
    <s v="Non-Holiday"/>
    <s v="Low"/>
    <x v="0"/>
  </r>
  <r>
    <n v="965"/>
    <x v="42"/>
    <n v="1"/>
    <n v="0"/>
    <x v="1"/>
    <x v="19"/>
    <b v="0"/>
    <n v="6"/>
    <n v="1"/>
    <n v="0.28000000000000003"/>
    <n v="0.2727"/>
    <n v="0.38"/>
    <n v="0.16420000000000001"/>
    <n v="2"/>
    <n v="39"/>
    <n v="41"/>
    <x v="0"/>
    <x v="3"/>
    <s v="Non-Holiday"/>
    <s v="Low"/>
    <x v="0"/>
  </r>
  <r>
    <n v="966"/>
    <x v="42"/>
    <n v="1"/>
    <n v="0"/>
    <x v="1"/>
    <x v="20"/>
    <b v="0"/>
    <n v="6"/>
    <n v="1"/>
    <n v="0.26"/>
    <n v="0.2576"/>
    <n v="0.41"/>
    <n v="0.22389999999999999"/>
    <n v="1"/>
    <n v="39"/>
    <n v="40"/>
    <x v="0"/>
    <x v="3"/>
    <s v="Non-Holiday"/>
    <s v="Low"/>
    <x v="0"/>
  </r>
  <r>
    <n v="967"/>
    <x v="42"/>
    <n v="1"/>
    <n v="0"/>
    <x v="1"/>
    <x v="21"/>
    <b v="0"/>
    <n v="6"/>
    <n v="1"/>
    <n v="0.26"/>
    <n v="0.30299999999999999"/>
    <n v="0.41"/>
    <n v="0"/>
    <n v="9"/>
    <n v="42"/>
    <n v="51"/>
    <x v="0"/>
    <x v="4"/>
    <s v="Non-Holiday"/>
    <s v="Low"/>
    <x v="0"/>
  </r>
  <r>
    <n v="968"/>
    <x v="42"/>
    <n v="1"/>
    <n v="0"/>
    <x v="1"/>
    <x v="22"/>
    <b v="0"/>
    <n v="6"/>
    <n v="1"/>
    <n v="0.24"/>
    <n v="0.2576"/>
    <n v="0.44"/>
    <n v="8.9599999999999999E-2"/>
    <n v="6"/>
    <n v="39"/>
    <n v="45"/>
    <x v="0"/>
    <x v="4"/>
    <s v="Non-Holiday"/>
    <s v="Low"/>
    <x v="0"/>
  </r>
  <r>
    <n v="969"/>
    <x v="42"/>
    <n v="1"/>
    <n v="0"/>
    <x v="1"/>
    <x v="23"/>
    <b v="0"/>
    <n v="6"/>
    <n v="1"/>
    <n v="0.22"/>
    <n v="0.2273"/>
    <n v="0.51"/>
    <n v="0.1343"/>
    <n v="1"/>
    <n v="31"/>
    <n v="32"/>
    <x v="0"/>
    <x v="4"/>
    <s v="Non-Holiday"/>
    <s v="Low"/>
    <x v="0"/>
  </r>
  <r>
    <n v="970"/>
    <x v="43"/>
    <n v="1"/>
    <n v="0"/>
    <x v="1"/>
    <x v="0"/>
    <b v="0"/>
    <n v="0"/>
    <n v="1"/>
    <n v="0.2"/>
    <n v="0.2273"/>
    <n v="0.64"/>
    <n v="0.1045"/>
    <n v="5"/>
    <n v="34"/>
    <n v="39"/>
    <x v="0"/>
    <x v="0"/>
    <s v="Non-Holiday"/>
    <s v="Low"/>
    <x v="0"/>
  </r>
  <r>
    <n v="971"/>
    <x v="43"/>
    <n v="1"/>
    <n v="0"/>
    <x v="1"/>
    <x v="1"/>
    <b v="0"/>
    <n v="0"/>
    <n v="1"/>
    <n v="0.2"/>
    <n v="0.2273"/>
    <n v="0.59"/>
    <n v="8.9599999999999999E-2"/>
    <n v="1"/>
    <n v="23"/>
    <n v="24"/>
    <x v="0"/>
    <x v="0"/>
    <s v="Non-Holiday"/>
    <s v="Low"/>
    <x v="0"/>
  </r>
  <r>
    <n v="972"/>
    <x v="43"/>
    <n v="1"/>
    <n v="0"/>
    <x v="1"/>
    <x v="2"/>
    <b v="0"/>
    <n v="0"/>
    <n v="2"/>
    <n v="0.2"/>
    <n v="0.2273"/>
    <n v="0.75"/>
    <n v="8.9599999999999999E-2"/>
    <n v="1"/>
    <n v="19"/>
    <n v="20"/>
    <x v="0"/>
    <x v="0"/>
    <s v="Non-Holiday"/>
    <s v="Low"/>
    <x v="1"/>
  </r>
  <r>
    <n v="973"/>
    <x v="43"/>
    <n v="1"/>
    <n v="0"/>
    <x v="1"/>
    <x v="3"/>
    <b v="0"/>
    <n v="0"/>
    <n v="2"/>
    <n v="0.2"/>
    <n v="0.2273"/>
    <n v="0.69"/>
    <n v="0.1045"/>
    <n v="4"/>
    <n v="8"/>
    <n v="12"/>
    <x v="0"/>
    <x v="0"/>
    <s v="Non-Holiday"/>
    <s v="Low"/>
    <x v="1"/>
  </r>
  <r>
    <n v="974"/>
    <x v="43"/>
    <n v="1"/>
    <n v="0"/>
    <x v="1"/>
    <x v="4"/>
    <b v="0"/>
    <n v="0"/>
    <n v="2"/>
    <n v="0.2"/>
    <n v="0.21210000000000001"/>
    <n v="0.69"/>
    <n v="0.16420000000000001"/>
    <n v="0"/>
    <n v="2"/>
    <n v="2"/>
    <x v="0"/>
    <x v="0"/>
    <s v="Non-Holiday"/>
    <s v="Low"/>
    <x v="1"/>
  </r>
  <r>
    <n v="975"/>
    <x v="43"/>
    <n v="1"/>
    <n v="0"/>
    <x v="1"/>
    <x v="6"/>
    <b v="0"/>
    <n v="0"/>
    <n v="2"/>
    <n v="0.2"/>
    <n v="0.21210000000000001"/>
    <n v="0.69"/>
    <n v="0.1343"/>
    <n v="2"/>
    <n v="3"/>
    <n v="5"/>
    <x v="0"/>
    <x v="1"/>
    <s v="Non-Holiday"/>
    <s v="Low"/>
    <x v="1"/>
  </r>
  <r>
    <n v="976"/>
    <x v="43"/>
    <n v="1"/>
    <n v="0"/>
    <x v="1"/>
    <x v="7"/>
    <b v="0"/>
    <n v="0"/>
    <n v="2"/>
    <n v="0.22"/>
    <n v="0.2727"/>
    <n v="0.55000000000000004"/>
    <n v="0"/>
    <n v="0"/>
    <n v="3"/>
    <n v="3"/>
    <x v="0"/>
    <x v="1"/>
    <s v="Non-Holiday"/>
    <s v="Low"/>
    <x v="1"/>
  </r>
  <r>
    <n v="977"/>
    <x v="43"/>
    <n v="1"/>
    <n v="0"/>
    <x v="1"/>
    <x v="8"/>
    <b v="0"/>
    <n v="0"/>
    <n v="2"/>
    <n v="0.22"/>
    <n v="0.2273"/>
    <n v="0.64"/>
    <n v="0.19400000000000001"/>
    <n v="1"/>
    <n v="11"/>
    <n v="12"/>
    <x v="0"/>
    <x v="1"/>
    <s v="Non-Holiday"/>
    <s v="Low"/>
    <x v="1"/>
  </r>
  <r>
    <n v="978"/>
    <x v="43"/>
    <n v="1"/>
    <n v="0"/>
    <x v="1"/>
    <x v="9"/>
    <b v="0"/>
    <n v="0"/>
    <n v="2"/>
    <n v="0.24"/>
    <n v="0.2273"/>
    <n v="0.6"/>
    <n v="0.22389999999999999"/>
    <n v="12"/>
    <n v="35"/>
    <n v="47"/>
    <x v="0"/>
    <x v="1"/>
    <s v="Non-Holiday"/>
    <s v="Low"/>
    <x v="1"/>
  </r>
  <r>
    <n v="979"/>
    <x v="43"/>
    <n v="1"/>
    <n v="0"/>
    <x v="1"/>
    <x v="10"/>
    <b v="0"/>
    <n v="0"/>
    <n v="1"/>
    <n v="0.3"/>
    <n v="0.2727"/>
    <n v="0.45"/>
    <n v="0.32840000000000003"/>
    <n v="19"/>
    <n v="86"/>
    <n v="105"/>
    <x v="0"/>
    <x v="2"/>
    <s v="Non-Holiday"/>
    <s v="Medium"/>
    <x v="0"/>
  </r>
  <r>
    <n v="980"/>
    <x v="43"/>
    <n v="1"/>
    <n v="0"/>
    <x v="1"/>
    <x v="11"/>
    <b v="0"/>
    <n v="0"/>
    <n v="1"/>
    <n v="0.32"/>
    <n v="0.28789999999999999"/>
    <n v="0.39"/>
    <n v="0.44779999999999998"/>
    <n v="26"/>
    <n v="86"/>
    <n v="112"/>
    <x v="0"/>
    <x v="2"/>
    <s v="Non-Holiday"/>
    <s v="Medium"/>
    <x v="0"/>
  </r>
  <r>
    <n v="981"/>
    <x v="43"/>
    <n v="1"/>
    <n v="0"/>
    <x v="1"/>
    <x v="12"/>
    <b v="0"/>
    <n v="0"/>
    <n v="1"/>
    <n v="0.36"/>
    <n v="0.31819999999999998"/>
    <n v="0.32"/>
    <n v="0.4627"/>
    <n v="58"/>
    <n v="94"/>
    <n v="152"/>
    <x v="0"/>
    <x v="2"/>
    <s v="Non-Holiday"/>
    <s v="Medium"/>
    <x v="0"/>
  </r>
  <r>
    <n v="982"/>
    <x v="43"/>
    <n v="1"/>
    <n v="0"/>
    <x v="1"/>
    <x v="13"/>
    <b v="0"/>
    <n v="0"/>
    <n v="1"/>
    <n v="0.38"/>
    <n v="0.39389999999999997"/>
    <n v="0.28999999999999998"/>
    <n v="0.35820000000000002"/>
    <n v="62"/>
    <n v="92"/>
    <n v="154"/>
    <x v="0"/>
    <x v="2"/>
    <s v="Non-Holiday"/>
    <s v="Medium"/>
    <x v="0"/>
  </r>
  <r>
    <n v="983"/>
    <x v="43"/>
    <n v="1"/>
    <n v="0"/>
    <x v="1"/>
    <x v="14"/>
    <b v="0"/>
    <n v="0"/>
    <n v="2"/>
    <n v="0.4"/>
    <n v="0.40910000000000002"/>
    <n v="0.3"/>
    <n v="0.41789999999999999"/>
    <n v="51"/>
    <n v="110"/>
    <n v="161"/>
    <x v="0"/>
    <x v="2"/>
    <s v="Non-Holiday"/>
    <s v="High"/>
    <x v="1"/>
  </r>
  <r>
    <n v="984"/>
    <x v="43"/>
    <n v="1"/>
    <n v="0"/>
    <x v="1"/>
    <x v="15"/>
    <b v="0"/>
    <n v="0"/>
    <n v="2"/>
    <n v="0.4"/>
    <n v="0.40910000000000002"/>
    <n v="0.3"/>
    <n v="0.29849999999999999"/>
    <n v="40"/>
    <n v="122"/>
    <n v="162"/>
    <x v="0"/>
    <x v="2"/>
    <s v="Non-Holiday"/>
    <s v="High"/>
    <x v="1"/>
  </r>
  <r>
    <n v="985"/>
    <x v="43"/>
    <n v="1"/>
    <n v="0"/>
    <x v="1"/>
    <x v="16"/>
    <b v="0"/>
    <n v="0"/>
    <n v="2"/>
    <n v="0.42"/>
    <n v="0.42420000000000002"/>
    <n v="0.28000000000000003"/>
    <n v="0.32840000000000003"/>
    <n v="28"/>
    <n v="106"/>
    <n v="134"/>
    <x v="0"/>
    <x v="2"/>
    <s v="Non-Holiday"/>
    <s v="Medium"/>
    <x v="1"/>
  </r>
  <r>
    <n v="986"/>
    <x v="43"/>
    <n v="1"/>
    <n v="0"/>
    <x v="1"/>
    <x v="17"/>
    <b v="0"/>
    <n v="0"/>
    <n v="1"/>
    <n v="0.42"/>
    <n v="0.42420000000000002"/>
    <n v="0.28000000000000003"/>
    <n v="0.32840000000000003"/>
    <n v="30"/>
    <n v="95"/>
    <n v="125"/>
    <x v="0"/>
    <x v="3"/>
    <s v="Non-Holiday"/>
    <s v="Medium"/>
    <x v="0"/>
  </r>
  <r>
    <n v="987"/>
    <x v="43"/>
    <n v="1"/>
    <n v="0"/>
    <x v="1"/>
    <x v="18"/>
    <b v="0"/>
    <n v="0"/>
    <n v="1"/>
    <n v="0.4"/>
    <n v="0.40910000000000002"/>
    <n v="0.32"/>
    <n v="0.29849999999999999"/>
    <n v="17"/>
    <n v="78"/>
    <n v="95"/>
    <x v="0"/>
    <x v="3"/>
    <s v="Non-Holiday"/>
    <s v="Medium"/>
    <x v="0"/>
  </r>
  <r>
    <n v="988"/>
    <x v="43"/>
    <n v="1"/>
    <n v="0"/>
    <x v="1"/>
    <x v="19"/>
    <b v="0"/>
    <n v="0"/>
    <n v="1"/>
    <n v="0.4"/>
    <n v="0.40910000000000002"/>
    <n v="0.35"/>
    <n v="0.28360000000000002"/>
    <n v="11"/>
    <n v="50"/>
    <n v="61"/>
    <x v="0"/>
    <x v="3"/>
    <s v="Non-Holiday"/>
    <s v="Low"/>
    <x v="0"/>
  </r>
  <r>
    <n v="989"/>
    <x v="43"/>
    <n v="1"/>
    <n v="0"/>
    <x v="1"/>
    <x v="20"/>
    <b v="0"/>
    <n v="0"/>
    <n v="1"/>
    <n v="0.4"/>
    <n v="0.40910000000000002"/>
    <n v="0.35"/>
    <n v="0.32840000000000003"/>
    <n v="15"/>
    <n v="32"/>
    <n v="47"/>
    <x v="0"/>
    <x v="3"/>
    <s v="Non-Holiday"/>
    <s v="Low"/>
    <x v="0"/>
  </r>
  <r>
    <n v="990"/>
    <x v="43"/>
    <n v="1"/>
    <n v="0"/>
    <x v="1"/>
    <x v="21"/>
    <b v="0"/>
    <n v="0"/>
    <n v="1"/>
    <n v="0.4"/>
    <n v="0.40910000000000002"/>
    <n v="0.35"/>
    <n v="0.35820000000000002"/>
    <n v="6"/>
    <n v="45"/>
    <n v="51"/>
    <x v="0"/>
    <x v="4"/>
    <s v="Non-Holiday"/>
    <s v="Low"/>
    <x v="0"/>
  </r>
  <r>
    <n v="991"/>
    <x v="43"/>
    <n v="1"/>
    <n v="0"/>
    <x v="1"/>
    <x v="22"/>
    <b v="0"/>
    <n v="0"/>
    <n v="1"/>
    <n v="0.4"/>
    <n v="0.40910000000000002"/>
    <n v="0.35"/>
    <n v="0.29849999999999999"/>
    <n v="5"/>
    <n v="31"/>
    <n v="36"/>
    <x v="0"/>
    <x v="4"/>
    <s v="Non-Holiday"/>
    <s v="Low"/>
    <x v="0"/>
  </r>
  <r>
    <n v="992"/>
    <x v="43"/>
    <n v="1"/>
    <n v="0"/>
    <x v="1"/>
    <x v="23"/>
    <b v="0"/>
    <n v="0"/>
    <n v="1"/>
    <n v="0.4"/>
    <n v="0.40910000000000002"/>
    <n v="0.35"/>
    <n v="0.35820000000000002"/>
    <n v="3"/>
    <n v="27"/>
    <n v="30"/>
    <x v="0"/>
    <x v="4"/>
    <s v="Non-Holiday"/>
    <s v="Low"/>
    <x v="0"/>
  </r>
  <r>
    <n v="993"/>
    <x v="44"/>
    <n v="1"/>
    <n v="0"/>
    <x v="1"/>
    <x v="0"/>
    <b v="0"/>
    <n v="1"/>
    <n v="1"/>
    <n v="0.38"/>
    <n v="0.39389999999999997"/>
    <n v="0.37"/>
    <n v="0.35820000000000002"/>
    <n v="3"/>
    <n v="8"/>
    <n v="11"/>
    <x v="1"/>
    <x v="0"/>
    <s v="Non-Holiday"/>
    <s v="Low"/>
    <x v="0"/>
  </r>
  <r>
    <n v="994"/>
    <x v="44"/>
    <n v="1"/>
    <n v="0"/>
    <x v="1"/>
    <x v="1"/>
    <b v="0"/>
    <n v="1"/>
    <n v="1"/>
    <n v="0.38"/>
    <n v="0.39389999999999997"/>
    <n v="0.37"/>
    <n v="0.35820000000000002"/>
    <n v="1"/>
    <n v="6"/>
    <n v="7"/>
    <x v="1"/>
    <x v="0"/>
    <s v="Non-Holiday"/>
    <s v="Low"/>
    <x v="0"/>
  </r>
  <r>
    <n v="995"/>
    <x v="44"/>
    <n v="1"/>
    <n v="0"/>
    <x v="1"/>
    <x v="2"/>
    <b v="0"/>
    <n v="1"/>
    <n v="1"/>
    <n v="0.36"/>
    <n v="0.33329999999999999"/>
    <n v="0.4"/>
    <n v="0.29849999999999999"/>
    <n v="0"/>
    <n v="2"/>
    <n v="2"/>
    <x v="1"/>
    <x v="0"/>
    <s v="Non-Holiday"/>
    <s v="Low"/>
    <x v="0"/>
  </r>
  <r>
    <n v="996"/>
    <x v="44"/>
    <n v="1"/>
    <n v="0"/>
    <x v="1"/>
    <x v="3"/>
    <b v="0"/>
    <n v="1"/>
    <n v="1"/>
    <n v="0.34"/>
    <n v="0.31819999999999998"/>
    <n v="0.46"/>
    <n v="0.22389999999999999"/>
    <n v="1"/>
    <n v="1"/>
    <n v="2"/>
    <x v="1"/>
    <x v="0"/>
    <s v="Non-Holiday"/>
    <s v="Low"/>
    <x v="0"/>
  </r>
  <r>
    <n v="997"/>
    <x v="44"/>
    <n v="1"/>
    <n v="0"/>
    <x v="1"/>
    <x v="4"/>
    <b v="0"/>
    <n v="1"/>
    <n v="1"/>
    <n v="0.32"/>
    <n v="0.30299999999999999"/>
    <n v="0.53"/>
    <n v="0.28360000000000002"/>
    <n v="0"/>
    <n v="2"/>
    <n v="2"/>
    <x v="1"/>
    <x v="0"/>
    <s v="Non-Holiday"/>
    <s v="Low"/>
    <x v="0"/>
  </r>
  <r>
    <n v="998"/>
    <x v="44"/>
    <n v="1"/>
    <n v="0"/>
    <x v="1"/>
    <x v="5"/>
    <b v="0"/>
    <n v="1"/>
    <n v="1"/>
    <n v="0.32"/>
    <n v="0.30299999999999999"/>
    <n v="0.53"/>
    <n v="0.28360000000000002"/>
    <n v="0"/>
    <n v="3"/>
    <n v="3"/>
    <x v="1"/>
    <x v="0"/>
    <s v="Non-Holiday"/>
    <s v="Low"/>
    <x v="0"/>
  </r>
  <r>
    <n v="999"/>
    <x v="44"/>
    <n v="1"/>
    <n v="0"/>
    <x v="1"/>
    <x v="6"/>
    <b v="0"/>
    <n v="1"/>
    <n v="1"/>
    <n v="0.34"/>
    <n v="0.30299999999999999"/>
    <n v="0.46"/>
    <n v="0.29849999999999999"/>
    <n v="1"/>
    <n v="25"/>
    <n v="26"/>
    <x v="1"/>
    <x v="1"/>
    <s v="Non-Holiday"/>
    <s v="Low"/>
    <x v="0"/>
  </r>
  <r>
    <n v="1000"/>
    <x v="44"/>
    <n v="1"/>
    <n v="0"/>
    <x v="1"/>
    <x v="7"/>
    <b v="0"/>
    <n v="1"/>
    <n v="1"/>
    <n v="0.34"/>
    <n v="0.30299999999999999"/>
    <n v="0.46"/>
    <n v="0.29849999999999999"/>
    <n v="2"/>
    <n v="96"/>
    <n v="98"/>
    <x v="1"/>
    <x v="1"/>
    <s v="Non-Holiday"/>
    <s v="Mediu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1A6335-627F-4B79-A199-231F397B34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8" firstHeaderRow="1" firstDataRow="2"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 showAll="0"/>
    <pivotField numFmtId="1" showAll="0"/>
    <pivotField numFmtId="1" showAll="0">
      <items count="3">
        <item x="0"/>
        <item x="1"/>
        <item t="default"/>
      </items>
    </pivotField>
    <pivotField numFmtId="1" showAll="0"/>
    <pivotField showAll="0"/>
    <pivotField numFmtId="1" showAll="0"/>
    <pivotField numFmtId="1" showAll="0"/>
    <pivotField numFmtId="2" showAll="0"/>
    <pivotField numFmtId="2" showAll="0"/>
    <pivotField numFmtId="2" showAll="0"/>
    <pivotField numFmtId="2" showAll="0"/>
    <pivotField numFmtId="1" showAll="0"/>
    <pivotField numFmtId="1" showAll="0"/>
    <pivotField dataField="1" numFmtId="1" showAll="0"/>
    <pivotField axis="axisCol" showAll="0">
      <items count="3">
        <item x="1"/>
        <item x="0"/>
        <item t="default"/>
      </items>
    </pivotField>
    <pivotField axis="axisRow" showAll="0">
      <items count="6">
        <item x="2"/>
        <item x="3"/>
        <item x="0"/>
        <item x="1"/>
        <item x="4"/>
        <item t="default"/>
      </items>
    </pivotField>
    <pivotField showAll="0"/>
    <pivotField showAll="0"/>
    <pivotField showAll="0">
      <items count="5">
        <item x="0"/>
        <item h="1" x="3"/>
        <item h="1" x="2"/>
        <item h="1"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7"/>
  </rowFields>
  <rowItems count="6">
    <i>
      <x/>
    </i>
    <i>
      <x v="1"/>
    </i>
    <i>
      <x v="2"/>
    </i>
    <i>
      <x v="3"/>
    </i>
    <i>
      <x v="4"/>
    </i>
    <i t="grand">
      <x/>
    </i>
  </rowItems>
  <colFields count="1">
    <field x="16"/>
  </colFields>
  <colItems count="3">
    <i>
      <x/>
    </i>
    <i>
      <x v="1"/>
    </i>
    <i t="grand">
      <x/>
    </i>
  </colItems>
  <dataFields count="1">
    <dataField name="Sum of Cnt" fld="15" baseField="0" baseItem="0" numFmtId="1"/>
  </dataFields>
  <chartFormats count="2">
    <chartFormat chart="5" format="4" series="1">
      <pivotArea type="data" outline="0" fieldPosition="0">
        <references count="2">
          <reference field="4294967294" count="1" selected="0">
            <x v="0"/>
          </reference>
          <reference field="16" count="1" selected="0">
            <x v="0"/>
          </reference>
        </references>
      </pivotArea>
    </chartFormat>
    <chartFormat chart="5"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51B87F-EA84-4380-B3D7-8F779413F7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49"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 showAll="0"/>
    <pivotField numFmtId="1" showAll="0"/>
    <pivotField numFmtId="1" showAll="0">
      <items count="3">
        <item x="0"/>
        <item x="1"/>
        <item t="default"/>
      </items>
    </pivotField>
    <pivotField numFmtId="1" showAll="0"/>
    <pivotField showAll="0"/>
    <pivotField numFmtId="1" showAll="0"/>
    <pivotField numFmtId="1" showAll="0"/>
    <pivotField numFmtId="2" showAll="0"/>
    <pivotField numFmtId="2" showAll="0"/>
    <pivotField numFmtId="2" showAll="0"/>
    <pivotField numFmtId="2" showAll="0"/>
    <pivotField numFmtId="1" showAll="0"/>
    <pivotField numFmtId="1" showAll="0"/>
    <pivotField dataField="1" numFmtId="1" showAll="0"/>
    <pivotField showAll="0">
      <items count="3">
        <item x="1"/>
        <item x="0"/>
        <item t="default"/>
      </items>
    </pivotField>
    <pivotField showAll="0">
      <items count="6">
        <item x="2"/>
        <item x="3"/>
        <item x="0"/>
        <item x="1"/>
        <item x="4"/>
        <item t="default"/>
      </items>
    </pivotField>
    <pivotField showAll="0"/>
    <pivotField showAll="0"/>
    <pivotField showAll="0">
      <items count="5">
        <item x="0"/>
        <item h="1" x="3"/>
        <item h="1" x="2"/>
        <item h="1" x="1"/>
        <item t="default"/>
      </items>
    </pivotField>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2">
    <field x="22"/>
    <field x="21"/>
  </rowFields>
  <rowItems count="48">
    <i>
      <x v="1"/>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x v="2"/>
    </i>
    <i r="1">
      <x v="32"/>
    </i>
    <i r="1">
      <x v="33"/>
    </i>
    <i r="1">
      <x v="34"/>
    </i>
    <i r="1">
      <x v="35"/>
    </i>
    <i r="1">
      <x v="36"/>
    </i>
    <i r="1">
      <x v="37"/>
    </i>
    <i r="1">
      <x v="38"/>
    </i>
    <i r="1">
      <x v="39"/>
    </i>
    <i r="1">
      <x v="40"/>
    </i>
    <i r="1">
      <x v="41"/>
    </i>
    <i r="1">
      <x v="42"/>
    </i>
    <i r="1">
      <x v="43"/>
    </i>
    <i r="1">
      <x v="44"/>
    </i>
    <i r="1">
      <x v="45"/>
    </i>
    <i t="grand">
      <x/>
    </i>
  </rowItems>
  <colItems count="1">
    <i/>
  </colItems>
  <dataFields count="1">
    <dataField name="Sum of Cnt" fld="15" baseField="0" baseItem="0" numFmtId="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34EDA4-CB3C-47C8-9740-19C9F36D808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3"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 showAll="0"/>
    <pivotField numFmtId="1" showAll="0"/>
    <pivotField numFmtId="1" showAll="0">
      <items count="3">
        <item x="0"/>
        <item x="1"/>
        <item t="default"/>
      </items>
    </pivotField>
    <pivotField numFmtId="1" showAll="0"/>
    <pivotField showAll="0"/>
    <pivotField numFmtId="1" showAll="0"/>
    <pivotField numFmtId="1" showAll="0"/>
    <pivotField numFmtId="2" showAll="0"/>
    <pivotField numFmtId="2" showAll="0"/>
    <pivotField numFmtId="2" showAll="0"/>
    <pivotField numFmtId="2" showAll="0"/>
    <pivotField numFmtId="1" showAll="0"/>
    <pivotField numFmtId="1" showAll="0"/>
    <pivotField dataField="1" numFmtId="1" showAll="0"/>
    <pivotField showAll="0">
      <items count="3">
        <item x="1"/>
        <item x="0"/>
        <item t="default"/>
      </items>
    </pivotField>
    <pivotField showAll="0">
      <items count="6">
        <item x="2"/>
        <item x="3"/>
        <item x="0"/>
        <item x="1"/>
        <item x="4"/>
        <item t="default"/>
      </items>
    </pivotField>
    <pivotField showAll="0"/>
    <pivotField showAll="0"/>
    <pivotField axis="axisRow" showAll="0" sortType="descending">
      <items count="5">
        <item h="1" x="1"/>
        <item h="1" x="2"/>
        <item h="1" x="3"/>
        <item x="0"/>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14">
        <item x="0"/>
        <item x="1"/>
        <item x="2"/>
        <item x="3"/>
        <item x="4"/>
        <item x="5"/>
        <item x="6"/>
        <item x="7"/>
        <item x="8"/>
        <item x="9"/>
        <item x="10"/>
        <item x="11"/>
        <item x="12"/>
        <item x="13"/>
      </items>
    </pivotField>
  </pivotFields>
  <rowFields count="1">
    <field x="20"/>
  </rowFields>
  <rowItems count="2">
    <i>
      <x v="3"/>
    </i>
    <i t="grand">
      <x/>
    </i>
  </rowItems>
  <colItems count="1">
    <i/>
  </colItems>
  <dataFields count="1">
    <dataField name="Sum of Cnt" fld="15" baseField="0" baseItem="0" numFmtId="1"/>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6C4B4B-5E10-45FB-96E2-E66E331AB33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Y4" firstHeaderRow="1" firstDataRow="2"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 showAll="0"/>
    <pivotField numFmtId="1" showAll="0"/>
    <pivotField numFmtId="1" showAll="0">
      <items count="3">
        <item x="0"/>
        <item x="1"/>
        <item t="default"/>
      </items>
    </pivotField>
    <pivotField axis="axisCol" numFmtId="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numFmtId="1" showAll="0"/>
    <pivotField numFmtId="1" showAll="0"/>
    <pivotField numFmtId="2" showAll="0"/>
    <pivotField numFmtId="2" showAll="0"/>
    <pivotField numFmtId="2" showAll="0"/>
    <pivotField numFmtId="2" showAll="0"/>
    <pivotField numFmtId="1" showAll="0"/>
    <pivotField numFmtId="1" showAll="0"/>
    <pivotField dataField="1" numFmtId="1" showAll="0"/>
    <pivotField axis="axisRow" showAll="0">
      <items count="3">
        <item x="1"/>
        <item x="0"/>
        <item t="default"/>
      </items>
    </pivotField>
    <pivotField showAll="0">
      <items count="6">
        <item x="2"/>
        <item x="3"/>
        <item x="0"/>
        <item x="1"/>
        <item x="4"/>
        <item t="default"/>
      </items>
    </pivotField>
    <pivotField showAll="0"/>
    <pivotField showAll="0"/>
    <pivotField showAll="0">
      <items count="5">
        <item x="0"/>
        <item h="1" x="3"/>
        <item h="1" x="2"/>
        <item h="1"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6"/>
  </rowFields>
  <rowItems count="2">
    <i>
      <x/>
    </i>
    <i>
      <x v="1"/>
    </i>
  </rowItems>
  <colFields count="1">
    <field x="5"/>
  </colFields>
  <colItems count="24">
    <i>
      <x/>
    </i>
    <i>
      <x v="1"/>
    </i>
    <i>
      <x v="2"/>
    </i>
    <i>
      <x v="3"/>
    </i>
    <i>
      <x v="4"/>
    </i>
    <i>
      <x v="5"/>
    </i>
    <i>
      <x v="6"/>
    </i>
    <i>
      <x v="7"/>
    </i>
    <i>
      <x v="8"/>
    </i>
    <i>
      <x v="9"/>
    </i>
    <i>
      <x v="10"/>
    </i>
    <i>
      <x v="11"/>
    </i>
    <i>
      <x v="12"/>
    </i>
    <i>
      <x v="13"/>
    </i>
    <i>
      <x v="14"/>
    </i>
    <i>
      <x v="15"/>
    </i>
    <i>
      <x v="16"/>
    </i>
    <i>
      <x v="17"/>
    </i>
    <i>
      <x v="18"/>
    </i>
    <i>
      <x v="19"/>
    </i>
    <i>
      <x v="20"/>
    </i>
    <i>
      <x v="21"/>
    </i>
    <i>
      <x v="22"/>
    </i>
    <i>
      <x v="23"/>
    </i>
  </colItems>
  <dataFields count="1">
    <dataField name="HeatMap" fld="15" subtotal="average" baseField="5" baseItem="0" numFmtId="1"/>
  </dataFields>
  <formats count="19">
    <format dxfId="44">
      <pivotArea type="origin" dataOnly="0" labelOnly="1" outline="0" fieldPosition="0"/>
    </format>
    <format dxfId="45">
      <pivotArea field="16" type="button" dataOnly="0" labelOnly="1" outline="0" axis="axisRow" fieldPosition="0"/>
    </format>
    <format dxfId="46">
      <pivotArea type="topRight" dataOnly="0" labelOnly="1" outline="0" fieldPosition="0"/>
    </format>
    <format dxfId="47">
      <pivotArea field="5" type="button" dataOnly="0" labelOnly="1" outline="0" axis="axisCol" fieldPosition="0"/>
    </format>
    <format dxfId="48">
      <pivotArea dataOnly="0" labelOnly="1" fieldPosition="0">
        <references count="1">
          <reference field="16" count="0"/>
        </references>
      </pivotArea>
    </format>
    <format dxfId="49">
      <pivotArea dataOnly="0" labelOnly="1" fieldPosition="0">
        <references count="1">
          <reference field="5" count="0"/>
        </references>
      </pivotArea>
    </format>
    <format dxfId="50">
      <pivotArea type="origin" dataOnly="0" labelOnly="1" outline="0" fieldPosition="0"/>
    </format>
    <format dxfId="51">
      <pivotArea field="5" type="button" dataOnly="0" labelOnly="1" outline="0" axis="axisCol" fieldPosition="0"/>
    </format>
    <format dxfId="52">
      <pivotArea dataOnly="0" labelOnly="1" fieldPosition="0">
        <references count="1">
          <reference field="5" count="0"/>
        </references>
      </pivotArea>
    </format>
    <format dxfId="53">
      <pivotArea field="16" type="button" dataOnly="0" labelOnly="1" outline="0" axis="axisRow" fieldPosition="0"/>
    </format>
    <format dxfId="54">
      <pivotArea type="topRight" dataOnly="0" labelOnly="1" outline="0" fieldPosition="0"/>
    </format>
    <format dxfId="55">
      <pivotArea dataOnly="0" labelOnly="1" fieldPosition="0">
        <references count="1">
          <reference field="16" count="0"/>
        </references>
      </pivotArea>
    </format>
    <format dxfId="56">
      <pivotArea type="origin" dataOnly="0" labelOnly="1" outline="0" fieldPosition="0"/>
    </format>
    <format dxfId="57">
      <pivotArea type="topRight" dataOnly="0" labelOnly="1" outline="0" fieldPosition="0"/>
    </format>
    <format dxfId="58">
      <pivotArea dataOnly="0" labelOnly="1" fieldPosition="0">
        <references count="1">
          <reference field="16" count="0"/>
        </references>
      </pivotArea>
    </format>
    <format dxfId="59">
      <pivotArea outline="0" collapsedLevelsAreSubtotals="1" fieldPosition="0"/>
    </format>
    <format dxfId="60">
      <pivotArea dataOnly="0" labelOnly="1" fieldPosition="0">
        <references count="1">
          <reference field="5" count="0"/>
        </references>
      </pivotArea>
    </format>
    <format dxfId="61">
      <pivotArea type="origin" dataOnly="0" labelOnly="1" outline="0" fieldPosition="0"/>
    </format>
    <format dxfId="62">
      <pivotArea dataOnly="0" labelOnly="1" fieldPosition="0">
        <references count="1">
          <reference field="16" count="0"/>
        </references>
      </pivotArea>
    </format>
  </formats>
  <conditionalFormats count="3">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579074-D318-4B33-A6CE-EDFDE836F1EF}"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Day Type" colHeaderCaption="Hr">
  <location ref="A27:Y30" firstHeaderRow="1" firstDataRow="2"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 showAll="0"/>
    <pivotField numFmtId="1" showAll="0"/>
    <pivotField numFmtId="1" showAll="0">
      <items count="3">
        <item x="0"/>
        <item x="1"/>
        <item t="default"/>
      </items>
    </pivotField>
    <pivotField axis="axisCol" numFmtId="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numFmtId="1" showAll="0"/>
    <pivotField numFmtId="1" showAll="0"/>
    <pivotField numFmtId="2" showAll="0"/>
    <pivotField numFmtId="2" showAll="0"/>
    <pivotField numFmtId="2" showAll="0"/>
    <pivotField numFmtId="2" showAll="0"/>
    <pivotField numFmtId="1" showAll="0"/>
    <pivotField numFmtId="1" showAll="0"/>
    <pivotField dataField="1" numFmtId="1" showAll="0"/>
    <pivotField axis="axisRow" showAll="0">
      <items count="3">
        <item x="1"/>
        <item x="0"/>
        <item t="default"/>
      </items>
    </pivotField>
    <pivotField showAll="0">
      <items count="6">
        <item x="2"/>
        <item x="3"/>
        <item x="0"/>
        <item x="1"/>
        <item x="4"/>
        <item t="default"/>
      </items>
    </pivotField>
    <pivotField showAll="0"/>
    <pivotField showAll="0"/>
    <pivotField showAll="0">
      <items count="5">
        <item x="0"/>
        <item h="1" x="3"/>
        <item h="1" x="2"/>
        <item h="1"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6"/>
  </rowFields>
  <rowItems count="2">
    <i>
      <x/>
    </i>
    <i>
      <x v="1"/>
    </i>
  </rowItems>
  <colFields count="1">
    <field x="5"/>
  </colFields>
  <colItems count="24">
    <i>
      <x/>
    </i>
    <i>
      <x v="1"/>
    </i>
    <i>
      <x v="2"/>
    </i>
    <i>
      <x v="3"/>
    </i>
    <i>
      <x v="4"/>
    </i>
    <i>
      <x v="5"/>
    </i>
    <i>
      <x v="6"/>
    </i>
    <i>
      <x v="7"/>
    </i>
    <i>
      <x v="8"/>
    </i>
    <i>
      <x v="9"/>
    </i>
    <i>
      <x v="10"/>
    </i>
    <i>
      <x v="11"/>
    </i>
    <i>
      <x v="12"/>
    </i>
    <i>
      <x v="13"/>
    </i>
    <i>
      <x v="14"/>
    </i>
    <i>
      <x v="15"/>
    </i>
    <i>
      <x v="16"/>
    </i>
    <i>
      <x v="17"/>
    </i>
    <i>
      <x v="18"/>
    </i>
    <i>
      <x v="19"/>
    </i>
    <i>
      <x v="20"/>
    </i>
    <i>
      <x v="21"/>
    </i>
    <i>
      <x v="22"/>
    </i>
    <i>
      <x v="23"/>
    </i>
  </colItems>
  <dataFields count="1">
    <dataField name="HeatMap" fld="15" subtotal="average" baseField="5" baseItem="0" numFmtId="1"/>
  </dataFields>
  <formats count="19">
    <format dxfId="0">
      <pivotArea type="origin" dataOnly="0" labelOnly="1" outline="0" fieldPosition="0"/>
    </format>
    <format dxfId="1">
      <pivotArea field="16" type="button" dataOnly="0" labelOnly="1" outline="0" axis="axisRow" fieldPosition="0"/>
    </format>
    <format dxfId="2">
      <pivotArea type="topRight" dataOnly="0" labelOnly="1" outline="0" fieldPosition="0"/>
    </format>
    <format dxfId="3">
      <pivotArea field="5" type="button" dataOnly="0" labelOnly="1" outline="0" axis="axisCol" fieldPosition="0"/>
    </format>
    <format dxfId="4">
      <pivotArea dataOnly="0" labelOnly="1" fieldPosition="0">
        <references count="1">
          <reference field="16" count="0"/>
        </references>
      </pivotArea>
    </format>
    <format dxfId="5">
      <pivotArea dataOnly="0" labelOnly="1" fieldPosition="0">
        <references count="1">
          <reference field="5" count="0"/>
        </references>
      </pivotArea>
    </format>
    <format dxfId="6">
      <pivotArea type="origin" dataOnly="0" labelOnly="1" outline="0" fieldPosition="0"/>
    </format>
    <format dxfId="7">
      <pivotArea field="5" type="button" dataOnly="0" labelOnly="1" outline="0" axis="axisCol" fieldPosition="0"/>
    </format>
    <format dxfId="8">
      <pivotArea dataOnly="0" labelOnly="1" fieldPosition="0">
        <references count="1">
          <reference field="5" count="0"/>
        </references>
      </pivotArea>
    </format>
    <format dxfId="9">
      <pivotArea field="16" type="button" dataOnly="0" labelOnly="1" outline="0" axis="axisRow" fieldPosition="0"/>
    </format>
    <format dxfId="10">
      <pivotArea type="topRight" dataOnly="0" labelOnly="1" outline="0" fieldPosition="0"/>
    </format>
    <format dxfId="11">
      <pivotArea dataOnly="0" labelOnly="1" fieldPosition="0">
        <references count="1">
          <reference field="16" count="0"/>
        </references>
      </pivotArea>
    </format>
    <format dxfId="12">
      <pivotArea type="origin" dataOnly="0" labelOnly="1" outline="0" fieldPosition="0"/>
    </format>
    <format dxfId="13">
      <pivotArea type="topRight" dataOnly="0" labelOnly="1" outline="0" fieldPosition="0"/>
    </format>
    <format dxfId="14">
      <pivotArea dataOnly="0" labelOnly="1" fieldPosition="0">
        <references count="1">
          <reference field="16" count="0"/>
        </references>
      </pivotArea>
    </format>
    <format dxfId="15">
      <pivotArea outline="0" collapsedLevelsAreSubtotals="1" fieldPosition="0"/>
    </format>
    <format dxfId="16">
      <pivotArea dataOnly="0" labelOnly="1" fieldPosition="0">
        <references count="1">
          <reference field="5" count="0"/>
        </references>
      </pivotArea>
    </format>
    <format dxfId="17">
      <pivotArea type="origin" dataOnly="0" labelOnly="1" outline="0" fieldPosition="0"/>
    </format>
    <format dxfId="18">
      <pivotArea dataOnly="0" labelOnly="1" fieldPosition="0">
        <references count="1">
          <reference field="16" count="0"/>
        </references>
      </pivotArea>
    </format>
  </formats>
  <conditionalFormats count="3">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815504F2-9CAD-4843-85D8-56065C1A284B}" autoFormatId="16" applyNumberFormats="0" applyBorderFormats="0" applyFontFormats="0" applyPatternFormats="0" applyAlignmentFormats="0" applyWidthHeightFormats="0">
  <queryTableRefresh nextId="22" unboundColumnsRight="5">
    <queryTableFields count="21">
      <queryTableField id="1" name="Instant" tableColumnId="1"/>
      <queryTableField id="2" name="Dteday" tableColumnId="2"/>
      <queryTableField id="3" name="Season" tableColumnId="3"/>
      <queryTableField id="4" name="Year" tableColumnId="4"/>
      <queryTableField id="5" name="Mo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17" dataBound="0" tableColumnId="17"/>
      <queryTableField id="18" dataBound="0" tableColumnId="18"/>
      <queryTableField id="19" dataBound="0" tableColumnId="19"/>
      <queryTableField id="20" dataBound="0" tableColumnId="20"/>
      <queryTableField id="21"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463F0DC-AA82-49A0-AF7F-356A2C14BC73}" sourceName="Month">
  <pivotTables>
    <pivotTable tabId="9" name="PivotTable6"/>
  </pivotTables>
  <data>
    <tabular pivotCacheId="161875155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FB3518A7-3C82-4B07-A87D-E7B966825D16}" sourceName="Weather">
  <pivotTables>
    <pivotTable tabId="9" name="PivotTable6"/>
  </pivotTables>
  <data>
    <tabular pivotCacheId="1618751551">
      <items count="4">
        <i x="0" s="1"/>
        <i x="3"/>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lot" xr10:uid="{1331DE7E-82E1-4A0A-97FA-1B728F20EDC6}" sourceName="Time Slot">
  <pivotTables>
    <pivotTable tabId="9" name="PivotTable6"/>
  </pivotTables>
  <data>
    <tabular pivotCacheId="1618751551">
      <items count="5">
        <i x="2" s="1"/>
        <i x="3" s="1"/>
        <i x="0"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6948BEAF-82E2-4404-9C89-CDDADC0ACE1B}" sourceName="Day Type">
  <pivotTables>
    <pivotTable tabId="9" name="PivotTable6"/>
  </pivotTables>
  <data>
    <tabular pivotCacheId="161875155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0F5E6DD-971B-49DF-AC6C-AB9B43879F7B}" cache="Slicer_Month" caption="Month" style="SlicerStyleDark1" rowHeight="247650"/>
  <slicer name="Weather" xr10:uid="{52EE9DD8-E9BD-4D30-AB90-8137A29DE178}" cache="Slicer_Weather" caption="Weather" style="SlicerStyleDark1" rowHeight="247650"/>
  <slicer name="Time Slot" xr10:uid="{C3BDE11E-4C62-492E-BAB4-75D3214CAD43}" cache="Slicer_Time_Slot" caption="Time Slot" style="SlicerStyleDark1" rowHeight="247650"/>
  <slicer name="Day Type" xr10:uid="{D216BCE4-0083-4612-B831-9DDD90AEF841}" cache="Slicer_Day_Type" caption="Day Type"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B05EAD-DF3D-4B9E-9C4A-621B9DF2DCEE}" name="Bike_Sharing_Master6" displayName="Bike_Sharing_Master6" ref="A1:U1001" tableType="queryTable" totalsRowShown="0">
  <autoFilter ref="A1:U1001" xr:uid="{0CB05EAD-DF3D-4B9E-9C4A-621B9DF2DCEE}"/>
  <tableColumns count="21">
    <tableColumn id="1" xr3:uid="{AB5E8833-7C95-4FA3-8CEC-C64B1C0C1E85}" uniqueName="1" name="Instant" queryTableFieldId="1"/>
    <tableColumn id="2" xr3:uid="{2C300D7A-7B9D-4BFB-B11F-D34EC328B19B}" uniqueName="2" name="Dteday" queryTableFieldId="2" dataDxfId="84"/>
    <tableColumn id="3" xr3:uid="{F22F44C6-65F6-4CEC-85BD-E166C9B95766}" uniqueName="3" name="Season" queryTableFieldId="3" dataDxfId="83"/>
    <tableColumn id="4" xr3:uid="{6F50B23C-FD7F-46CE-9344-D5D5D0D71FEA}" uniqueName="4" name="Year" queryTableFieldId="4" dataDxfId="82"/>
    <tableColumn id="5" xr3:uid="{1079B261-A342-4CDC-83C1-AC228C5732E5}" uniqueName="5" name="Month" queryTableFieldId="5" dataDxfId="81"/>
    <tableColumn id="6" xr3:uid="{594A5E7A-F0B8-45C4-AABE-FDBDFFA85039}" uniqueName="6" name="Hr" queryTableFieldId="6" dataDxfId="80"/>
    <tableColumn id="7" xr3:uid="{573F316A-1D69-4A99-9085-49E2B6B31970}" uniqueName="7" name="Holiday" queryTableFieldId="7"/>
    <tableColumn id="8" xr3:uid="{FE73BF6E-9BD9-4DBA-9799-F524AEC8187A}" uniqueName="8" name="Weekday" queryTableFieldId="8" dataDxfId="79"/>
    <tableColumn id="9" xr3:uid="{4CC8D52A-5AA2-4694-8638-C964FB16FAF7}" uniqueName="9" name="Weathersit" queryTableFieldId="9" dataDxfId="78"/>
    <tableColumn id="10" xr3:uid="{3280E419-474A-49D4-AB3B-C7C64E5E1E61}" uniqueName="10" name="Temp" queryTableFieldId="10" dataDxfId="77"/>
    <tableColumn id="11" xr3:uid="{B7BA7C8B-7FF4-4E57-834C-B3A100AB282E}" uniqueName="11" name="Atemp" queryTableFieldId="11" dataDxfId="76"/>
    <tableColumn id="12" xr3:uid="{F4E6DFDB-E5BB-4491-A04F-ADB14C717612}" uniqueName="12" name="Hum" queryTableFieldId="12" dataDxfId="75"/>
    <tableColumn id="13" xr3:uid="{1FC40DFE-F3DF-49BC-B8BD-FBF8D4FCFC7A}" uniqueName="13" name="Windspeed" queryTableFieldId="13" dataDxfId="74"/>
    <tableColumn id="14" xr3:uid="{C02C7245-14F2-4B81-A27E-E2F1F33B34D4}" uniqueName="14" name="Casual" queryTableFieldId="14" dataDxfId="73"/>
    <tableColumn id="15" xr3:uid="{F9357D6E-608F-4F9B-9584-C50ECD8A6CDC}" uniqueName="15" name="Registered" queryTableFieldId="15" dataDxfId="72"/>
    <tableColumn id="16" xr3:uid="{6FAF5C49-8697-4915-ADD1-01AD991EEDB0}" uniqueName="16" name="Cnt" queryTableFieldId="16" dataDxfId="71"/>
    <tableColumn id="17" xr3:uid="{88C8F630-50C4-4B66-BC18-3665719FEAC2}" uniqueName="17" name="Day Type" queryTableFieldId="17" dataDxfId="70">
      <calculatedColumnFormula>IF(WEEKDAY(Bike_Sharing_Master6[[#This Row],[Dteday]],2)&gt;=6,"Weekend","Weekday")</calculatedColumnFormula>
    </tableColumn>
    <tableColumn id="18" xr3:uid="{5147B601-00BD-4FC0-914E-E9758350F5A6}" uniqueName="18" name="Time Slot" queryTableFieldId="18" dataDxfId="69">
      <calculatedColumnFormula xml:space="preserve"> IF(Bike_Sharing_Master6[[#This Row],[Hr]]&lt;6,"Late Night", IF(Bike_Sharing_Master6[[#This Row],[Hr]]&lt;10,"Morning Peak", IF(Bike_Sharing_Master6[[#This Row],[Hr]]&lt;17,"Daytime", IF(Bike_Sharing_Master6[[#This Row],[Hr]]&lt;21,"Evening Peak","Night"))))</calculatedColumnFormula>
    </tableColumn>
    <tableColumn id="19" xr3:uid="{2AD0A8AC-7DEE-46EB-A3FE-DF8C4B1226DC}" uniqueName="19" name="Holiday2" queryTableFieldId="19" dataDxfId="68">
      <calculatedColumnFormula>IF(Bike_Sharing_Master6[[#This Row],[Holiday]]=1,"Holiday","Non-Holiday")</calculatedColumnFormula>
    </tableColumn>
    <tableColumn id="20" xr3:uid="{1DF1BD20-CF99-4D5A-A64C-E498926FD79C}" uniqueName="20" name="Demand_Level" queryTableFieldId="20" dataDxfId="67">
      <calculatedColumnFormula>IF(Bike_Sharing_Master6[[#This Row],[Cnt]]&lt;80,"Low",IF(Bike_Sharing_Master6[[#This Row],[Cnt]]&lt;160,"Medium","High"))</calculatedColumnFormula>
    </tableColumn>
    <tableColumn id="21" xr3:uid="{B02F3795-3462-4294-BFA7-600F2BB09DF7}" uniqueName="21" name="Weather" queryTableFieldId="21" dataDxfId="66">
      <calculatedColumnFormula>VLOOKUP(Bike_Sharing_Master6[[#This Row],[Weathersit]],[1]Lookup_Weather!A:B,2,FALSE)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ivotTable" Target="../pivotTables/pivotTable5.xml"/><Relationship Id="rId6" Type="http://schemas.microsoft.com/office/2007/relationships/slicer" Target="../slicers/slicer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A534-8444-46CD-83CE-AA02EF9B5869}">
  <dimension ref="A1:U1001"/>
  <sheetViews>
    <sheetView tabSelected="1" topLeftCell="B1" workbookViewId="0">
      <selection activeCell="E18" sqref="E18"/>
    </sheetView>
  </sheetViews>
  <sheetFormatPr defaultRowHeight="14.4" x14ac:dyDescent="0.3"/>
  <cols>
    <col min="2" max="2" width="11.21875" customWidth="1"/>
    <col min="17" max="17" width="11.6640625" customWidth="1"/>
    <col min="18" max="18" width="12.88671875" customWidth="1"/>
    <col min="19" max="19" width="15" customWidth="1"/>
    <col min="20" max="20" width="13.21875" customWidth="1"/>
    <col min="21" max="21" width="11.5546875" customWidth="1"/>
  </cols>
  <sheetData>
    <row r="1" spans="1:21" x14ac:dyDescent="0.3">
      <c r="A1" t="s">
        <v>0</v>
      </c>
      <c r="B1" t="s">
        <v>1</v>
      </c>
      <c r="C1" s="1" t="s">
        <v>2</v>
      </c>
      <c r="D1" s="1" t="s">
        <v>3</v>
      </c>
      <c r="E1" s="1" t="s">
        <v>4</v>
      </c>
      <c r="F1" s="1" t="s">
        <v>5</v>
      </c>
      <c r="G1" t="s">
        <v>6</v>
      </c>
      <c r="H1" s="1" t="s">
        <v>7</v>
      </c>
      <c r="I1" s="1" t="s">
        <v>8</v>
      </c>
      <c r="J1" s="2" t="s">
        <v>9</v>
      </c>
      <c r="K1" s="2" t="s">
        <v>10</v>
      </c>
      <c r="L1" s="2" t="s">
        <v>11</v>
      </c>
      <c r="M1" s="2" t="s">
        <v>12</v>
      </c>
      <c r="N1" s="1" t="s">
        <v>13</v>
      </c>
      <c r="O1" s="1" t="s">
        <v>14</v>
      </c>
      <c r="P1" s="1" t="s">
        <v>15</v>
      </c>
      <c r="Q1" t="s">
        <v>16</v>
      </c>
      <c r="R1" t="s">
        <v>17</v>
      </c>
      <c r="S1" t="s">
        <v>18</v>
      </c>
      <c r="T1" t="s">
        <v>19</v>
      </c>
      <c r="U1" t="s">
        <v>20</v>
      </c>
    </row>
    <row r="2" spans="1:21" x14ac:dyDescent="0.3">
      <c r="A2">
        <v>1</v>
      </c>
      <c r="B2" s="3">
        <v>40544</v>
      </c>
      <c r="C2" s="1">
        <v>1</v>
      </c>
      <c r="D2" s="1">
        <v>0</v>
      </c>
      <c r="E2" s="1">
        <v>1</v>
      </c>
      <c r="F2" s="1">
        <v>0</v>
      </c>
      <c r="G2" t="b">
        <v>0</v>
      </c>
      <c r="H2" s="1">
        <v>6</v>
      </c>
      <c r="I2" s="1">
        <v>1</v>
      </c>
      <c r="J2" s="2">
        <v>0.24</v>
      </c>
      <c r="K2" s="2">
        <v>0.28789999999999999</v>
      </c>
      <c r="L2" s="2">
        <v>0.81</v>
      </c>
      <c r="M2" s="2">
        <v>0</v>
      </c>
      <c r="N2" s="1">
        <v>3</v>
      </c>
      <c r="O2" s="1">
        <v>13</v>
      </c>
      <c r="P2" s="1">
        <v>16</v>
      </c>
      <c r="Q2" s="1" t="str">
        <f>IF(WEEKDAY(Bike_Sharing_Master6[[#This Row],[Dteday]],2)&gt;=6,"Weekend","Weekday")</f>
        <v>Weekend</v>
      </c>
      <c r="R2" t="str">
        <f xml:space="preserve"> IF(Bike_Sharing_Master6[[#This Row],[Hr]]&lt;6,"Late Night", IF(Bike_Sharing_Master6[[#This Row],[Hr]]&lt;10,"Morning Peak", IF(Bike_Sharing_Master6[[#This Row],[Hr]]&lt;17,"Daytime", IF(Bike_Sharing_Master6[[#This Row],[Hr]]&lt;21,"Evening Peak","Night"))))</f>
        <v>Late Night</v>
      </c>
      <c r="S2" s="1" t="str">
        <f>IF(Bike_Sharing_Master6[[#This Row],[Holiday]]=1,"Holiday","Non-Holiday")</f>
        <v>Non-Holiday</v>
      </c>
      <c r="T2" s="1" t="str">
        <f>IF(Bike_Sharing_Master6[[#This Row],[Cnt]]&lt;80,"Low",IF(Bike_Sharing_Master6[[#This Row],[Cnt]]&lt;160,"Medium","High"))</f>
        <v>Low</v>
      </c>
      <c r="U2" s="1" t="str">
        <f>VLOOKUP(Bike_Sharing_Master6[[#This Row],[Weathersit]],[1]Lookup_Weather!A:B,2,FALSE)</f>
        <v>Clear</v>
      </c>
    </row>
    <row r="3" spans="1:21" x14ac:dyDescent="0.3">
      <c r="A3">
        <v>2</v>
      </c>
      <c r="B3" s="3">
        <v>40544</v>
      </c>
      <c r="C3" s="1">
        <v>1</v>
      </c>
      <c r="D3" s="1">
        <v>0</v>
      </c>
      <c r="E3" s="1">
        <v>1</v>
      </c>
      <c r="F3" s="1">
        <v>1</v>
      </c>
      <c r="G3" t="b">
        <v>0</v>
      </c>
      <c r="H3" s="1">
        <v>6</v>
      </c>
      <c r="I3" s="1">
        <v>1</v>
      </c>
      <c r="J3" s="2">
        <v>0.22</v>
      </c>
      <c r="K3" s="2">
        <v>0.2727</v>
      </c>
      <c r="L3" s="2">
        <v>0.8</v>
      </c>
      <c r="M3" s="2">
        <v>0</v>
      </c>
      <c r="N3" s="1">
        <v>8</v>
      </c>
      <c r="O3" s="1">
        <v>32</v>
      </c>
      <c r="P3" s="1">
        <v>40</v>
      </c>
      <c r="Q3" s="1" t="str">
        <f>IF(WEEKDAY(Bike_Sharing_Master6[[#This Row],[Dteday]],2)&gt;=6,"Weekend","Weekday")</f>
        <v>Weekend</v>
      </c>
      <c r="R3" s="1" t="str">
        <f xml:space="preserve"> IF(Bike_Sharing_Master6[[#This Row],[Hr]]&lt;6,"Late Night", IF(Bike_Sharing_Master6[[#This Row],[Hr]]&lt;10,"Morning Peak", IF(Bike_Sharing_Master6[[#This Row],[Hr]]&lt;17,"Daytime", IF(Bike_Sharing_Master6[[#This Row],[Hr]]&lt;21,"Evening Peak","Night"))))</f>
        <v>Late Night</v>
      </c>
      <c r="S3" s="1" t="str">
        <f>IF(Bike_Sharing_Master6[[#This Row],[Holiday]]=1,"Holiday","Non-Holiday")</f>
        <v>Non-Holiday</v>
      </c>
      <c r="T3" s="1" t="str">
        <f>IF(Bike_Sharing_Master6[[#This Row],[Cnt]]&lt;80,"Low",IF(Bike_Sharing_Master6[[#This Row],[Cnt]]&lt;160,"Medium","High"))</f>
        <v>Low</v>
      </c>
      <c r="U3" s="1" t="str">
        <f>VLOOKUP(Bike_Sharing_Master6[[#This Row],[Weathersit]],[1]Lookup_Weather!A:B,2,FALSE)</f>
        <v>Clear</v>
      </c>
    </row>
    <row r="4" spans="1:21" x14ac:dyDescent="0.3">
      <c r="A4">
        <v>3</v>
      </c>
      <c r="B4" s="3">
        <v>40544</v>
      </c>
      <c r="C4" s="1">
        <v>1</v>
      </c>
      <c r="D4" s="1">
        <v>0</v>
      </c>
      <c r="E4" s="1">
        <v>1</v>
      </c>
      <c r="F4" s="1">
        <v>2</v>
      </c>
      <c r="G4" t="b">
        <v>0</v>
      </c>
      <c r="H4" s="1">
        <v>6</v>
      </c>
      <c r="I4" s="1">
        <v>1</v>
      </c>
      <c r="J4" s="2">
        <v>0.22</v>
      </c>
      <c r="K4" s="2">
        <v>0.2727</v>
      </c>
      <c r="L4" s="2">
        <v>0.8</v>
      </c>
      <c r="M4" s="2">
        <v>0</v>
      </c>
      <c r="N4" s="1">
        <v>5</v>
      </c>
      <c r="O4" s="1">
        <v>27</v>
      </c>
      <c r="P4" s="1">
        <v>32</v>
      </c>
      <c r="Q4" s="1" t="str">
        <f>IF(WEEKDAY(Bike_Sharing_Master6[[#This Row],[Dteday]],2)&gt;=6,"Weekend","Weekday")</f>
        <v>Weekend</v>
      </c>
      <c r="R4" s="1" t="str">
        <f xml:space="preserve"> IF(Bike_Sharing_Master6[[#This Row],[Hr]]&lt;6,"Late Night", IF(Bike_Sharing_Master6[[#This Row],[Hr]]&lt;10,"Morning Peak", IF(Bike_Sharing_Master6[[#This Row],[Hr]]&lt;17,"Daytime", IF(Bike_Sharing_Master6[[#This Row],[Hr]]&lt;21,"Evening Peak","Night"))))</f>
        <v>Late Night</v>
      </c>
      <c r="S4" s="1" t="str">
        <f>IF(Bike_Sharing_Master6[[#This Row],[Holiday]]=1,"Holiday","Non-Holiday")</f>
        <v>Non-Holiday</v>
      </c>
      <c r="T4" s="1" t="str">
        <f>IF(Bike_Sharing_Master6[[#This Row],[Cnt]]&lt;80,"Low",IF(Bike_Sharing_Master6[[#This Row],[Cnt]]&lt;160,"Medium","High"))</f>
        <v>Low</v>
      </c>
      <c r="U4" s="1" t="str">
        <f>VLOOKUP(Bike_Sharing_Master6[[#This Row],[Weathersit]],[1]Lookup_Weather!A:B,2,FALSE)</f>
        <v>Clear</v>
      </c>
    </row>
    <row r="5" spans="1:21" x14ac:dyDescent="0.3">
      <c r="A5">
        <v>4</v>
      </c>
      <c r="B5" s="3">
        <v>40544</v>
      </c>
      <c r="C5" s="1">
        <v>1</v>
      </c>
      <c r="D5" s="1">
        <v>0</v>
      </c>
      <c r="E5" s="1">
        <v>1</v>
      </c>
      <c r="F5" s="1">
        <v>3</v>
      </c>
      <c r="G5" t="b">
        <v>0</v>
      </c>
      <c r="H5" s="1">
        <v>6</v>
      </c>
      <c r="I5" s="1">
        <v>1</v>
      </c>
      <c r="J5" s="2">
        <v>0.24</v>
      </c>
      <c r="K5" s="2">
        <v>0.28789999999999999</v>
      </c>
      <c r="L5" s="2">
        <v>0.75</v>
      </c>
      <c r="M5" s="2">
        <v>0</v>
      </c>
      <c r="N5" s="1">
        <v>3</v>
      </c>
      <c r="O5" s="1">
        <v>10</v>
      </c>
      <c r="P5" s="1">
        <v>13</v>
      </c>
      <c r="Q5" s="1" t="str">
        <f>IF(WEEKDAY(Bike_Sharing_Master6[[#This Row],[Dteday]],2)&gt;=6,"Weekend","Weekday")</f>
        <v>Weekend</v>
      </c>
      <c r="R5" s="1" t="str">
        <f xml:space="preserve"> IF(Bike_Sharing_Master6[[#This Row],[Hr]]&lt;6,"Late Night", IF(Bike_Sharing_Master6[[#This Row],[Hr]]&lt;10,"Morning Peak", IF(Bike_Sharing_Master6[[#This Row],[Hr]]&lt;17,"Daytime", IF(Bike_Sharing_Master6[[#This Row],[Hr]]&lt;21,"Evening Peak","Night"))))</f>
        <v>Late Night</v>
      </c>
      <c r="S5" s="1" t="str">
        <f>IF(Bike_Sharing_Master6[[#This Row],[Holiday]]=1,"Holiday","Non-Holiday")</f>
        <v>Non-Holiday</v>
      </c>
      <c r="T5" s="1" t="str">
        <f>IF(Bike_Sharing_Master6[[#This Row],[Cnt]]&lt;80,"Low",IF(Bike_Sharing_Master6[[#This Row],[Cnt]]&lt;160,"Medium","High"))</f>
        <v>Low</v>
      </c>
      <c r="U5" s="1" t="str">
        <f>VLOOKUP(Bike_Sharing_Master6[[#This Row],[Weathersit]],[1]Lookup_Weather!A:B,2,FALSE)</f>
        <v>Clear</v>
      </c>
    </row>
    <row r="6" spans="1:21" x14ac:dyDescent="0.3">
      <c r="A6">
        <v>5</v>
      </c>
      <c r="B6" s="3">
        <v>40544</v>
      </c>
      <c r="C6" s="1">
        <v>1</v>
      </c>
      <c r="D6" s="1">
        <v>0</v>
      </c>
      <c r="E6" s="1">
        <v>1</v>
      </c>
      <c r="F6" s="1">
        <v>4</v>
      </c>
      <c r="G6" t="b">
        <v>0</v>
      </c>
      <c r="H6" s="1">
        <v>6</v>
      </c>
      <c r="I6" s="1">
        <v>1</v>
      </c>
      <c r="J6" s="2">
        <v>0.24</v>
      </c>
      <c r="K6" s="2">
        <v>0.28789999999999999</v>
      </c>
      <c r="L6" s="2">
        <v>0.75</v>
      </c>
      <c r="M6" s="2">
        <v>0</v>
      </c>
      <c r="N6" s="1">
        <v>0</v>
      </c>
      <c r="O6" s="1">
        <v>1</v>
      </c>
      <c r="P6" s="1">
        <v>1</v>
      </c>
      <c r="Q6" s="1" t="str">
        <f>IF(WEEKDAY(Bike_Sharing_Master6[[#This Row],[Dteday]],2)&gt;=6,"Weekend","Weekday")</f>
        <v>Weekend</v>
      </c>
      <c r="R6" s="1" t="str">
        <f xml:space="preserve"> IF(Bike_Sharing_Master6[[#This Row],[Hr]]&lt;6,"Late Night", IF(Bike_Sharing_Master6[[#This Row],[Hr]]&lt;10,"Morning Peak", IF(Bike_Sharing_Master6[[#This Row],[Hr]]&lt;17,"Daytime", IF(Bike_Sharing_Master6[[#This Row],[Hr]]&lt;21,"Evening Peak","Night"))))</f>
        <v>Late Night</v>
      </c>
      <c r="S6" s="1" t="str">
        <f>IF(Bike_Sharing_Master6[[#This Row],[Holiday]]=1,"Holiday","Non-Holiday")</f>
        <v>Non-Holiday</v>
      </c>
      <c r="T6" s="1" t="str">
        <f>IF(Bike_Sharing_Master6[[#This Row],[Cnt]]&lt;80,"Low",IF(Bike_Sharing_Master6[[#This Row],[Cnt]]&lt;160,"Medium","High"))</f>
        <v>Low</v>
      </c>
      <c r="U6" s="1" t="str">
        <f>VLOOKUP(Bike_Sharing_Master6[[#This Row],[Weathersit]],[1]Lookup_Weather!A:B,2,FALSE)</f>
        <v>Clear</v>
      </c>
    </row>
    <row r="7" spans="1:21" x14ac:dyDescent="0.3">
      <c r="A7">
        <v>6</v>
      </c>
      <c r="B7" s="3">
        <v>40544</v>
      </c>
      <c r="C7" s="1">
        <v>1</v>
      </c>
      <c r="D7" s="1">
        <v>0</v>
      </c>
      <c r="E7" s="1">
        <v>1</v>
      </c>
      <c r="F7" s="1">
        <v>5</v>
      </c>
      <c r="G7" t="b">
        <v>0</v>
      </c>
      <c r="H7" s="1">
        <v>6</v>
      </c>
      <c r="I7" s="1">
        <v>2</v>
      </c>
      <c r="J7" s="2">
        <v>0.24</v>
      </c>
      <c r="K7" s="2">
        <v>0.2576</v>
      </c>
      <c r="L7" s="2">
        <v>0.75</v>
      </c>
      <c r="M7" s="2">
        <v>8.9599999999999999E-2</v>
      </c>
      <c r="N7" s="1">
        <v>0</v>
      </c>
      <c r="O7" s="1">
        <v>1</v>
      </c>
      <c r="P7" s="1">
        <v>1</v>
      </c>
      <c r="Q7" s="1" t="str">
        <f>IF(WEEKDAY(Bike_Sharing_Master6[[#This Row],[Dteday]],2)&gt;=6,"Weekend","Weekday")</f>
        <v>Weekend</v>
      </c>
      <c r="R7" s="1" t="str">
        <f xml:space="preserve"> IF(Bike_Sharing_Master6[[#This Row],[Hr]]&lt;6,"Late Night", IF(Bike_Sharing_Master6[[#This Row],[Hr]]&lt;10,"Morning Peak", IF(Bike_Sharing_Master6[[#This Row],[Hr]]&lt;17,"Daytime", IF(Bike_Sharing_Master6[[#This Row],[Hr]]&lt;21,"Evening Peak","Night"))))</f>
        <v>Late Night</v>
      </c>
      <c r="S7" s="1" t="str">
        <f>IF(Bike_Sharing_Master6[[#This Row],[Holiday]]=1,"Holiday","Non-Holiday")</f>
        <v>Non-Holiday</v>
      </c>
      <c r="T7" s="1" t="str">
        <f>IF(Bike_Sharing_Master6[[#This Row],[Cnt]]&lt;80,"Low",IF(Bike_Sharing_Master6[[#This Row],[Cnt]]&lt;160,"Medium","High"))</f>
        <v>Low</v>
      </c>
      <c r="U7" s="1" t="str">
        <f>VLOOKUP(Bike_Sharing_Master6[[#This Row],[Weathersit]],[1]Lookup_Weather!A:B,2,FALSE)</f>
        <v>Mist</v>
      </c>
    </row>
    <row r="8" spans="1:21" x14ac:dyDescent="0.3">
      <c r="A8">
        <v>7</v>
      </c>
      <c r="B8" s="3">
        <v>40544</v>
      </c>
      <c r="C8" s="1">
        <v>1</v>
      </c>
      <c r="D8" s="1">
        <v>0</v>
      </c>
      <c r="E8" s="1">
        <v>1</v>
      </c>
      <c r="F8" s="1">
        <v>6</v>
      </c>
      <c r="G8" t="b">
        <v>0</v>
      </c>
      <c r="H8" s="1">
        <v>6</v>
      </c>
      <c r="I8" s="1">
        <v>1</v>
      </c>
      <c r="J8" s="2">
        <v>0.22</v>
      </c>
      <c r="K8" s="2">
        <v>0.2727</v>
      </c>
      <c r="L8" s="2">
        <v>0.8</v>
      </c>
      <c r="M8" s="2">
        <v>0</v>
      </c>
      <c r="N8" s="1">
        <v>2</v>
      </c>
      <c r="O8" s="1">
        <v>0</v>
      </c>
      <c r="P8" s="1">
        <v>2</v>
      </c>
      <c r="Q8" s="1" t="str">
        <f>IF(WEEKDAY(Bike_Sharing_Master6[[#This Row],[Dteday]],2)&gt;=6,"Weekend","Weekday")</f>
        <v>Weekend</v>
      </c>
      <c r="R8" s="1" t="str">
        <f xml:space="preserve"> IF(Bike_Sharing_Master6[[#This Row],[Hr]]&lt;6,"Late Night", IF(Bike_Sharing_Master6[[#This Row],[Hr]]&lt;10,"Morning Peak", IF(Bike_Sharing_Master6[[#This Row],[Hr]]&lt;17,"Daytime", IF(Bike_Sharing_Master6[[#This Row],[Hr]]&lt;21,"Evening Peak","Night"))))</f>
        <v>Morning Peak</v>
      </c>
      <c r="S8" s="1" t="str">
        <f>IF(Bike_Sharing_Master6[[#This Row],[Holiday]]=1,"Holiday","Non-Holiday")</f>
        <v>Non-Holiday</v>
      </c>
      <c r="T8" s="1" t="str">
        <f>IF(Bike_Sharing_Master6[[#This Row],[Cnt]]&lt;80,"Low",IF(Bike_Sharing_Master6[[#This Row],[Cnt]]&lt;160,"Medium","High"))</f>
        <v>Low</v>
      </c>
      <c r="U8" s="1" t="str">
        <f>VLOOKUP(Bike_Sharing_Master6[[#This Row],[Weathersit]],[1]Lookup_Weather!A:B,2,FALSE)</f>
        <v>Clear</v>
      </c>
    </row>
    <row r="9" spans="1:21" x14ac:dyDescent="0.3">
      <c r="A9">
        <v>8</v>
      </c>
      <c r="B9" s="3">
        <v>40544</v>
      </c>
      <c r="C9" s="1">
        <v>1</v>
      </c>
      <c r="D9" s="1">
        <v>0</v>
      </c>
      <c r="E9" s="1">
        <v>1</v>
      </c>
      <c r="F9" s="1">
        <v>7</v>
      </c>
      <c r="G9" t="b">
        <v>0</v>
      </c>
      <c r="H9" s="1">
        <v>6</v>
      </c>
      <c r="I9" s="1">
        <v>1</v>
      </c>
      <c r="J9" s="2">
        <v>0.2</v>
      </c>
      <c r="K9" s="2">
        <v>0.2576</v>
      </c>
      <c r="L9" s="2">
        <v>0.86</v>
      </c>
      <c r="M9" s="2">
        <v>0</v>
      </c>
      <c r="N9" s="1">
        <v>1</v>
      </c>
      <c r="O9" s="1">
        <v>2</v>
      </c>
      <c r="P9" s="1">
        <v>3</v>
      </c>
      <c r="Q9" s="1" t="str">
        <f>IF(WEEKDAY(Bike_Sharing_Master6[[#This Row],[Dteday]],2)&gt;=6,"Weekend","Weekday")</f>
        <v>Weekend</v>
      </c>
      <c r="R9" s="1" t="str">
        <f xml:space="preserve"> IF(Bike_Sharing_Master6[[#This Row],[Hr]]&lt;6,"Late Night", IF(Bike_Sharing_Master6[[#This Row],[Hr]]&lt;10,"Morning Peak", IF(Bike_Sharing_Master6[[#This Row],[Hr]]&lt;17,"Daytime", IF(Bike_Sharing_Master6[[#This Row],[Hr]]&lt;21,"Evening Peak","Night"))))</f>
        <v>Morning Peak</v>
      </c>
      <c r="S9" s="1" t="str">
        <f>IF(Bike_Sharing_Master6[[#This Row],[Holiday]]=1,"Holiday","Non-Holiday")</f>
        <v>Non-Holiday</v>
      </c>
      <c r="T9" s="1" t="str">
        <f>IF(Bike_Sharing_Master6[[#This Row],[Cnt]]&lt;80,"Low",IF(Bike_Sharing_Master6[[#This Row],[Cnt]]&lt;160,"Medium","High"))</f>
        <v>Low</v>
      </c>
      <c r="U9" s="1" t="str">
        <f>VLOOKUP(Bike_Sharing_Master6[[#This Row],[Weathersit]],[1]Lookup_Weather!A:B,2,FALSE)</f>
        <v>Clear</v>
      </c>
    </row>
    <row r="10" spans="1:21" x14ac:dyDescent="0.3">
      <c r="A10">
        <v>9</v>
      </c>
      <c r="B10" s="3">
        <v>40544</v>
      </c>
      <c r="C10" s="1">
        <v>1</v>
      </c>
      <c r="D10" s="1">
        <v>0</v>
      </c>
      <c r="E10" s="1">
        <v>1</v>
      </c>
      <c r="F10" s="1">
        <v>8</v>
      </c>
      <c r="G10" t="b">
        <v>0</v>
      </c>
      <c r="H10" s="1">
        <v>6</v>
      </c>
      <c r="I10" s="1">
        <v>1</v>
      </c>
      <c r="J10" s="2">
        <v>0.24</v>
      </c>
      <c r="K10" s="2">
        <v>0.21195783619818001</v>
      </c>
      <c r="L10" s="2">
        <v>0.75</v>
      </c>
      <c r="M10" s="2">
        <v>0</v>
      </c>
      <c r="N10" s="1">
        <v>1</v>
      </c>
      <c r="O10" s="1">
        <v>7</v>
      </c>
      <c r="P10" s="1">
        <v>8</v>
      </c>
      <c r="Q10" s="1" t="str">
        <f>IF(WEEKDAY(Bike_Sharing_Master6[[#This Row],[Dteday]],2)&gt;=6,"Weekend","Weekday")</f>
        <v>Weekend</v>
      </c>
      <c r="R10" s="1" t="str">
        <f xml:space="preserve"> IF(Bike_Sharing_Master6[[#This Row],[Hr]]&lt;6,"Late Night", IF(Bike_Sharing_Master6[[#This Row],[Hr]]&lt;10,"Morning Peak", IF(Bike_Sharing_Master6[[#This Row],[Hr]]&lt;17,"Daytime", IF(Bike_Sharing_Master6[[#This Row],[Hr]]&lt;21,"Evening Peak","Night"))))</f>
        <v>Morning Peak</v>
      </c>
      <c r="S10" s="1" t="str">
        <f>IF(Bike_Sharing_Master6[[#This Row],[Holiday]]=1,"Holiday","Non-Holiday")</f>
        <v>Non-Holiday</v>
      </c>
      <c r="T10" s="1" t="str">
        <f>IF(Bike_Sharing_Master6[[#This Row],[Cnt]]&lt;80,"Low",IF(Bike_Sharing_Master6[[#This Row],[Cnt]]&lt;160,"Medium","High"))</f>
        <v>Low</v>
      </c>
      <c r="U10" s="1" t="str">
        <f>VLOOKUP(Bike_Sharing_Master6[[#This Row],[Weathersit]],[1]Lookup_Weather!A:B,2,FALSE)</f>
        <v>Clear</v>
      </c>
    </row>
    <row r="11" spans="1:21" x14ac:dyDescent="0.3">
      <c r="A11">
        <v>10</v>
      </c>
      <c r="B11" s="3">
        <v>40544</v>
      </c>
      <c r="C11" s="1">
        <v>1</v>
      </c>
      <c r="D11" s="1">
        <v>0</v>
      </c>
      <c r="E11" s="1">
        <v>1</v>
      </c>
      <c r="F11" s="1">
        <v>9</v>
      </c>
      <c r="G11" t="b">
        <v>0</v>
      </c>
      <c r="H11" s="1">
        <v>6</v>
      </c>
      <c r="I11" s="1">
        <v>1</v>
      </c>
      <c r="J11" s="2">
        <v>0.32</v>
      </c>
      <c r="K11" s="2">
        <v>0.34849999999999998</v>
      </c>
      <c r="L11" s="2">
        <v>0.76</v>
      </c>
      <c r="M11" s="2">
        <v>0</v>
      </c>
      <c r="N11" s="1">
        <v>8</v>
      </c>
      <c r="O11" s="1">
        <v>6</v>
      </c>
      <c r="P11" s="1">
        <v>14</v>
      </c>
      <c r="Q11" s="1" t="str">
        <f>IF(WEEKDAY(Bike_Sharing_Master6[[#This Row],[Dteday]],2)&gt;=6,"Weekend","Weekday")</f>
        <v>Weekend</v>
      </c>
      <c r="R11" s="1" t="str">
        <f xml:space="preserve"> IF(Bike_Sharing_Master6[[#This Row],[Hr]]&lt;6,"Late Night", IF(Bike_Sharing_Master6[[#This Row],[Hr]]&lt;10,"Morning Peak", IF(Bike_Sharing_Master6[[#This Row],[Hr]]&lt;17,"Daytime", IF(Bike_Sharing_Master6[[#This Row],[Hr]]&lt;21,"Evening Peak","Night"))))</f>
        <v>Morning Peak</v>
      </c>
      <c r="S11" s="1" t="str">
        <f>IF(Bike_Sharing_Master6[[#This Row],[Holiday]]=1,"Holiday","Non-Holiday")</f>
        <v>Non-Holiday</v>
      </c>
      <c r="T11" s="1" t="str">
        <f>IF(Bike_Sharing_Master6[[#This Row],[Cnt]]&lt;80,"Low",IF(Bike_Sharing_Master6[[#This Row],[Cnt]]&lt;160,"Medium","High"))</f>
        <v>Low</v>
      </c>
      <c r="U11" s="1" t="str">
        <f>VLOOKUP(Bike_Sharing_Master6[[#This Row],[Weathersit]],[1]Lookup_Weather!A:B,2,FALSE)</f>
        <v>Clear</v>
      </c>
    </row>
    <row r="12" spans="1:21" x14ac:dyDescent="0.3">
      <c r="A12">
        <v>11</v>
      </c>
      <c r="B12" s="3">
        <v>40544</v>
      </c>
      <c r="C12" s="1">
        <v>1</v>
      </c>
      <c r="D12" s="1">
        <v>0</v>
      </c>
      <c r="E12" s="1">
        <v>1</v>
      </c>
      <c r="F12" s="1">
        <v>10</v>
      </c>
      <c r="G12" t="b">
        <v>0</v>
      </c>
      <c r="H12" s="1">
        <v>6</v>
      </c>
      <c r="I12" s="1">
        <v>1</v>
      </c>
      <c r="J12" s="2">
        <v>0.38</v>
      </c>
      <c r="K12" s="2">
        <v>0.39389999999999997</v>
      </c>
      <c r="L12" s="2">
        <v>0.76</v>
      </c>
      <c r="M12" s="2">
        <v>0.25369999999999998</v>
      </c>
      <c r="N12" s="1">
        <v>12</v>
      </c>
      <c r="O12" s="1">
        <v>24</v>
      </c>
      <c r="P12" s="1">
        <v>36</v>
      </c>
      <c r="Q12" s="1" t="str">
        <f>IF(WEEKDAY(Bike_Sharing_Master6[[#This Row],[Dteday]],2)&gt;=6,"Weekend","Weekday")</f>
        <v>Weekend</v>
      </c>
      <c r="R12" s="1" t="str">
        <f xml:space="preserve"> IF(Bike_Sharing_Master6[[#This Row],[Hr]]&lt;6,"Late Night", IF(Bike_Sharing_Master6[[#This Row],[Hr]]&lt;10,"Morning Peak", IF(Bike_Sharing_Master6[[#This Row],[Hr]]&lt;17,"Daytime", IF(Bike_Sharing_Master6[[#This Row],[Hr]]&lt;21,"Evening Peak","Night"))))</f>
        <v>Daytime</v>
      </c>
      <c r="S12" s="1" t="str">
        <f>IF(Bike_Sharing_Master6[[#This Row],[Holiday]]=1,"Holiday","Non-Holiday")</f>
        <v>Non-Holiday</v>
      </c>
      <c r="T12" s="1" t="str">
        <f>IF(Bike_Sharing_Master6[[#This Row],[Cnt]]&lt;80,"Low",IF(Bike_Sharing_Master6[[#This Row],[Cnt]]&lt;160,"Medium","High"))</f>
        <v>Low</v>
      </c>
      <c r="U12" s="1" t="str">
        <f>VLOOKUP(Bike_Sharing_Master6[[#This Row],[Weathersit]],[1]Lookup_Weather!A:B,2,FALSE)</f>
        <v>Clear</v>
      </c>
    </row>
    <row r="13" spans="1:21" x14ac:dyDescent="0.3">
      <c r="A13">
        <v>12</v>
      </c>
      <c r="B13" s="3">
        <v>40544</v>
      </c>
      <c r="C13" s="1">
        <v>1</v>
      </c>
      <c r="D13" s="1">
        <v>0</v>
      </c>
      <c r="E13" s="1">
        <v>1</v>
      </c>
      <c r="F13" s="1">
        <v>11</v>
      </c>
      <c r="G13" t="b">
        <v>0</v>
      </c>
      <c r="H13" s="1">
        <v>6</v>
      </c>
      <c r="I13" s="1">
        <v>1</v>
      </c>
      <c r="J13" s="2">
        <v>0.36</v>
      </c>
      <c r="K13" s="2">
        <v>0.33329999999999999</v>
      </c>
      <c r="L13" s="2">
        <v>0.81</v>
      </c>
      <c r="M13" s="2">
        <v>0.28360000000000002</v>
      </c>
      <c r="N13" s="1">
        <v>26</v>
      </c>
      <c r="O13" s="1">
        <v>30</v>
      </c>
      <c r="P13" s="1">
        <v>56</v>
      </c>
      <c r="Q13" s="1" t="str">
        <f>IF(WEEKDAY(Bike_Sharing_Master6[[#This Row],[Dteday]],2)&gt;=6,"Weekend","Weekday")</f>
        <v>Weekend</v>
      </c>
      <c r="R13" s="1" t="str">
        <f xml:space="preserve"> IF(Bike_Sharing_Master6[[#This Row],[Hr]]&lt;6,"Late Night", IF(Bike_Sharing_Master6[[#This Row],[Hr]]&lt;10,"Morning Peak", IF(Bike_Sharing_Master6[[#This Row],[Hr]]&lt;17,"Daytime", IF(Bike_Sharing_Master6[[#This Row],[Hr]]&lt;21,"Evening Peak","Night"))))</f>
        <v>Daytime</v>
      </c>
      <c r="S13" s="1" t="str">
        <f>IF(Bike_Sharing_Master6[[#This Row],[Holiday]]=1,"Holiday","Non-Holiday")</f>
        <v>Non-Holiday</v>
      </c>
      <c r="T13" s="1" t="str">
        <f>IF(Bike_Sharing_Master6[[#This Row],[Cnt]]&lt;80,"Low",IF(Bike_Sharing_Master6[[#This Row],[Cnt]]&lt;160,"Medium","High"))</f>
        <v>Low</v>
      </c>
      <c r="U13" s="1" t="str">
        <f>VLOOKUP(Bike_Sharing_Master6[[#This Row],[Weathersit]],[1]Lookup_Weather!A:B,2,FALSE)</f>
        <v>Clear</v>
      </c>
    </row>
    <row r="14" spans="1:21" x14ac:dyDescent="0.3">
      <c r="A14">
        <v>13</v>
      </c>
      <c r="B14" s="3">
        <v>40544</v>
      </c>
      <c r="C14" s="1">
        <v>1</v>
      </c>
      <c r="D14" s="1">
        <v>0</v>
      </c>
      <c r="E14" s="1">
        <v>1</v>
      </c>
      <c r="F14" s="1">
        <v>12</v>
      </c>
      <c r="G14" t="b">
        <v>0</v>
      </c>
      <c r="H14" s="1">
        <v>6</v>
      </c>
      <c r="I14" s="1">
        <v>1</v>
      </c>
      <c r="J14" s="2">
        <v>0.42</v>
      </c>
      <c r="K14" s="2">
        <v>0.42420000000000002</v>
      </c>
      <c r="L14" s="2">
        <v>0.77</v>
      </c>
      <c r="M14" s="2">
        <v>0.28360000000000002</v>
      </c>
      <c r="N14" s="1">
        <v>29</v>
      </c>
      <c r="O14" s="1">
        <v>55</v>
      </c>
      <c r="P14" s="1">
        <v>84</v>
      </c>
      <c r="Q14" s="1" t="str">
        <f>IF(WEEKDAY(Bike_Sharing_Master6[[#This Row],[Dteday]],2)&gt;=6,"Weekend","Weekday")</f>
        <v>Weekend</v>
      </c>
      <c r="R14" s="1" t="str">
        <f xml:space="preserve"> IF(Bike_Sharing_Master6[[#This Row],[Hr]]&lt;6,"Late Night", IF(Bike_Sharing_Master6[[#This Row],[Hr]]&lt;10,"Morning Peak", IF(Bike_Sharing_Master6[[#This Row],[Hr]]&lt;17,"Daytime", IF(Bike_Sharing_Master6[[#This Row],[Hr]]&lt;21,"Evening Peak","Night"))))</f>
        <v>Daytime</v>
      </c>
      <c r="S14" s="1" t="str">
        <f>IF(Bike_Sharing_Master6[[#This Row],[Holiday]]=1,"Holiday","Non-Holiday")</f>
        <v>Non-Holiday</v>
      </c>
      <c r="T14" s="1" t="str">
        <f>IF(Bike_Sharing_Master6[[#This Row],[Cnt]]&lt;80,"Low",IF(Bike_Sharing_Master6[[#This Row],[Cnt]]&lt;160,"Medium","High"))</f>
        <v>Medium</v>
      </c>
      <c r="U14" s="1" t="str">
        <f>VLOOKUP(Bike_Sharing_Master6[[#This Row],[Weathersit]],[1]Lookup_Weather!A:B,2,FALSE)</f>
        <v>Clear</v>
      </c>
    </row>
    <row r="15" spans="1:21" x14ac:dyDescent="0.3">
      <c r="A15">
        <v>14</v>
      </c>
      <c r="B15" s="3">
        <v>40544</v>
      </c>
      <c r="C15" s="1">
        <v>1</v>
      </c>
      <c r="D15" s="1">
        <v>0</v>
      </c>
      <c r="E15" s="1">
        <v>1</v>
      </c>
      <c r="F15" s="1">
        <v>13</v>
      </c>
      <c r="G15" t="b">
        <v>0</v>
      </c>
      <c r="H15" s="1">
        <v>6</v>
      </c>
      <c r="I15" s="1">
        <v>2</v>
      </c>
      <c r="J15" s="2">
        <v>0.46</v>
      </c>
      <c r="K15" s="2">
        <v>0.45450000000000002</v>
      </c>
      <c r="L15" s="2">
        <v>0.72</v>
      </c>
      <c r="M15" s="2">
        <v>0.29849999999999999</v>
      </c>
      <c r="N15" s="1">
        <v>47</v>
      </c>
      <c r="O15" s="1">
        <v>47</v>
      </c>
      <c r="P15" s="1">
        <v>94</v>
      </c>
      <c r="Q15" s="1" t="str">
        <f>IF(WEEKDAY(Bike_Sharing_Master6[[#This Row],[Dteday]],2)&gt;=6,"Weekend","Weekday")</f>
        <v>Weekend</v>
      </c>
      <c r="R15" s="1" t="str">
        <f xml:space="preserve"> IF(Bike_Sharing_Master6[[#This Row],[Hr]]&lt;6,"Late Night", IF(Bike_Sharing_Master6[[#This Row],[Hr]]&lt;10,"Morning Peak", IF(Bike_Sharing_Master6[[#This Row],[Hr]]&lt;17,"Daytime", IF(Bike_Sharing_Master6[[#This Row],[Hr]]&lt;21,"Evening Peak","Night"))))</f>
        <v>Daytime</v>
      </c>
      <c r="S15" s="1" t="str">
        <f>IF(Bike_Sharing_Master6[[#This Row],[Holiday]]=1,"Holiday","Non-Holiday")</f>
        <v>Non-Holiday</v>
      </c>
      <c r="T15" s="1" t="str">
        <f>IF(Bike_Sharing_Master6[[#This Row],[Cnt]]&lt;80,"Low",IF(Bike_Sharing_Master6[[#This Row],[Cnt]]&lt;160,"Medium","High"))</f>
        <v>Medium</v>
      </c>
      <c r="U15" s="1" t="str">
        <f>VLOOKUP(Bike_Sharing_Master6[[#This Row],[Weathersit]],[1]Lookup_Weather!A:B,2,FALSE)</f>
        <v>Mist</v>
      </c>
    </row>
    <row r="16" spans="1:21" x14ac:dyDescent="0.3">
      <c r="A16">
        <v>15</v>
      </c>
      <c r="B16" s="3">
        <v>40544</v>
      </c>
      <c r="C16" s="1">
        <v>1</v>
      </c>
      <c r="D16" s="1">
        <v>0</v>
      </c>
      <c r="E16" s="1">
        <v>1</v>
      </c>
      <c r="F16" s="1">
        <v>14</v>
      </c>
      <c r="G16" t="b">
        <v>0</v>
      </c>
      <c r="H16" s="1">
        <v>6</v>
      </c>
      <c r="I16" s="1">
        <v>2</v>
      </c>
      <c r="J16" s="2">
        <v>0.46</v>
      </c>
      <c r="K16" s="2">
        <v>0.45450000000000002</v>
      </c>
      <c r="L16" s="2">
        <v>0.72</v>
      </c>
      <c r="M16" s="2">
        <v>0.28360000000000002</v>
      </c>
      <c r="N16" s="1">
        <v>35</v>
      </c>
      <c r="O16" s="1">
        <v>71</v>
      </c>
      <c r="P16" s="1">
        <v>106</v>
      </c>
      <c r="Q16" s="1" t="str">
        <f>IF(WEEKDAY(Bike_Sharing_Master6[[#This Row],[Dteday]],2)&gt;=6,"Weekend","Weekday")</f>
        <v>Weekend</v>
      </c>
      <c r="R16" s="1" t="str">
        <f xml:space="preserve"> IF(Bike_Sharing_Master6[[#This Row],[Hr]]&lt;6,"Late Night", IF(Bike_Sharing_Master6[[#This Row],[Hr]]&lt;10,"Morning Peak", IF(Bike_Sharing_Master6[[#This Row],[Hr]]&lt;17,"Daytime", IF(Bike_Sharing_Master6[[#This Row],[Hr]]&lt;21,"Evening Peak","Night"))))</f>
        <v>Daytime</v>
      </c>
      <c r="S16" s="1" t="str">
        <f>IF(Bike_Sharing_Master6[[#This Row],[Holiday]]=1,"Holiday","Non-Holiday")</f>
        <v>Non-Holiday</v>
      </c>
      <c r="T16" s="1" t="str">
        <f>IF(Bike_Sharing_Master6[[#This Row],[Cnt]]&lt;80,"Low",IF(Bike_Sharing_Master6[[#This Row],[Cnt]]&lt;160,"Medium","High"))</f>
        <v>Medium</v>
      </c>
      <c r="U16" s="1" t="str">
        <f>VLOOKUP(Bike_Sharing_Master6[[#This Row],[Weathersit]],[1]Lookup_Weather!A:B,2,FALSE)</f>
        <v>Mist</v>
      </c>
    </row>
    <row r="17" spans="1:21" x14ac:dyDescent="0.3">
      <c r="A17">
        <v>16</v>
      </c>
      <c r="B17" s="3">
        <v>40544</v>
      </c>
      <c r="C17" s="1">
        <v>1</v>
      </c>
      <c r="D17" s="1">
        <v>0</v>
      </c>
      <c r="E17" s="1">
        <v>1</v>
      </c>
      <c r="F17" s="1">
        <v>15</v>
      </c>
      <c r="G17" t="b">
        <v>0</v>
      </c>
      <c r="H17" s="1">
        <v>6</v>
      </c>
      <c r="I17" s="1">
        <v>2</v>
      </c>
      <c r="J17" s="2">
        <v>0.44</v>
      </c>
      <c r="K17" s="2">
        <v>0.43940000000000001</v>
      </c>
      <c r="L17" s="2">
        <v>0.77</v>
      </c>
      <c r="M17" s="2">
        <v>0.29849999999999999</v>
      </c>
      <c r="N17" s="1">
        <v>40</v>
      </c>
      <c r="O17" s="1">
        <v>70</v>
      </c>
      <c r="P17" s="1">
        <v>110</v>
      </c>
      <c r="Q17" s="1" t="str">
        <f>IF(WEEKDAY(Bike_Sharing_Master6[[#This Row],[Dteday]],2)&gt;=6,"Weekend","Weekday")</f>
        <v>Weekend</v>
      </c>
      <c r="R17" s="1" t="str">
        <f xml:space="preserve"> IF(Bike_Sharing_Master6[[#This Row],[Hr]]&lt;6,"Late Night", IF(Bike_Sharing_Master6[[#This Row],[Hr]]&lt;10,"Morning Peak", IF(Bike_Sharing_Master6[[#This Row],[Hr]]&lt;17,"Daytime", IF(Bike_Sharing_Master6[[#This Row],[Hr]]&lt;21,"Evening Peak","Night"))))</f>
        <v>Daytime</v>
      </c>
      <c r="S17" s="1" t="str">
        <f>IF(Bike_Sharing_Master6[[#This Row],[Holiday]]=1,"Holiday","Non-Holiday")</f>
        <v>Non-Holiday</v>
      </c>
      <c r="T17" s="1" t="str">
        <f>IF(Bike_Sharing_Master6[[#This Row],[Cnt]]&lt;80,"Low",IF(Bike_Sharing_Master6[[#This Row],[Cnt]]&lt;160,"Medium","High"))</f>
        <v>Medium</v>
      </c>
      <c r="U17" s="1" t="str">
        <f>VLOOKUP(Bike_Sharing_Master6[[#This Row],[Weathersit]],[1]Lookup_Weather!A:B,2,FALSE)</f>
        <v>Mist</v>
      </c>
    </row>
    <row r="18" spans="1:21" x14ac:dyDescent="0.3">
      <c r="A18">
        <v>17</v>
      </c>
      <c r="B18" s="3">
        <v>40544</v>
      </c>
      <c r="C18" s="1">
        <v>1</v>
      </c>
      <c r="D18" s="1">
        <v>0</v>
      </c>
      <c r="E18" s="1">
        <v>1</v>
      </c>
      <c r="F18" s="1">
        <v>16</v>
      </c>
      <c r="G18" t="b">
        <v>0</v>
      </c>
      <c r="H18" s="1">
        <v>6</v>
      </c>
      <c r="I18" s="1">
        <v>2</v>
      </c>
      <c r="J18" s="2">
        <v>0.42</v>
      </c>
      <c r="K18" s="2">
        <v>0.42420000000000002</v>
      </c>
      <c r="L18" s="2">
        <v>0.82</v>
      </c>
      <c r="M18" s="2">
        <v>0.29849999999999999</v>
      </c>
      <c r="N18" s="1">
        <v>41</v>
      </c>
      <c r="O18" s="1">
        <v>52</v>
      </c>
      <c r="P18" s="1">
        <v>93</v>
      </c>
      <c r="Q18" s="1" t="str">
        <f>IF(WEEKDAY(Bike_Sharing_Master6[[#This Row],[Dteday]],2)&gt;=6,"Weekend","Weekday")</f>
        <v>Weekend</v>
      </c>
      <c r="R18" s="1" t="str">
        <f xml:space="preserve"> IF(Bike_Sharing_Master6[[#This Row],[Hr]]&lt;6,"Late Night", IF(Bike_Sharing_Master6[[#This Row],[Hr]]&lt;10,"Morning Peak", IF(Bike_Sharing_Master6[[#This Row],[Hr]]&lt;17,"Daytime", IF(Bike_Sharing_Master6[[#This Row],[Hr]]&lt;21,"Evening Peak","Night"))))</f>
        <v>Daytime</v>
      </c>
      <c r="S18" s="1" t="str">
        <f>IF(Bike_Sharing_Master6[[#This Row],[Holiday]]=1,"Holiday","Non-Holiday")</f>
        <v>Non-Holiday</v>
      </c>
      <c r="T18" s="1" t="str">
        <f>IF(Bike_Sharing_Master6[[#This Row],[Cnt]]&lt;80,"Low",IF(Bike_Sharing_Master6[[#This Row],[Cnt]]&lt;160,"Medium","High"))</f>
        <v>Medium</v>
      </c>
      <c r="U18" s="1" t="str">
        <f>VLOOKUP(Bike_Sharing_Master6[[#This Row],[Weathersit]],[1]Lookup_Weather!A:B,2,FALSE)</f>
        <v>Mist</v>
      </c>
    </row>
    <row r="19" spans="1:21" x14ac:dyDescent="0.3">
      <c r="A19">
        <v>18</v>
      </c>
      <c r="B19" s="3">
        <v>40544</v>
      </c>
      <c r="C19" s="1">
        <v>1</v>
      </c>
      <c r="D19" s="1">
        <v>0</v>
      </c>
      <c r="E19" s="1">
        <v>1</v>
      </c>
      <c r="F19" s="1">
        <v>17</v>
      </c>
      <c r="G19" t="b">
        <v>0</v>
      </c>
      <c r="H19" s="1">
        <v>6</v>
      </c>
      <c r="I19" s="1">
        <v>2</v>
      </c>
      <c r="J19" s="2">
        <v>0.44</v>
      </c>
      <c r="K19" s="2">
        <v>0.21195783619818026</v>
      </c>
      <c r="L19" s="2">
        <v>0.82</v>
      </c>
      <c r="M19" s="2">
        <v>0.28360000000000002</v>
      </c>
      <c r="N19" s="1">
        <v>15</v>
      </c>
      <c r="O19" s="1">
        <v>52</v>
      </c>
      <c r="P19" s="1">
        <v>67</v>
      </c>
      <c r="Q19" s="1" t="str">
        <f>IF(WEEKDAY(Bike_Sharing_Master6[[#This Row],[Dteday]],2)&gt;=6,"Weekend","Weekday")</f>
        <v>Weekend</v>
      </c>
      <c r="R19" s="1" t="str">
        <f xml:space="preserve"> IF(Bike_Sharing_Master6[[#This Row],[Hr]]&lt;6,"Late Night", IF(Bike_Sharing_Master6[[#This Row],[Hr]]&lt;10,"Morning Peak", IF(Bike_Sharing_Master6[[#This Row],[Hr]]&lt;17,"Daytime", IF(Bike_Sharing_Master6[[#This Row],[Hr]]&lt;21,"Evening Peak","Night"))))</f>
        <v>Evening Peak</v>
      </c>
      <c r="S19" s="1" t="str">
        <f>IF(Bike_Sharing_Master6[[#This Row],[Holiday]]=1,"Holiday","Non-Holiday")</f>
        <v>Non-Holiday</v>
      </c>
      <c r="T19" s="1" t="str">
        <f>IF(Bike_Sharing_Master6[[#This Row],[Cnt]]&lt;80,"Low",IF(Bike_Sharing_Master6[[#This Row],[Cnt]]&lt;160,"Medium","High"))</f>
        <v>Low</v>
      </c>
      <c r="U19" s="1" t="str">
        <f>VLOOKUP(Bike_Sharing_Master6[[#This Row],[Weathersit]],[1]Lookup_Weather!A:B,2,FALSE)</f>
        <v>Mist</v>
      </c>
    </row>
    <row r="20" spans="1:21" x14ac:dyDescent="0.3">
      <c r="A20">
        <v>19</v>
      </c>
      <c r="B20" s="3">
        <v>40544</v>
      </c>
      <c r="C20" s="1">
        <v>1</v>
      </c>
      <c r="D20" s="1">
        <v>0</v>
      </c>
      <c r="E20" s="1">
        <v>1</v>
      </c>
      <c r="F20" s="1">
        <v>18</v>
      </c>
      <c r="G20" t="b">
        <v>0</v>
      </c>
      <c r="H20" s="1">
        <v>6</v>
      </c>
      <c r="I20" s="1">
        <v>3</v>
      </c>
      <c r="J20" s="2">
        <v>0.42</v>
      </c>
      <c r="K20" s="2">
        <v>0.42420000000000002</v>
      </c>
      <c r="L20" s="2">
        <v>0.88</v>
      </c>
      <c r="M20" s="2">
        <v>0.25369999999999998</v>
      </c>
      <c r="N20" s="1">
        <v>9</v>
      </c>
      <c r="O20" s="1">
        <v>26</v>
      </c>
      <c r="P20" s="1">
        <v>35</v>
      </c>
      <c r="Q20" s="1" t="str">
        <f>IF(WEEKDAY(Bike_Sharing_Master6[[#This Row],[Dteday]],2)&gt;=6,"Weekend","Weekday")</f>
        <v>Weekend</v>
      </c>
      <c r="R20" s="1" t="str">
        <f xml:space="preserve"> IF(Bike_Sharing_Master6[[#This Row],[Hr]]&lt;6,"Late Night", IF(Bike_Sharing_Master6[[#This Row],[Hr]]&lt;10,"Morning Peak", IF(Bike_Sharing_Master6[[#This Row],[Hr]]&lt;17,"Daytime", IF(Bike_Sharing_Master6[[#This Row],[Hr]]&lt;21,"Evening Peak","Night"))))</f>
        <v>Evening Peak</v>
      </c>
      <c r="S20" s="1" t="str">
        <f>IF(Bike_Sharing_Master6[[#This Row],[Holiday]]=1,"Holiday","Non-Holiday")</f>
        <v>Non-Holiday</v>
      </c>
      <c r="T20" s="1" t="str">
        <f>IF(Bike_Sharing_Master6[[#This Row],[Cnt]]&lt;80,"Low",IF(Bike_Sharing_Master6[[#This Row],[Cnt]]&lt;160,"Medium","High"))</f>
        <v>Low</v>
      </c>
      <c r="U20" s="1" t="str">
        <f>VLOOKUP(Bike_Sharing_Master6[[#This Row],[Weathersit]],[1]Lookup_Weather!A:B,2,FALSE)</f>
        <v>Light Rain</v>
      </c>
    </row>
    <row r="21" spans="1:21" x14ac:dyDescent="0.3">
      <c r="A21">
        <v>20</v>
      </c>
      <c r="B21" s="3">
        <v>40544</v>
      </c>
      <c r="C21" s="1">
        <v>1</v>
      </c>
      <c r="D21" s="1">
        <v>0</v>
      </c>
      <c r="E21" s="1">
        <v>1</v>
      </c>
      <c r="F21" s="1">
        <v>19</v>
      </c>
      <c r="G21" t="b">
        <v>0</v>
      </c>
      <c r="H21" s="1">
        <v>6</v>
      </c>
      <c r="I21" s="1">
        <v>3</v>
      </c>
      <c r="J21" s="2">
        <v>0.42</v>
      </c>
      <c r="K21" s="2">
        <v>0.42420000000000002</v>
      </c>
      <c r="L21" s="2">
        <v>0.88</v>
      </c>
      <c r="M21" s="2">
        <v>0.25369999999999998</v>
      </c>
      <c r="N21" s="1">
        <v>6</v>
      </c>
      <c r="O21" s="1">
        <v>31</v>
      </c>
      <c r="P21" s="1">
        <v>37</v>
      </c>
      <c r="Q21" s="1" t="str">
        <f>IF(WEEKDAY(Bike_Sharing_Master6[[#This Row],[Dteday]],2)&gt;=6,"Weekend","Weekday")</f>
        <v>Weekend</v>
      </c>
      <c r="R21" s="1" t="str">
        <f xml:space="preserve"> IF(Bike_Sharing_Master6[[#This Row],[Hr]]&lt;6,"Late Night", IF(Bike_Sharing_Master6[[#This Row],[Hr]]&lt;10,"Morning Peak", IF(Bike_Sharing_Master6[[#This Row],[Hr]]&lt;17,"Daytime", IF(Bike_Sharing_Master6[[#This Row],[Hr]]&lt;21,"Evening Peak","Night"))))</f>
        <v>Evening Peak</v>
      </c>
      <c r="S21" s="1" t="str">
        <f>IF(Bike_Sharing_Master6[[#This Row],[Holiday]]=1,"Holiday","Non-Holiday")</f>
        <v>Non-Holiday</v>
      </c>
      <c r="T21" s="1" t="str">
        <f>IF(Bike_Sharing_Master6[[#This Row],[Cnt]]&lt;80,"Low",IF(Bike_Sharing_Master6[[#This Row],[Cnt]]&lt;160,"Medium","High"))</f>
        <v>Low</v>
      </c>
      <c r="U21" s="1" t="str">
        <f>VLOOKUP(Bike_Sharing_Master6[[#This Row],[Weathersit]],[1]Lookup_Weather!A:B,2,FALSE)</f>
        <v>Light Rain</v>
      </c>
    </row>
    <row r="22" spans="1:21" x14ac:dyDescent="0.3">
      <c r="A22">
        <v>21</v>
      </c>
      <c r="B22" s="3">
        <v>40544</v>
      </c>
      <c r="C22" s="1">
        <v>1</v>
      </c>
      <c r="D22" s="1">
        <v>0</v>
      </c>
      <c r="E22" s="1">
        <v>1</v>
      </c>
      <c r="F22" s="1">
        <v>20</v>
      </c>
      <c r="G22" t="b">
        <v>0</v>
      </c>
      <c r="H22" s="1">
        <v>6</v>
      </c>
      <c r="I22" s="1">
        <v>2</v>
      </c>
      <c r="J22" s="2">
        <v>0.4</v>
      </c>
      <c r="K22" s="2">
        <v>0.40910000000000002</v>
      </c>
      <c r="L22" s="2">
        <v>0.87</v>
      </c>
      <c r="M22" s="2">
        <v>0.25369999999999998</v>
      </c>
      <c r="N22" s="1">
        <v>11</v>
      </c>
      <c r="O22" s="1">
        <v>25</v>
      </c>
      <c r="P22" s="1">
        <v>36</v>
      </c>
      <c r="Q22" s="1" t="str">
        <f>IF(WEEKDAY(Bike_Sharing_Master6[[#This Row],[Dteday]],2)&gt;=6,"Weekend","Weekday")</f>
        <v>Weekend</v>
      </c>
      <c r="R22" s="1" t="str">
        <f xml:space="preserve"> IF(Bike_Sharing_Master6[[#This Row],[Hr]]&lt;6,"Late Night", IF(Bike_Sharing_Master6[[#This Row],[Hr]]&lt;10,"Morning Peak", IF(Bike_Sharing_Master6[[#This Row],[Hr]]&lt;17,"Daytime", IF(Bike_Sharing_Master6[[#This Row],[Hr]]&lt;21,"Evening Peak","Night"))))</f>
        <v>Evening Peak</v>
      </c>
      <c r="S22" s="1" t="str">
        <f>IF(Bike_Sharing_Master6[[#This Row],[Holiday]]=1,"Holiday","Non-Holiday")</f>
        <v>Non-Holiday</v>
      </c>
      <c r="T22" s="1" t="str">
        <f>IF(Bike_Sharing_Master6[[#This Row],[Cnt]]&lt;80,"Low",IF(Bike_Sharing_Master6[[#This Row],[Cnt]]&lt;160,"Medium","High"))</f>
        <v>Low</v>
      </c>
      <c r="U22" s="1" t="str">
        <f>VLOOKUP(Bike_Sharing_Master6[[#This Row],[Weathersit]],[1]Lookup_Weather!A:B,2,FALSE)</f>
        <v>Mist</v>
      </c>
    </row>
    <row r="23" spans="1:21" x14ac:dyDescent="0.3">
      <c r="A23">
        <v>22</v>
      </c>
      <c r="B23" s="3">
        <v>40544</v>
      </c>
      <c r="C23" s="1">
        <v>1</v>
      </c>
      <c r="D23" s="1">
        <v>0</v>
      </c>
      <c r="E23" s="1">
        <v>1</v>
      </c>
      <c r="F23" s="1">
        <v>21</v>
      </c>
      <c r="G23" t="b">
        <v>0</v>
      </c>
      <c r="H23" s="1">
        <v>6</v>
      </c>
      <c r="I23" s="1">
        <v>2</v>
      </c>
      <c r="J23" s="2">
        <v>0.4</v>
      </c>
      <c r="K23" s="2">
        <v>0.40910000000000002</v>
      </c>
      <c r="L23" s="2">
        <v>0.87</v>
      </c>
      <c r="M23" s="2">
        <v>0.19400000000000001</v>
      </c>
      <c r="N23" s="1">
        <v>3</v>
      </c>
      <c r="O23" s="1">
        <v>31</v>
      </c>
      <c r="P23" s="1">
        <v>34</v>
      </c>
      <c r="Q23" s="1" t="str">
        <f>IF(WEEKDAY(Bike_Sharing_Master6[[#This Row],[Dteday]],2)&gt;=6,"Weekend","Weekday")</f>
        <v>Weekend</v>
      </c>
      <c r="R23" s="1" t="str">
        <f xml:space="preserve"> IF(Bike_Sharing_Master6[[#This Row],[Hr]]&lt;6,"Late Night", IF(Bike_Sharing_Master6[[#This Row],[Hr]]&lt;10,"Morning Peak", IF(Bike_Sharing_Master6[[#This Row],[Hr]]&lt;17,"Daytime", IF(Bike_Sharing_Master6[[#This Row],[Hr]]&lt;21,"Evening Peak","Night"))))</f>
        <v>Night</v>
      </c>
      <c r="S23" s="1" t="str">
        <f>IF(Bike_Sharing_Master6[[#This Row],[Holiday]]=1,"Holiday","Non-Holiday")</f>
        <v>Non-Holiday</v>
      </c>
      <c r="T23" s="1" t="str">
        <f>IF(Bike_Sharing_Master6[[#This Row],[Cnt]]&lt;80,"Low",IF(Bike_Sharing_Master6[[#This Row],[Cnt]]&lt;160,"Medium","High"))</f>
        <v>Low</v>
      </c>
      <c r="U23" s="1" t="str">
        <f>VLOOKUP(Bike_Sharing_Master6[[#This Row],[Weathersit]],[1]Lookup_Weather!A:B,2,FALSE)</f>
        <v>Mist</v>
      </c>
    </row>
    <row r="24" spans="1:21" x14ac:dyDescent="0.3">
      <c r="A24">
        <v>23</v>
      </c>
      <c r="B24" s="3">
        <v>40544</v>
      </c>
      <c r="C24" s="1">
        <v>1</v>
      </c>
      <c r="D24" s="1">
        <v>0</v>
      </c>
      <c r="E24" s="1">
        <v>1</v>
      </c>
      <c r="F24" s="1">
        <v>22</v>
      </c>
      <c r="G24" t="b">
        <v>0</v>
      </c>
      <c r="H24" s="1">
        <v>6</v>
      </c>
      <c r="I24" s="1">
        <v>2</v>
      </c>
      <c r="J24" s="2">
        <v>0.4</v>
      </c>
      <c r="K24" s="2">
        <v>0.40910000000000002</v>
      </c>
      <c r="L24" s="2">
        <v>0.94</v>
      </c>
      <c r="M24" s="2">
        <v>0.22389999999999999</v>
      </c>
      <c r="N24" s="1">
        <v>11</v>
      </c>
      <c r="O24" s="1">
        <v>17</v>
      </c>
      <c r="P24" s="1">
        <v>28</v>
      </c>
      <c r="Q24" s="1" t="str">
        <f>IF(WEEKDAY(Bike_Sharing_Master6[[#This Row],[Dteday]],2)&gt;=6,"Weekend","Weekday")</f>
        <v>Weekend</v>
      </c>
      <c r="R24" s="1" t="str">
        <f xml:space="preserve"> IF(Bike_Sharing_Master6[[#This Row],[Hr]]&lt;6,"Late Night", IF(Bike_Sharing_Master6[[#This Row],[Hr]]&lt;10,"Morning Peak", IF(Bike_Sharing_Master6[[#This Row],[Hr]]&lt;17,"Daytime", IF(Bike_Sharing_Master6[[#This Row],[Hr]]&lt;21,"Evening Peak","Night"))))</f>
        <v>Night</v>
      </c>
      <c r="S24" s="1" t="str">
        <f>IF(Bike_Sharing_Master6[[#This Row],[Holiday]]=1,"Holiday","Non-Holiday")</f>
        <v>Non-Holiday</v>
      </c>
      <c r="T24" s="1" t="str">
        <f>IF(Bike_Sharing_Master6[[#This Row],[Cnt]]&lt;80,"Low",IF(Bike_Sharing_Master6[[#This Row],[Cnt]]&lt;160,"Medium","High"))</f>
        <v>Low</v>
      </c>
      <c r="U24" s="1" t="str">
        <f>VLOOKUP(Bike_Sharing_Master6[[#This Row],[Weathersit]],[1]Lookup_Weather!A:B,2,FALSE)</f>
        <v>Mist</v>
      </c>
    </row>
    <row r="25" spans="1:21" x14ac:dyDescent="0.3">
      <c r="A25">
        <v>24</v>
      </c>
      <c r="B25" s="3">
        <v>40544</v>
      </c>
      <c r="C25" s="1">
        <v>1</v>
      </c>
      <c r="D25" s="1">
        <v>0</v>
      </c>
      <c r="E25" s="1">
        <v>1</v>
      </c>
      <c r="F25" s="1">
        <v>23</v>
      </c>
      <c r="G25" t="b">
        <v>0</v>
      </c>
      <c r="H25" s="1">
        <v>6</v>
      </c>
      <c r="I25" s="1">
        <v>2</v>
      </c>
      <c r="J25" s="2">
        <v>0.46</v>
      </c>
      <c r="K25" s="2">
        <v>0.21195783619818026</v>
      </c>
      <c r="L25" s="2">
        <v>0.88</v>
      </c>
      <c r="M25" s="2">
        <v>0.29849999999999999</v>
      </c>
      <c r="N25" s="1">
        <v>15</v>
      </c>
      <c r="O25" s="1">
        <v>24</v>
      </c>
      <c r="P25" s="1">
        <v>39</v>
      </c>
      <c r="Q25" s="1" t="str">
        <f>IF(WEEKDAY(Bike_Sharing_Master6[[#This Row],[Dteday]],2)&gt;=6,"Weekend","Weekday")</f>
        <v>Weekend</v>
      </c>
      <c r="R25" s="1" t="str">
        <f xml:space="preserve"> IF(Bike_Sharing_Master6[[#This Row],[Hr]]&lt;6,"Late Night", IF(Bike_Sharing_Master6[[#This Row],[Hr]]&lt;10,"Morning Peak", IF(Bike_Sharing_Master6[[#This Row],[Hr]]&lt;17,"Daytime", IF(Bike_Sharing_Master6[[#This Row],[Hr]]&lt;21,"Evening Peak","Night"))))</f>
        <v>Night</v>
      </c>
      <c r="S25" s="1" t="str">
        <f>IF(Bike_Sharing_Master6[[#This Row],[Holiday]]=1,"Holiday","Non-Holiday")</f>
        <v>Non-Holiday</v>
      </c>
      <c r="T25" s="1" t="str">
        <f>IF(Bike_Sharing_Master6[[#This Row],[Cnt]]&lt;80,"Low",IF(Bike_Sharing_Master6[[#This Row],[Cnt]]&lt;160,"Medium","High"))</f>
        <v>Low</v>
      </c>
      <c r="U25" s="1" t="str">
        <f>VLOOKUP(Bike_Sharing_Master6[[#This Row],[Weathersit]],[1]Lookup_Weather!A:B,2,FALSE)</f>
        <v>Mist</v>
      </c>
    </row>
    <row r="26" spans="1:21" x14ac:dyDescent="0.3">
      <c r="A26">
        <v>25</v>
      </c>
      <c r="B26" s="3">
        <v>40545</v>
      </c>
      <c r="C26" s="1">
        <v>1</v>
      </c>
      <c r="D26" s="1">
        <v>0</v>
      </c>
      <c r="E26" s="1">
        <v>1</v>
      </c>
      <c r="F26" s="1">
        <v>0</v>
      </c>
      <c r="G26" t="b">
        <v>0</v>
      </c>
      <c r="H26" s="1">
        <v>0</v>
      </c>
      <c r="I26" s="1">
        <v>2</v>
      </c>
      <c r="J26" s="2">
        <v>0.46</v>
      </c>
      <c r="K26" s="2">
        <v>0.45450000000000002</v>
      </c>
      <c r="L26" s="2">
        <v>0.88</v>
      </c>
      <c r="M26" s="2">
        <v>0.29849999999999999</v>
      </c>
      <c r="N26" s="1">
        <v>4</v>
      </c>
      <c r="O26" s="1">
        <v>13</v>
      </c>
      <c r="P26" s="1">
        <v>17</v>
      </c>
      <c r="Q26" s="1" t="str">
        <f>IF(WEEKDAY(Bike_Sharing_Master6[[#This Row],[Dteday]],2)&gt;=6,"Weekend","Weekday")</f>
        <v>Weekend</v>
      </c>
      <c r="R26" s="1" t="str">
        <f xml:space="preserve"> IF(Bike_Sharing_Master6[[#This Row],[Hr]]&lt;6,"Late Night", IF(Bike_Sharing_Master6[[#This Row],[Hr]]&lt;10,"Morning Peak", IF(Bike_Sharing_Master6[[#This Row],[Hr]]&lt;17,"Daytime", IF(Bike_Sharing_Master6[[#This Row],[Hr]]&lt;21,"Evening Peak","Night"))))</f>
        <v>Late Night</v>
      </c>
      <c r="S26" s="1" t="str">
        <f>IF(Bike_Sharing_Master6[[#This Row],[Holiday]]=1,"Holiday","Non-Holiday")</f>
        <v>Non-Holiday</v>
      </c>
      <c r="T26" s="1" t="str">
        <f>IF(Bike_Sharing_Master6[[#This Row],[Cnt]]&lt;80,"Low",IF(Bike_Sharing_Master6[[#This Row],[Cnt]]&lt;160,"Medium","High"))</f>
        <v>Low</v>
      </c>
      <c r="U26" s="1" t="str">
        <f>VLOOKUP(Bike_Sharing_Master6[[#This Row],[Weathersit]],[1]Lookup_Weather!A:B,2,FALSE)</f>
        <v>Mist</v>
      </c>
    </row>
    <row r="27" spans="1:21" x14ac:dyDescent="0.3">
      <c r="A27">
        <v>26</v>
      </c>
      <c r="B27" s="3">
        <v>40545</v>
      </c>
      <c r="C27" s="1">
        <v>1</v>
      </c>
      <c r="D27" s="1">
        <v>0</v>
      </c>
      <c r="E27" s="1">
        <v>1</v>
      </c>
      <c r="F27" s="1">
        <v>1</v>
      </c>
      <c r="G27" t="b">
        <v>0</v>
      </c>
      <c r="H27" s="1">
        <v>0</v>
      </c>
      <c r="I27" s="1">
        <v>2</v>
      </c>
      <c r="J27" s="2">
        <v>0.44</v>
      </c>
      <c r="K27" s="2">
        <v>0.43940000000000001</v>
      </c>
      <c r="L27" s="2">
        <v>0.94</v>
      </c>
      <c r="M27" s="2">
        <v>0.25369999999999998</v>
      </c>
      <c r="N27" s="1">
        <v>1</v>
      </c>
      <c r="O27" s="1">
        <v>16</v>
      </c>
      <c r="P27" s="1">
        <v>17</v>
      </c>
      <c r="Q27" s="1" t="str">
        <f>IF(WEEKDAY(Bike_Sharing_Master6[[#This Row],[Dteday]],2)&gt;=6,"Weekend","Weekday")</f>
        <v>Weekend</v>
      </c>
      <c r="R27" s="1" t="str">
        <f xml:space="preserve"> IF(Bike_Sharing_Master6[[#This Row],[Hr]]&lt;6,"Late Night", IF(Bike_Sharing_Master6[[#This Row],[Hr]]&lt;10,"Morning Peak", IF(Bike_Sharing_Master6[[#This Row],[Hr]]&lt;17,"Daytime", IF(Bike_Sharing_Master6[[#This Row],[Hr]]&lt;21,"Evening Peak","Night"))))</f>
        <v>Late Night</v>
      </c>
      <c r="S27" s="1" t="str">
        <f>IF(Bike_Sharing_Master6[[#This Row],[Holiday]]=1,"Holiday","Non-Holiday")</f>
        <v>Non-Holiday</v>
      </c>
      <c r="T27" s="1" t="str">
        <f>IF(Bike_Sharing_Master6[[#This Row],[Cnt]]&lt;80,"Low",IF(Bike_Sharing_Master6[[#This Row],[Cnt]]&lt;160,"Medium","High"))</f>
        <v>Low</v>
      </c>
      <c r="U27" s="1" t="str">
        <f>VLOOKUP(Bike_Sharing_Master6[[#This Row],[Weathersit]],[1]Lookup_Weather!A:B,2,FALSE)</f>
        <v>Mist</v>
      </c>
    </row>
    <row r="28" spans="1:21" x14ac:dyDescent="0.3">
      <c r="A28">
        <v>27</v>
      </c>
      <c r="B28" s="3">
        <v>40545</v>
      </c>
      <c r="C28" s="1">
        <v>1</v>
      </c>
      <c r="D28" s="1">
        <v>0</v>
      </c>
      <c r="E28" s="1">
        <v>1</v>
      </c>
      <c r="F28" s="1">
        <v>2</v>
      </c>
      <c r="G28" t="b">
        <v>0</v>
      </c>
      <c r="H28" s="1">
        <v>0</v>
      </c>
      <c r="I28" s="1">
        <v>2</v>
      </c>
      <c r="J28" s="2">
        <v>0.42</v>
      </c>
      <c r="K28" s="2">
        <v>0.42420000000000002</v>
      </c>
      <c r="L28" s="2">
        <v>1</v>
      </c>
      <c r="M28" s="2">
        <v>0.28360000000000002</v>
      </c>
      <c r="N28" s="1">
        <v>1</v>
      </c>
      <c r="O28" s="1">
        <v>8</v>
      </c>
      <c r="P28" s="1">
        <v>9</v>
      </c>
      <c r="Q28" s="1" t="str">
        <f>IF(WEEKDAY(Bike_Sharing_Master6[[#This Row],[Dteday]],2)&gt;=6,"Weekend","Weekday")</f>
        <v>Weekend</v>
      </c>
      <c r="R28" s="1" t="str">
        <f xml:space="preserve"> IF(Bike_Sharing_Master6[[#This Row],[Hr]]&lt;6,"Late Night", IF(Bike_Sharing_Master6[[#This Row],[Hr]]&lt;10,"Morning Peak", IF(Bike_Sharing_Master6[[#This Row],[Hr]]&lt;17,"Daytime", IF(Bike_Sharing_Master6[[#This Row],[Hr]]&lt;21,"Evening Peak","Night"))))</f>
        <v>Late Night</v>
      </c>
      <c r="S28" s="1" t="str">
        <f>IF(Bike_Sharing_Master6[[#This Row],[Holiday]]=1,"Holiday","Non-Holiday")</f>
        <v>Non-Holiday</v>
      </c>
      <c r="T28" s="1" t="str">
        <f>IF(Bike_Sharing_Master6[[#This Row],[Cnt]]&lt;80,"Low",IF(Bike_Sharing_Master6[[#This Row],[Cnt]]&lt;160,"Medium","High"))</f>
        <v>Low</v>
      </c>
      <c r="U28" s="1" t="str">
        <f>VLOOKUP(Bike_Sharing_Master6[[#This Row],[Weathersit]],[1]Lookup_Weather!A:B,2,FALSE)</f>
        <v>Mist</v>
      </c>
    </row>
    <row r="29" spans="1:21" x14ac:dyDescent="0.3">
      <c r="A29">
        <v>28</v>
      </c>
      <c r="B29" s="3">
        <v>40545</v>
      </c>
      <c r="C29" s="1">
        <v>1</v>
      </c>
      <c r="D29" s="1">
        <v>0</v>
      </c>
      <c r="E29" s="1">
        <v>1</v>
      </c>
      <c r="F29" s="1">
        <v>3</v>
      </c>
      <c r="G29" t="b">
        <v>0</v>
      </c>
      <c r="H29" s="1">
        <v>0</v>
      </c>
      <c r="I29" s="1">
        <v>2</v>
      </c>
      <c r="J29" s="2">
        <v>0.46</v>
      </c>
      <c r="K29" s="2">
        <v>0.45450000000000002</v>
      </c>
      <c r="L29" s="2">
        <v>0.94</v>
      </c>
      <c r="M29" s="2">
        <v>0.19400000000000001</v>
      </c>
      <c r="N29" s="1">
        <v>2</v>
      </c>
      <c r="O29" s="1">
        <v>4</v>
      </c>
      <c r="P29" s="1">
        <v>6</v>
      </c>
      <c r="Q29" s="1" t="str">
        <f>IF(WEEKDAY(Bike_Sharing_Master6[[#This Row],[Dteday]],2)&gt;=6,"Weekend","Weekday")</f>
        <v>Weekend</v>
      </c>
      <c r="R29" s="1" t="str">
        <f xml:space="preserve"> IF(Bike_Sharing_Master6[[#This Row],[Hr]]&lt;6,"Late Night", IF(Bike_Sharing_Master6[[#This Row],[Hr]]&lt;10,"Morning Peak", IF(Bike_Sharing_Master6[[#This Row],[Hr]]&lt;17,"Daytime", IF(Bike_Sharing_Master6[[#This Row],[Hr]]&lt;21,"Evening Peak","Night"))))</f>
        <v>Late Night</v>
      </c>
      <c r="S29" s="1" t="str">
        <f>IF(Bike_Sharing_Master6[[#This Row],[Holiday]]=1,"Holiday","Non-Holiday")</f>
        <v>Non-Holiday</v>
      </c>
      <c r="T29" s="1" t="str">
        <f>IF(Bike_Sharing_Master6[[#This Row],[Cnt]]&lt;80,"Low",IF(Bike_Sharing_Master6[[#This Row],[Cnt]]&lt;160,"Medium","High"))</f>
        <v>Low</v>
      </c>
      <c r="U29" s="1" t="str">
        <f>VLOOKUP(Bike_Sharing_Master6[[#This Row],[Weathersit]],[1]Lookup_Weather!A:B,2,FALSE)</f>
        <v>Mist</v>
      </c>
    </row>
    <row r="30" spans="1:21" x14ac:dyDescent="0.3">
      <c r="A30">
        <v>29</v>
      </c>
      <c r="B30" s="3">
        <v>40545</v>
      </c>
      <c r="C30" s="1">
        <v>1</v>
      </c>
      <c r="D30" s="1">
        <v>0</v>
      </c>
      <c r="E30" s="1">
        <v>1</v>
      </c>
      <c r="F30" s="1">
        <v>4</v>
      </c>
      <c r="G30" t="b">
        <v>0</v>
      </c>
      <c r="H30" s="1">
        <v>0</v>
      </c>
      <c r="I30" s="1">
        <v>2</v>
      </c>
      <c r="J30" s="2">
        <v>0.46</v>
      </c>
      <c r="K30" s="2">
        <v>0.21195783619818026</v>
      </c>
      <c r="L30" s="2">
        <v>0.94</v>
      </c>
      <c r="M30" s="2">
        <v>0.19400000000000001</v>
      </c>
      <c r="N30" s="1">
        <v>2</v>
      </c>
      <c r="O30" s="1">
        <v>1</v>
      </c>
      <c r="P30" s="1">
        <v>3</v>
      </c>
      <c r="Q30" s="1" t="str">
        <f>IF(WEEKDAY(Bike_Sharing_Master6[[#This Row],[Dteday]],2)&gt;=6,"Weekend","Weekday")</f>
        <v>Weekend</v>
      </c>
      <c r="R30" s="1" t="str">
        <f xml:space="preserve"> IF(Bike_Sharing_Master6[[#This Row],[Hr]]&lt;6,"Late Night", IF(Bike_Sharing_Master6[[#This Row],[Hr]]&lt;10,"Morning Peak", IF(Bike_Sharing_Master6[[#This Row],[Hr]]&lt;17,"Daytime", IF(Bike_Sharing_Master6[[#This Row],[Hr]]&lt;21,"Evening Peak","Night"))))</f>
        <v>Late Night</v>
      </c>
      <c r="S30" s="1" t="str">
        <f>IF(Bike_Sharing_Master6[[#This Row],[Holiday]]=1,"Holiday","Non-Holiday")</f>
        <v>Non-Holiday</v>
      </c>
      <c r="T30" s="1" t="str">
        <f>IF(Bike_Sharing_Master6[[#This Row],[Cnt]]&lt;80,"Low",IF(Bike_Sharing_Master6[[#This Row],[Cnt]]&lt;160,"Medium","High"))</f>
        <v>Low</v>
      </c>
      <c r="U30" s="1" t="str">
        <f>VLOOKUP(Bike_Sharing_Master6[[#This Row],[Weathersit]],[1]Lookup_Weather!A:B,2,FALSE)</f>
        <v>Mist</v>
      </c>
    </row>
    <row r="31" spans="1:21" x14ac:dyDescent="0.3">
      <c r="A31">
        <v>30</v>
      </c>
      <c r="B31" s="3">
        <v>40545</v>
      </c>
      <c r="C31" s="1">
        <v>1</v>
      </c>
      <c r="D31" s="1">
        <v>0</v>
      </c>
      <c r="E31" s="1">
        <v>1</v>
      </c>
      <c r="F31" s="1">
        <v>6</v>
      </c>
      <c r="G31" t="b">
        <v>0</v>
      </c>
      <c r="H31" s="1">
        <v>0</v>
      </c>
      <c r="I31" s="1">
        <v>3</v>
      </c>
      <c r="J31" s="2">
        <v>0.42</v>
      </c>
      <c r="K31" s="2">
        <v>0.42420000000000002</v>
      </c>
      <c r="L31" s="2">
        <v>0.77</v>
      </c>
      <c r="M31" s="2">
        <v>0.29849999999999999</v>
      </c>
      <c r="N31" s="1">
        <v>0</v>
      </c>
      <c r="O31" s="1">
        <v>2</v>
      </c>
      <c r="P31" s="1">
        <v>2</v>
      </c>
      <c r="Q31" s="1" t="str">
        <f>IF(WEEKDAY(Bike_Sharing_Master6[[#This Row],[Dteday]],2)&gt;=6,"Weekend","Weekday")</f>
        <v>Weekend</v>
      </c>
      <c r="R31" s="1" t="str">
        <f xml:space="preserve"> IF(Bike_Sharing_Master6[[#This Row],[Hr]]&lt;6,"Late Night", IF(Bike_Sharing_Master6[[#This Row],[Hr]]&lt;10,"Morning Peak", IF(Bike_Sharing_Master6[[#This Row],[Hr]]&lt;17,"Daytime", IF(Bike_Sharing_Master6[[#This Row],[Hr]]&lt;21,"Evening Peak","Night"))))</f>
        <v>Morning Peak</v>
      </c>
      <c r="S31" s="1" t="str">
        <f>IF(Bike_Sharing_Master6[[#This Row],[Holiday]]=1,"Holiday","Non-Holiday")</f>
        <v>Non-Holiday</v>
      </c>
      <c r="T31" s="1" t="str">
        <f>IF(Bike_Sharing_Master6[[#This Row],[Cnt]]&lt;80,"Low",IF(Bike_Sharing_Master6[[#This Row],[Cnt]]&lt;160,"Medium","High"))</f>
        <v>Low</v>
      </c>
      <c r="U31" s="1" t="str">
        <f>VLOOKUP(Bike_Sharing_Master6[[#This Row],[Weathersit]],[1]Lookup_Weather!A:B,2,FALSE)</f>
        <v>Light Rain</v>
      </c>
    </row>
    <row r="32" spans="1:21" x14ac:dyDescent="0.3">
      <c r="A32">
        <v>31</v>
      </c>
      <c r="B32" s="3">
        <v>40545</v>
      </c>
      <c r="C32" s="1">
        <v>1</v>
      </c>
      <c r="D32" s="1">
        <v>0</v>
      </c>
      <c r="E32" s="1">
        <v>1</v>
      </c>
      <c r="F32" s="1">
        <v>7</v>
      </c>
      <c r="G32" t="b">
        <v>0</v>
      </c>
      <c r="H32" s="1">
        <v>0</v>
      </c>
      <c r="I32" s="1">
        <v>2</v>
      </c>
      <c r="J32" s="2">
        <v>0.4</v>
      </c>
      <c r="K32" s="2">
        <v>0.40910000000000002</v>
      </c>
      <c r="L32" s="2">
        <v>0.76</v>
      </c>
      <c r="M32" s="2">
        <v>0.19400000000000001</v>
      </c>
      <c r="N32" s="1">
        <v>0</v>
      </c>
      <c r="O32" s="1">
        <v>1</v>
      </c>
      <c r="P32" s="1">
        <v>1</v>
      </c>
      <c r="Q32" s="1" t="str">
        <f>IF(WEEKDAY(Bike_Sharing_Master6[[#This Row],[Dteday]],2)&gt;=6,"Weekend","Weekday")</f>
        <v>Weekend</v>
      </c>
      <c r="R32" s="1" t="str">
        <f xml:space="preserve"> IF(Bike_Sharing_Master6[[#This Row],[Hr]]&lt;6,"Late Night", IF(Bike_Sharing_Master6[[#This Row],[Hr]]&lt;10,"Morning Peak", IF(Bike_Sharing_Master6[[#This Row],[Hr]]&lt;17,"Daytime", IF(Bike_Sharing_Master6[[#This Row],[Hr]]&lt;21,"Evening Peak","Night"))))</f>
        <v>Morning Peak</v>
      </c>
      <c r="S32" s="1" t="str">
        <f>IF(Bike_Sharing_Master6[[#This Row],[Holiday]]=1,"Holiday","Non-Holiday")</f>
        <v>Non-Holiday</v>
      </c>
      <c r="T32" s="1" t="str">
        <f>IF(Bike_Sharing_Master6[[#This Row],[Cnt]]&lt;80,"Low",IF(Bike_Sharing_Master6[[#This Row],[Cnt]]&lt;160,"Medium","High"))</f>
        <v>Low</v>
      </c>
      <c r="U32" s="1" t="str">
        <f>VLOOKUP(Bike_Sharing_Master6[[#This Row],[Weathersit]],[1]Lookup_Weather!A:B,2,FALSE)</f>
        <v>Mist</v>
      </c>
    </row>
    <row r="33" spans="1:21" x14ac:dyDescent="0.3">
      <c r="A33">
        <v>32</v>
      </c>
      <c r="B33" s="3">
        <v>40545</v>
      </c>
      <c r="C33" s="1">
        <v>1</v>
      </c>
      <c r="D33" s="1">
        <v>0</v>
      </c>
      <c r="E33" s="1">
        <v>1</v>
      </c>
      <c r="F33" s="1">
        <v>8</v>
      </c>
      <c r="G33" t="b">
        <v>0</v>
      </c>
      <c r="H33" s="1">
        <v>0</v>
      </c>
      <c r="I33" s="1">
        <v>3</v>
      </c>
      <c r="J33" s="2">
        <v>0.4</v>
      </c>
      <c r="K33" s="2">
        <v>0.40910000000000002</v>
      </c>
      <c r="L33" s="2">
        <v>0.71</v>
      </c>
      <c r="M33" s="2">
        <v>0.22389999999999999</v>
      </c>
      <c r="N33" s="1">
        <v>0</v>
      </c>
      <c r="O33" s="1">
        <v>8</v>
      </c>
      <c r="P33" s="1">
        <v>8</v>
      </c>
      <c r="Q33" s="1" t="str">
        <f>IF(WEEKDAY(Bike_Sharing_Master6[[#This Row],[Dteday]],2)&gt;=6,"Weekend","Weekday")</f>
        <v>Weekend</v>
      </c>
      <c r="R33" s="1" t="str">
        <f xml:space="preserve"> IF(Bike_Sharing_Master6[[#This Row],[Hr]]&lt;6,"Late Night", IF(Bike_Sharing_Master6[[#This Row],[Hr]]&lt;10,"Morning Peak", IF(Bike_Sharing_Master6[[#This Row],[Hr]]&lt;17,"Daytime", IF(Bike_Sharing_Master6[[#This Row],[Hr]]&lt;21,"Evening Peak","Night"))))</f>
        <v>Morning Peak</v>
      </c>
      <c r="S33" s="1" t="str">
        <f>IF(Bike_Sharing_Master6[[#This Row],[Holiday]]=1,"Holiday","Non-Holiday")</f>
        <v>Non-Holiday</v>
      </c>
      <c r="T33" s="1" t="str">
        <f>IF(Bike_Sharing_Master6[[#This Row],[Cnt]]&lt;80,"Low",IF(Bike_Sharing_Master6[[#This Row],[Cnt]]&lt;160,"Medium","High"))</f>
        <v>Low</v>
      </c>
      <c r="U33" s="1" t="str">
        <f>VLOOKUP(Bike_Sharing_Master6[[#This Row],[Weathersit]],[1]Lookup_Weather!A:B,2,FALSE)</f>
        <v>Light Rain</v>
      </c>
    </row>
    <row r="34" spans="1:21" x14ac:dyDescent="0.3">
      <c r="A34">
        <v>33</v>
      </c>
      <c r="B34" s="3">
        <v>40545</v>
      </c>
      <c r="C34" s="1">
        <v>1</v>
      </c>
      <c r="D34" s="1">
        <v>0</v>
      </c>
      <c r="E34" s="1">
        <v>1</v>
      </c>
      <c r="F34" s="1">
        <v>9</v>
      </c>
      <c r="G34" t="b">
        <v>0</v>
      </c>
      <c r="H34" s="1">
        <v>0</v>
      </c>
      <c r="I34" s="1">
        <v>2</v>
      </c>
      <c r="J34" s="2">
        <v>0.38</v>
      </c>
      <c r="K34" s="2">
        <v>0.21195783619818026</v>
      </c>
      <c r="L34" s="2">
        <v>0.76</v>
      </c>
      <c r="M34" s="2">
        <v>0.22389999999999999</v>
      </c>
      <c r="N34" s="1">
        <v>1</v>
      </c>
      <c r="O34" s="1">
        <v>19</v>
      </c>
      <c r="P34" s="1">
        <v>20</v>
      </c>
      <c r="Q34" s="1" t="str">
        <f>IF(WEEKDAY(Bike_Sharing_Master6[[#This Row],[Dteday]],2)&gt;=6,"Weekend","Weekday")</f>
        <v>Weekend</v>
      </c>
      <c r="R34" s="1" t="str">
        <f xml:space="preserve"> IF(Bike_Sharing_Master6[[#This Row],[Hr]]&lt;6,"Late Night", IF(Bike_Sharing_Master6[[#This Row],[Hr]]&lt;10,"Morning Peak", IF(Bike_Sharing_Master6[[#This Row],[Hr]]&lt;17,"Daytime", IF(Bike_Sharing_Master6[[#This Row],[Hr]]&lt;21,"Evening Peak","Night"))))</f>
        <v>Morning Peak</v>
      </c>
      <c r="S34" s="1" t="str">
        <f>IF(Bike_Sharing_Master6[[#This Row],[Holiday]]=1,"Holiday","Non-Holiday")</f>
        <v>Non-Holiday</v>
      </c>
      <c r="T34" s="1" t="str">
        <f>IF(Bike_Sharing_Master6[[#This Row],[Cnt]]&lt;80,"Low",IF(Bike_Sharing_Master6[[#This Row],[Cnt]]&lt;160,"Medium","High"))</f>
        <v>Low</v>
      </c>
      <c r="U34" s="1" t="str">
        <f>VLOOKUP(Bike_Sharing_Master6[[#This Row],[Weathersit]],[1]Lookup_Weather!A:B,2,FALSE)</f>
        <v>Mist</v>
      </c>
    </row>
    <row r="35" spans="1:21" x14ac:dyDescent="0.3">
      <c r="A35">
        <v>34</v>
      </c>
      <c r="B35" s="3">
        <v>40545</v>
      </c>
      <c r="C35" s="1">
        <v>1</v>
      </c>
      <c r="D35" s="1">
        <v>0</v>
      </c>
      <c r="E35" s="1">
        <v>1</v>
      </c>
      <c r="F35" s="1">
        <v>10</v>
      </c>
      <c r="G35" t="b">
        <v>0</v>
      </c>
      <c r="H35" s="1">
        <v>0</v>
      </c>
      <c r="I35" s="1">
        <v>2</v>
      </c>
      <c r="J35" s="2">
        <v>0.36</v>
      </c>
      <c r="K35" s="2">
        <v>0.34849999999999998</v>
      </c>
      <c r="L35" s="2">
        <v>0.81</v>
      </c>
      <c r="M35" s="2">
        <v>0.22389999999999999</v>
      </c>
      <c r="N35" s="1">
        <v>7</v>
      </c>
      <c r="O35" s="1">
        <v>46</v>
      </c>
      <c r="P35" s="1">
        <v>53</v>
      </c>
      <c r="Q35" s="1" t="str">
        <f>IF(WEEKDAY(Bike_Sharing_Master6[[#This Row],[Dteday]],2)&gt;=6,"Weekend","Weekday")</f>
        <v>Weekend</v>
      </c>
      <c r="R35" s="1" t="str">
        <f xml:space="preserve"> IF(Bike_Sharing_Master6[[#This Row],[Hr]]&lt;6,"Late Night", IF(Bike_Sharing_Master6[[#This Row],[Hr]]&lt;10,"Morning Peak", IF(Bike_Sharing_Master6[[#This Row],[Hr]]&lt;17,"Daytime", IF(Bike_Sharing_Master6[[#This Row],[Hr]]&lt;21,"Evening Peak","Night"))))</f>
        <v>Daytime</v>
      </c>
      <c r="S35" s="1" t="str">
        <f>IF(Bike_Sharing_Master6[[#This Row],[Holiday]]=1,"Holiday","Non-Holiday")</f>
        <v>Non-Holiday</v>
      </c>
      <c r="T35" s="1" t="str">
        <f>IF(Bike_Sharing_Master6[[#This Row],[Cnt]]&lt;80,"Low",IF(Bike_Sharing_Master6[[#This Row],[Cnt]]&lt;160,"Medium","High"))</f>
        <v>Low</v>
      </c>
      <c r="U35" s="1" t="str">
        <f>VLOOKUP(Bike_Sharing_Master6[[#This Row],[Weathersit]],[1]Lookup_Weather!A:B,2,FALSE)</f>
        <v>Mist</v>
      </c>
    </row>
    <row r="36" spans="1:21" x14ac:dyDescent="0.3">
      <c r="A36">
        <v>35</v>
      </c>
      <c r="B36" s="3">
        <v>40545</v>
      </c>
      <c r="C36" s="1">
        <v>1</v>
      </c>
      <c r="D36" s="1">
        <v>0</v>
      </c>
      <c r="E36" s="1">
        <v>1</v>
      </c>
      <c r="F36" s="1">
        <v>11</v>
      </c>
      <c r="G36" t="b">
        <v>0</v>
      </c>
      <c r="H36" s="1">
        <v>0</v>
      </c>
      <c r="I36" s="1">
        <v>2</v>
      </c>
      <c r="J36" s="2">
        <v>0.36</v>
      </c>
      <c r="K36" s="2">
        <v>0.33329999999999999</v>
      </c>
      <c r="L36" s="2">
        <v>0.71</v>
      </c>
      <c r="M36" s="2">
        <v>0.25369999999999998</v>
      </c>
      <c r="N36" s="1">
        <v>16</v>
      </c>
      <c r="O36" s="1">
        <v>54</v>
      </c>
      <c r="P36" s="1">
        <v>70</v>
      </c>
      <c r="Q36" s="1" t="str">
        <f>IF(WEEKDAY(Bike_Sharing_Master6[[#This Row],[Dteday]],2)&gt;=6,"Weekend","Weekday")</f>
        <v>Weekend</v>
      </c>
      <c r="R36" s="1" t="str">
        <f xml:space="preserve"> IF(Bike_Sharing_Master6[[#This Row],[Hr]]&lt;6,"Late Night", IF(Bike_Sharing_Master6[[#This Row],[Hr]]&lt;10,"Morning Peak", IF(Bike_Sharing_Master6[[#This Row],[Hr]]&lt;17,"Daytime", IF(Bike_Sharing_Master6[[#This Row],[Hr]]&lt;21,"Evening Peak","Night"))))</f>
        <v>Daytime</v>
      </c>
      <c r="S36" s="1" t="str">
        <f>IF(Bike_Sharing_Master6[[#This Row],[Holiday]]=1,"Holiday","Non-Holiday")</f>
        <v>Non-Holiday</v>
      </c>
      <c r="T36" s="1" t="str">
        <f>IF(Bike_Sharing_Master6[[#This Row],[Cnt]]&lt;80,"Low",IF(Bike_Sharing_Master6[[#This Row],[Cnt]]&lt;160,"Medium","High"))</f>
        <v>Low</v>
      </c>
      <c r="U36" s="1" t="str">
        <f>VLOOKUP(Bike_Sharing_Master6[[#This Row],[Weathersit]],[1]Lookup_Weather!A:B,2,FALSE)</f>
        <v>Mist</v>
      </c>
    </row>
    <row r="37" spans="1:21" x14ac:dyDescent="0.3">
      <c r="A37">
        <v>36</v>
      </c>
      <c r="B37" s="3">
        <v>40545</v>
      </c>
      <c r="C37" s="1">
        <v>1</v>
      </c>
      <c r="D37" s="1">
        <v>0</v>
      </c>
      <c r="E37" s="1">
        <v>1</v>
      </c>
      <c r="F37" s="1">
        <v>12</v>
      </c>
      <c r="G37" t="b">
        <v>0</v>
      </c>
      <c r="H37" s="1">
        <v>0</v>
      </c>
      <c r="I37" s="1">
        <v>2</v>
      </c>
      <c r="J37" s="2">
        <v>0.36</v>
      </c>
      <c r="K37" s="2">
        <v>0.33329999999999999</v>
      </c>
      <c r="L37" s="2">
        <v>0.66</v>
      </c>
      <c r="M37" s="2">
        <v>0.29849999999999999</v>
      </c>
      <c r="N37" s="1">
        <v>20</v>
      </c>
      <c r="O37" s="1">
        <v>73</v>
      </c>
      <c r="P37" s="1">
        <v>93</v>
      </c>
      <c r="Q37" s="1" t="str">
        <f>IF(WEEKDAY(Bike_Sharing_Master6[[#This Row],[Dteday]],2)&gt;=6,"Weekend","Weekday")</f>
        <v>Weekend</v>
      </c>
      <c r="R37" s="1" t="str">
        <f xml:space="preserve"> IF(Bike_Sharing_Master6[[#This Row],[Hr]]&lt;6,"Late Night", IF(Bike_Sharing_Master6[[#This Row],[Hr]]&lt;10,"Morning Peak", IF(Bike_Sharing_Master6[[#This Row],[Hr]]&lt;17,"Daytime", IF(Bike_Sharing_Master6[[#This Row],[Hr]]&lt;21,"Evening Peak","Night"))))</f>
        <v>Daytime</v>
      </c>
      <c r="S37" s="1" t="str">
        <f>IF(Bike_Sharing_Master6[[#This Row],[Holiday]]=1,"Holiday","Non-Holiday")</f>
        <v>Non-Holiday</v>
      </c>
      <c r="T37" s="1" t="str">
        <f>IF(Bike_Sharing_Master6[[#This Row],[Cnt]]&lt;80,"Low",IF(Bike_Sharing_Master6[[#This Row],[Cnt]]&lt;160,"Medium","High"))</f>
        <v>Medium</v>
      </c>
      <c r="U37" s="1" t="str">
        <f>VLOOKUP(Bike_Sharing_Master6[[#This Row],[Weathersit]],[1]Lookup_Weather!A:B,2,FALSE)</f>
        <v>Mist</v>
      </c>
    </row>
    <row r="38" spans="1:21" x14ac:dyDescent="0.3">
      <c r="A38">
        <v>37</v>
      </c>
      <c r="B38" s="3">
        <v>40545</v>
      </c>
      <c r="C38" s="1">
        <v>1</v>
      </c>
      <c r="D38" s="1">
        <v>0</v>
      </c>
      <c r="E38" s="1">
        <v>1</v>
      </c>
      <c r="F38" s="1">
        <v>13</v>
      </c>
      <c r="G38" t="b">
        <v>0</v>
      </c>
      <c r="H38" s="1">
        <v>0</v>
      </c>
      <c r="I38" s="1">
        <v>2</v>
      </c>
      <c r="J38" s="2">
        <v>0.36</v>
      </c>
      <c r="K38" s="2">
        <v>0.34849999999999998</v>
      </c>
      <c r="L38" s="2">
        <v>0.66</v>
      </c>
      <c r="M38" s="2">
        <v>0.1343</v>
      </c>
      <c r="N38" s="1">
        <v>11</v>
      </c>
      <c r="O38" s="1">
        <v>64</v>
      </c>
      <c r="P38" s="1">
        <v>75</v>
      </c>
      <c r="Q38" s="1" t="str">
        <f>IF(WEEKDAY(Bike_Sharing_Master6[[#This Row],[Dteday]],2)&gt;=6,"Weekend","Weekday")</f>
        <v>Weekend</v>
      </c>
      <c r="R38" s="1" t="str">
        <f xml:space="preserve"> IF(Bike_Sharing_Master6[[#This Row],[Hr]]&lt;6,"Late Night", IF(Bike_Sharing_Master6[[#This Row],[Hr]]&lt;10,"Morning Peak", IF(Bike_Sharing_Master6[[#This Row],[Hr]]&lt;17,"Daytime", IF(Bike_Sharing_Master6[[#This Row],[Hr]]&lt;21,"Evening Peak","Night"))))</f>
        <v>Daytime</v>
      </c>
      <c r="S38" s="1" t="str">
        <f>IF(Bike_Sharing_Master6[[#This Row],[Holiday]]=1,"Holiday","Non-Holiday")</f>
        <v>Non-Holiday</v>
      </c>
      <c r="T38" s="1" t="str">
        <f>IF(Bike_Sharing_Master6[[#This Row],[Cnt]]&lt;80,"Low",IF(Bike_Sharing_Master6[[#This Row],[Cnt]]&lt;160,"Medium","High"))</f>
        <v>Low</v>
      </c>
      <c r="U38" s="1" t="str">
        <f>VLOOKUP(Bike_Sharing_Master6[[#This Row],[Weathersit]],[1]Lookup_Weather!A:B,2,FALSE)</f>
        <v>Mist</v>
      </c>
    </row>
    <row r="39" spans="1:21" x14ac:dyDescent="0.3">
      <c r="A39">
        <v>38</v>
      </c>
      <c r="B39" s="3">
        <v>40545</v>
      </c>
      <c r="C39" s="1">
        <v>1</v>
      </c>
      <c r="D39" s="1">
        <v>0</v>
      </c>
      <c r="E39" s="1">
        <v>1</v>
      </c>
      <c r="F39" s="1">
        <v>14</v>
      </c>
      <c r="G39" t="b">
        <v>0</v>
      </c>
      <c r="H39" s="1">
        <v>0</v>
      </c>
      <c r="I39" s="1">
        <v>3</v>
      </c>
      <c r="J39" s="2">
        <v>0.36</v>
      </c>
      <c r="K39" s="2">
        <v>0.21195783619818026</v>
      </c>
      <c r="L39" s="2">
        <v>0.76</v>
      </c>
      <c r="M39" s="2">
        <v>0.19400000000000001</v>
      </c>
      <c r="N39" s="1">
        <v>4</v>
      </c>
      <c r="O39" s="1">
        <v>55</v>
      </c>
      <c r="P39" s="1">
        <v>59</v>
      </c>
      <c r="Q39" s="1" t="str">
        <f>IF(WEEKDAY(Bike_Sharing_Master6[[#This Row],[Dteday]],2)&gt;=6,"Weekend","Weekday")</f>
        <v>Weekend</v>
      </c>
      <c r="R39" s="1" t="str">
        <f xml:space="preserve"> IF(Bike_Sharing_Master6[[#This Row],[Hr]]&lt;6,"Late Night", IF(Bike_Sharing_Master6[[#This Row],[Hr]]&lt;10,"Morning Peak", IF(Bike_Sharing_Master6[[#This Row],[Hr]]&lt;17,"Daytime", IF(Bike_Sharing_Master6[[#This Row],[Hr]]&lt;21,"Evening Peak","Night"))))</f>
        <v>Daytime</v>
      </c>
      <c r="S39" s="1" t="str">
        <f>IF(Bike_Sharing_Master6[[#This Row],[Holiday]]=1,"Holiday","Non-Holiday")</f>
        <v>Non-Holiday</v>
      </c>
      <c r="T39" s="1" t="str">
        <f>IF(Bike_Sharing_Master6[[#This Row],[Cnt]]&lt;80,"Low",IF(Bike_Sharing_Master6[[#This Row],[Cnt]]&lt;160,"Medium","High"))</f>
        <v>Low</v>
      </c>
      <c r="U39" s="1" t="str">
        <f>VLOOKUP(Bike_Sharing_Master6[[#This Row],[Weathersit]],[1]Lookup_Weather!A:B,2,FALSE)</f>
        <v>Light Rain</v>
      </c>
    </row>
    <row r="40" spans="1:21" x14ac:dyDescent="0.3">
      <c r="A40">
        <v>39</v>
      </c>
      <c r="B40" s="3">
        <v>40545</v>
      </c>
      <c r="C40" s="1">
        <v>1</v>
      </c>
      <c r="D40" s="1">
        <v>0</v>
      </c>
      <c r="E40" s="1">
        <v>1</v>
      </c>
      <c r="F40" s="1">
        <v>15</v>
      </c>
      <c r="G40" t="b">
        <v>0</v>
      </c>
      <c r="H40" s="1">
        <v>0</v>
      </c>
      <c r="I40" s="1">
        <v>3</v>
      </c>
      <c r="J40" s="2">
        <v>0.34</v>
      </c>
      <c r="K40" s="2">
        <v>0.33329999999999999</v>
      </c>
      <c r="L40" s="2">
        <v>0.81</v>
      </c>
      <c r="M40" s="2">
        <v>0.16420000000000001</v>
      </c>
      <c r="N40" s="1">
        <v>19</v>
      </c>
      <c r="O40" s="1">
        <v>55</v>
      </c>
      <c r="P40" s="1">
        <v>74</v>
      </c>
      <c r="Q40" s="1" t="str">
        <f>IF(WEEKDAY(Bike_Sharing_Master6[[#This Row],[Dteday]],2)&gt;=6,"Weekend","Weekday")</f>
        <v>Weekend</v>
      </c>
      <c r="R40" s="1" t="str">
        <f xml:space="preserve"> IF(Bike_Sharing_Master6[[#This Row],[Hr]]&lt;6,"Late Night", IF(Bike_Sharing_Master6[[#This Row],[Hr]]&lt;10,"Morning Peak", IF(Bike_Sharing_Master6[[#This Row],[Hr]]&lt;17,"Daytime", IF(Bike_Sharing_Master6[[#This Row],[Hr]]&lt;21,"Evening Peak","Night"))))</f>
        <v>Daytime</v>
      </c>
      <c r="S40" s="1" t="str">
        <f>IF(Bike_Sharing_Master6[[#This Row],[Holiday]]=1,"Holiday","Non-Holiday")</f>
        <v>Non-Holiday</v>
      </c>
      <c r="T40" s="1" t="str">
        <f>IF(Bike_Sharing_Master6[[#This Row],[Cnt]]&lt;80,"Low",IF(Bike_Sharing_Master6[[#This Row],[Cnt]]&lt;160,"Medium","High"))</f>
        <v>Low</v>
      </c>
      <c r="U40" s="1" t="str">
        <f>VLOOKUP(Bike_Sharing_Master6[[#This Row],[Weathersit]],[1]Lookup_Weather!A:B,2,FALSE)</f>
        <v>Light Rain</v>
      </c>
    </row>
    <row r="41" spans="1:21" x14ac:dyDescent="0.3">
      <c r="A41">
        <v>40</v>
      </c>
      <c r="B41" s="3">
        <v>40545</v>
      </c>
      <c r="C41" s="1">
        <v>1</v>
      </c>
      <c r="D41" s="1">
        <v>0</v>
      </c>
      <c r="E41" s="1">
        <v>1</v>
      </c>
      <c r="F41" s="1">
        <v>16</v>
      </c>
      <c r="G41" t="b">
        <v>0</v>
      </c>
      <c r="H41" s="1">
        <v>0</v>
      </c>
      <c r="I41" s="1">
        <v>3</v>
      </c>
      <c r="J41" s="2">
        <v>0.34</v>
      </c>
      <c r="K41" s="2">
        <v>0.33329999999999999</v>
      </c>
      <c r="L41" s="2">
        <v>0.71</v>
      </c>
      <c r="M41" s="2">
        <v>0.16420000000000001</v>
      </c>
      <c r="N41" s="1">
        <v>9</v>
      </c>
      <c r="O41" s="1">
        <v>67</v>
      </c>
      <c r="P41" s="1">
        <v>76</v>
      </c>
      <c r="Q41" s="1" t="str">
        <f>IF(WEEKDAY(Bike_Sharing_Master6[[#This Row],[Dteday]],2)&gt;=6,"Weekend","Weekday")</f>
        <v>Weekend</v>
      </c>
      <c r="R41" s="1" t="str">
        <f xml:space="preserve"> IF(Bike_Sharing_Master6[[#This Row],[Hr]]&lt;6,"Late Night", IF(Bike_Sharing_Master6[[#This Row],[Hr]]&lt;10,"Morning Peak", IF(Bike_Sharing_Master6[[#This Row],[Hr]]&lt;17,"Daytime", IF(Bike_Sharing_Master6[[#This Row],[Hr]]&lt;21,"Evening Peak","Night"))))</f>
        <v>Daytime</v>
      </c>
      <c r="S41" s="1" t="str">
        <f>IF(Bike_Sharing_Master6[[#This Row],[Holiday]]=1,"Holiday","Non-Holiday")</f>
        <v>Non-Holiday</v>
      </c>
      <c r="T41" s="1" t="str">
        <f>IF(Bike_Sharing_Master6[[#This Row],[Cnt]]&lt;80,"Low",IF(Bike_Sharing_Master6[[#This Row],[Cnt]]&lt;160,"Medium","High"))</f>
        <v>Low</v>
      </c>
      <c r="U41" s="1" t="str">
        <f>VLOOKUP(Bike_Sharing_Master6[[#This Row],[Weathersit]],[1]Lookup_Weather!A:B,2,FALSE)</f>
        <v>Light Rain</v>
      </c>
    </row>
    <row r="42" spans="1:21" x14ac:dyDescent="0.3">
      <c r="A42">
        <v>41</v>
      </c>
      <c r="B42" s="3">
        <v>40545</v>
      </c>
      <c r="C42" s="1">
        <v>1</v>
      </c>
      <c r="D42" s="1">
        <v>0</v>
      </c>
      <c r="E42" s="1">
        <v>1</v>
      </c>
      <c r="F42" s="1">
        <v>17</v>
      </c>
      <c r="G42" t="b">
        <v>0</v>
      </c>
      <c r="H42" s="1">
        <v>0</v>
      </c>
      <c r="I42" s="1">
        <v>1</v>
      </c>
      <c r="J42" s="2">
        <v>0.34</v>
      </c>
      <c r="K42" s="2">
        <v>0.33329999999999999</v>
      </c>
      <c r="L42" s="2">
        <v>0.56999999999999995</v>
      </c>
      <c r="M42" s="2">
        <v>0.19400000000000001</v>
      </c>
      <c r="N42" s="1">
        <v>7</v>
      </c>
      <c r="O42" s="1">
        <v>58</v>
      </c>
      <c r="P42" s="1">
        <v>65</v>
      </c>
      <c r="Q42" s="1" t="str">
        <f>IF(WEEKDAY(Bike_Sharing_Master6[[#This Row],[Dteday]],2)&gt;=6,"Weekend","Weekday")</f>
        <v>Weekend</v>
      </c>
      <c r="R42" s="1" t="str">
        <f xml:space="preserve"> IF(Bike_Sharing_Master6[[#This Row],[Hr]]&lt;6,"Late Night", IF(Bike_Sharing_Master6[[#This Row],[Hr]]&lt;10,"Morning Peak", IF(Bike_Sharing_Master6[[#This Row],[Hr]]&lt;17,"Daytime", IF(Bike_Sharing_Master6[[#This Row],[Hr]]&lt;21,"Evening Peak","Night"))))</f>
        <v>Evening Peak</v>
      </c>
      <c r="S42" s="1" t="str">
        <f>IF(Bike_Sharing_Master6[[#This Row],[Holiday]]=1,"Holiday","Non-Holiday")</f>
        <v>Non-Holiday</v>
      </c>
      <c r="T42" s="1" t="str">
        <f>IF(Bike_Sharing_Master6[[#This Row],[Cnt]]&lt;80,"Low",IF(Bike_Sharing_Master6[[#This Row],[Cnt]]&lt;160,"Medium","High"))</f>
        <v>Low</v>
      </c>
      <c r="U42" s="1" t="str">
        <f>VLOOKUP(Bike_Sharing_Master6[[#This Row],[Weathersit]],[1]Lookup_Weather!A:B,2,FALSE)</f>
        <v>Clear</v>
      </c>
    </row>
    <row r="43" spans="1:21" x14ac:dyDescent="0.3">
      <c r="A43">
        <v>42</v>
      </c>
      <c r="B43" s="3">
        <v>40545</v>
      </c>
      <c r="C43" s="1">
        <v>1</v>
      </c>
      <c r="D43" s="1">
        <v>0</v>
      </c>
      <c r="E43" s="1">
        <v>1</v>
      </c>
      <c r="F43" s="1">
        <v>18</v>
      </c>
      <c r="G43" t="b">
        <v>0</v>
      </c>
      <c r="H43" s="1">
        <v>0</v>
      </c>
      <c r="I43" s="1">
        <v>2</v>
      </c>
      <c r="J43" s="2">
        <v>0.36</v>
      </c>
      <c r="K43" s="2">
        <v>0.33329999999999999</v>
      </c>
      <c r="L43" s="2">
        <v>0.46</v>
      </c>
      <c r="M43" s="2">
        <v>0.32840000000000003</v>
      </c>
      <c r="N43" s="1">
        <v>10</v>
      </c>
      <c r="O43" s="1">
        <v>43</v>
      </c>
      <c r="P43" s="1">
        <v>53</v>
      </c>
      <c r="Q43" s="1" t="str">
        <f>IF(WEEKDAY(Bike_Sharing_Master6[[#This Row],[Dteday]],2)&gt;=6,"Weekend","Weekday")</f>
        <v>Weekend</v>
      </c>
      <c r="R43" s="1" t="str">
        <f xml:space="preserve"> IF(Bike_Sharing_Master6[[#This Row],[Hr]]&lt;6,"Late Night", IF(Bike_Sharing_Master6[[#This Row],[Hr]]&lt;10,"Morning Peak", IF(Bike_Sharing_Master6[[#This Row],[Hr]]&lt;17,"Daytime", IF(Bike_Sharing_Master6[[#This Row],[Hr]]&lt;21,"Evening Peak","Night"))))</f>
        <v>Evening Peak</v>
      </c>
      <c r="S43" s="1" t="str">
        <f>IF(Bike_Sharing_Master6[[#This Row],[Holiday]]=1,"Holiday","Non-Holiday")</f>
        <v>Non-Holiday</v>
      </c>
      <c r="T43" s="1" t="str">
        <f>IF(Bike_Sharing_Master6[[#This Row],[Cnt]]&lt;80,"Low",IF(Bike_Sharing_Master6[[#This Row],[Cnt]]&lt;160,"Medium","High"))</f>
        <v>Low</v>
      </c>
      <c r="U43" s="1" t="str">
        <f>VLOOKUP(Bike_Sharing_Master6[[#This Row],[Weathersit]],[1]Lookup_Weather!A:B,2,FALSE)</f>
        <v>Mist</v>
      </c>
    </row>
    <row r="44" spans="1:21" x14ac:dyDescent="0.3">
      <c r="A44">
        <v>43</v>
      </c>
      <c r="B44" s="3">
        <v>40545</v>
      </c>
      <c r="C44" s="1">
        <v>1</v>
      </c>
      <c r="D44" s="1">
        <v>0</v>
      </c>
      <c r="E44" s="1">
        <v>1</v>
      </c>
      <c r="F44" s="1">
        <v>19</v>
      </c>
      <c r="G44" t="b">
        <v>0</v>
      </c>
      <c r="H44" s="1">
        <v>0</v>
      </c>
      <c r="I44" s="1">
        <v>1</v>
      </c>
      <c r="J44" s="2">
        <v>0.32</v>
      </c>
      <c r="K44" s="2">
        <v>0.28789999999999999</v>
      </c>
      <c r="L44" s="2">
        <v>0.42</v>
      </c>
      <c r="M44" s="2">
        <v>0.44779999999999998</v>
      </c>
      <c r="N44" s="1">
        <v>1</v>
      </c>
      <c r="O44" s="1">
        <v>29</v>
      </c>
      <c r="P44" s="1">
        <v>30</v>
      </c>
      <c r="Q44" s="1" t="str">
        <f>IF(WEEKDAY(Bike_Sharing_Master6[[#This Row],[Dteday]],2)&gt;=6,"Weekend","Weekday")</f>
        <v>Weekend</v>
      </c>
      <c r="R44" s="1" t="str">
        <f xml:space="preserve"> IF(Bike_Sharing_Master6[[#This Row],[Hr]]&lt;6,"Late Night", IF(Bike_Sharing_Master6[[#This Row],[Hr]]&lt;10,"Morning Peak", IF(Bike_Sharing_Master6[[#This Row],[Hr]]&lt;17,"Daytime", IF(Bike_Sharing_Master6[[#This Row],[Hr]]&lt;21,"Evening Peak","Night"))))</f>
        <v>Evening Peak</v>
      </c>
      <c r="S44" s="1" t="str">
        <f>IF(Bike_Sharing_Master6[[#This Row],[Holiday]]=1,"Holiday","Non-Holiday")</f>
        <v>Non-Holiday</v>
      </c>
      <c r="T44" s="1" t="str">
        <f>IF(Bike_Sharing_Master6[[#This Row],[Cnt]]&lt;80,"Low",IF(Bike_Sharing_Master6[[#This Row],[Cnt]]&lt;160,"Medium","High"))</f>
        <v>Low</v>
      </c>
      <c r="U44" s="1" t="str">
        <f>VLOOKUP(Bike_Sharing_Master6[[#This Row],[Weathersit]],[1]Lookup_Weather!A:B,2,FALSE)</f>
        <v>Clear</v>
      </c>
    </row>
    <row r="45" spans="1:21" x14ac:dyDescent="0.3">
      <c r="A45">
        <v>44</v>
      </c>
      <c r="B45" s="3">
        <v>40545</v>
      </c>
      <c r="C45" s="1">
        <v>1</v>
      </c>
      <c r="D45" s="1">
        <v>0</v>
      </c>
      <c r="E45" s="1">
        <v>1</v>
      </c>
      <c r="F45" s="1">
        <v>20</v>
      </c>
      <c r="G45" t="b">
        <v>0</v>
      </c>
      <c r="H45" s="1">
        <v>0</v>
      </c>
      <c r="I45" s="1">
        <v>1</v>
      </c>
      <c r="J45" s="2">
        <v>0.3</v>
      </c>
      <c r="K45" s="2">
        <v>0.21195783619818026</v>
      </c>
      <c r="L45" s="2">
        <v>0.39</v>
      </c>
      <c r="M45" s="2">
        <v>0.35820000000000002</v>
      </c>
      <c r="N45" s="1">
        <v>5</v>
      </c>
      <c r="O45" s="1">
        <v>17</v>
      </c>
      <c r="P45" s="1">
        <v>22</v>
      </c>
      <c r="Q45" s="1" t="str">
        <f>IF(WEEKDAY(Bike_Sharing_Master6[[#This Row],[Dteday]],2)&gt;=6,"Weekend","Weekday")</f>
        <v>Weekend</v>
      </c>
      <c r="R45" s="1" t="str">
        <f xml:space="preserve"> IF(Bike_Sharing_Master6[[#This Row],[Hr]]&lt;6,"Late Night", IF(Bike_Sharing_Master6[[#This Row],[Hr]]&lt;10,"Morning Peak", IF(Bike_Sharing_Master6[[#This Row],[Hr]]&lt;17,"Daytime", IF(Bike_Sharing_Master6[[#This Row],[Hr]]&lt;21,"Evening Peak","Night"))))</f>
        <v>Evening Peak</v>
      </c>
      <c r="S45" s="1" t="str">
        <f>IF(Bike_Sharing_Master6[[#This Row],[Holiday]]=1,"Holiday","Non-Holiday")</f>
        <v>Non-Holiday</v>
      </c>
      <c r="T45" s="1" t="str">
        <f>IF(Bike_Sharing_Master6[[#This Row],[Cnt]]&lt;80,"Low",IF(Bike_Sharing_Master6[[#This Row],[Cnt]]&lt;160,"Medium","High"))</f>
        <v>Low</v>
      </c>
      <c r="U45" s="1" t="str">
        <f>VLOOKUP(Bike_Sharing_Master6[[#This Row],[Weathersit]],[1]Lookup_Weather!A:B,2,FALSE)</f>
        <v>Clear</v>
      </c>
    </row>
    <row r="46" spans="1:21" x14ac:dyDescent="0.3">
      <c r="A46">
        <v>45</v>
      </c>
      <c r="B46" s="3">
        <v>40545</v>
      </c>
      <c r="C46" s="1">
        <v>1</v>
      </c>
      <c r="D46" s="1">
        <v>0</v>
      </c>
      <c r="E46" s="1">
        <v>1</v>
      </c>
      <c r="F46" s="1">
        <v>21</v>
      </c>
      <c r="G46" t="b">
        <v>0</v>
      </c>
      <c r="H46" s="1">
        <v>0</v>
      </c>
      <c r="I46" s="1">
        <v>1</v>
      </c>
      <c r="J46" s="2">
        <v>0.26</v>
      </c>
      <c r="K46" s="2">
        <v>0.2273</v>
      </c>
      <c r="L46" s="2">
        <v>0.44</v>
      </c>
      <c r="M46" s="2">
        <v>0.32840000000000003</v>
      </c>
      <c r="N46" s="1">
        <v>11</v>
      </c>
      <c r="O46" s="1">
        <v>20</v>
      </c>
      <c r="P46" s="1">
        <v>31</v>
      </c>
      <c r="Q46" s="1" t="str">
        <f>IF(WEEKDAY(Bike_Sharing_Master6[[#This Row],[Dteday]],2)&gt;=6,"Weekend","Weekday")</f>
        <v>Weekend</v>
      </c>
      <c r="R46" s="1" t="str">
        <f xml:space="preserve"> IF(Bike_Sharing_Master6[[#This Row],[Hr]]&lt;6,"Late Night", IF(Bike_Sharing_Master6[[#This Row],[Hr]]&lt;10,"Morning Peak", IF(Bike_Sharing_Master6[[#This Row],[Hr]]&lt;17,"Daytime", IF(Bike_Sharing_Master6[[#This Row],[Hr]]&lt;21,"Evening Peak","Night"))))</f>
        <v>Night</v>
      </c>
      <c r="S46" s="1" t="str">
        <f>IF(Bike_Sharing_Master6[[#This Row],[Holiday]]=1,"Holiday","Non-Holiday")</f>
        <v>Non-Holiday</v>
      </c>
      <c r="T46" s="1" t="str">
        <f>IF(Bike_Sharing_Master6[[#This Row],[Cnt]]&lt;80,"Low",IF(Bike_Sharing_Master6[[#This Row],[Cnt]]&lt;160,"Medium","High"))</f>
        <v>Low</v>
      </c>
      <c r="U46" s="1" t="str">
        <f>VLOOKUP(Bike_Sharing_Master6[[#This Row],[Weathersit]],[1]Lookup_Weather!A:B,2,FALSE)</f>
        <v>Clear</v>
      </c>
    </row>
    <row r="47" spans="1:21" x14ac:dyDescent="0.3">
      <c r="A47">
        <v>46</v>
      </c>
      <c r="B47" s="3">
        <v>40545</v>
      </c>
      <c r="C47" s="1">
        <v>1</v>
      </c>
      <c r="D47" s="1">
        <v>0</v>
      </c>
      <c r="E47" s="1">
        <v>1</v>
      </c>
      <c r="F47" s="1">
        <v>22</v>
      </c>
      <c r="G47" t="b">
        <v>0</v>
      </c>
      <c r="H47" s="1">
        <v>0</v>
      </c>
      <c r="I47" s="1">
        <v>1</v>
      </c>
      <c r="J47" s="2">
        <v>0.24</v>
      </c>
      <c r="K47" s="2">
        <v>0.21210000000000001</v>
      </c>
      <c r="L47" s="2">
        <v>0.44</v>
      </c>
      <c r="M47" s="2">
        <v>0.29849999999999999</v>
      </c>
      <c r="N47" s="1">
        <v>0</v>
      </c>
      <c r="O47" s="1">
        <v>9</v>
      </c>
      <c r="P47" s="1">
        <v>9</v>
      </c>
      <c r="Q47" s="1" t="str">
        <f>IF(WEEKDAY(Bike_Sharing_Master6[[#This Row],[Dteday]],2)&gt;=6,"Weekend","Weekday")</f>
        <v>Weekend</v>
      </c>
      <c r="R47" s="1" t="str">
        <f xml:space="preserve"> IF(Bike_Sharing_Master6[[#This Row],[Hr]]&lt;6,"Late Night", IF(Bike_Sharing_Master6[[#This Row],[Hr]]&lt;10,"Morning Peak", IF(Bike_Sharing_Master6[[#This Row],[Hr]]&lt;17,"Daytime", IF(Bike_Sharing_Master6[[#This Row],[Hr]]&lt;21,"Evening Peak","Night"))))</f>
        <v>Night</v>
      </c>
      <c r="S47" s="1" t="str">
        <f>IF(Bike_Sharing_Master6[[#This Row],[Holiday]]=1,"Holiday","Non-Holiday")</f>
        <v>Non-Holiday</v>
      </c>
      <c r="T47" s="1" t="str">
        <f>IF(Bike_Sharing_Master6[[#This Row],[Cnt]]&lt;80,"Low",IF(Bike_Sharing_Master6[[#This Row],[Cnt]]&lt;160,"Medium","High"))</f>
        <v>Low</v>
      </c>
      <c r="U47" s="1" t="str">
        <f>VLOOKUP(Bike_Sharing_Master6[[#This Row],[Weathersit]],[1]Lookup_Weather!A:B,2,FALSE)</f>
        <v>Clear</v>
      </c>
    </row>
    <row r="48" spans="1:21" x14ac:dyDescent="0.3">
      <c r="A48">
        <v>47</v>
      </c>
      <c r="B48" s="3">
        <v>40545</v>
      </c>
      <c r="C48" s="1">
        <v>1</v>
      </c>
      <c r="D48" s="1">
        <v>0</v>
      </c>
      <c r="E48" s="1">
        <v>1</v>
      </c>
      <c r="F48" s="1">
        <v>23</v>
      </c>
      <c r="G48" t="b">
        <v>0</v>
      </c>
      <c r="H48" s="1">
        <v>0</v>
      </c>
      <c r="I48" s="1">
        <v>1</v>
      </c>
      <c r="J48" s="2">
        <v>0.22</v>
      </c>
      <c r="K48" s="2">
        <v>0.2273</v>
      </c>
      <c r="L48" s="2">
        <v>0.47</v>
      </c>
      <c r="M48" s="2">
        <v>0.16420000000000001</v>
      </c>
      <c r="N48" s="1">
        <v>0</v>
      </c>
      <c r="O48" s="1">
        <v>8</v>
      </c>
      <c r="P48" s="1">
        <v>8</v>
      </c>
      <c r="Q48" s="1" t="str">
        <f>IF(WEEKDAY(Bike_Sharing_Master6[[#This Row],[Dteday]],2)&gt;=6,"Weekend","Weekday")</f>
        <v>Weekend</v>
      </c>
      <c r="R48" s="1" t="str">
        <f xml:space="preserve"> IF(Bike_Sharing_Master6[[#This Row],[Hr]]&lt;6,"Late Night", IF(Bike_Sharing_Master6[[#This Row],[Hr]]&lt;10,"Morning Peak", IF(Bike_Sharing_Master6[[#This Row],[Hr]]&lt;17,"Daytime", IF(Bike_Sharing_Master6[[#This Row],[Hr]]&lt;21,"Evening Peak","Night"))))</f>
        <v>Night</v>
      </c>
      <c r="S48" s="1" t="str">
        <f>IF(Bike_Sharing_Master6[[#This Row],[Holiday]]=1,"Holiday","Non-Holiday")</f>
        <v>Non-Holiday</v>
      </c>
      <c r="T48" s="1" t="str">
        <f>IF(Bike_Sharing_Master6[[#This Row],[Cnt]]&lt;80,"Low",IF(Bike_Sharing_Master6[[#This Row],[Cnt]]&lt;160,"Medium","High"))</f>
        <v>Low</v>
      </c>
      <c r="U48" s="1" t="str">
        <f>VLOOKUP(Bike_Sharing_Master6[[#This Row],[Weathersit]],[1]Lookup_Weather!A:B,2,FALSE)</f>
        <v>Clear</v>
      </c>
    </row>
    <row r="49" spans="1:21" x14ac:dyDescent="0.3">
      <c r="A49">
        <v>48</v>
      </c>
      <c r="B49" s="3">
        <v>40546</v>
      </c>
      <c r="C49" s="1">
        <v>1</v>
      </c>
      <c r="D49" s="1">
        <v>0</v>
      </c>
      <c r="E49" s="1">
        <v>1</v>
      </c>
      <c r="F49" s="1">
        <v>0</v>
      </c>
      <c r="G49" t="b">
        <v>0</v>
      </c>
      <c r="H49" s="1">
        <v>1</v>
      </c>
      <c r="I49" s="1">
        <v>1</v>
      </c>
      <c r="J49" s="2">
        <v>0.22</v>
      </c>
      <c r="K49" s="2">
        <v>0.19700000000000001</v>
      </c>
      <c r="L49" s="2">
        <v>0.44</v>
      </c>
      <c r="M49" s="2">
        <v>0.35820000000000002</v>
      </c>
      <c r="N49" s="1">
        <v>0</v>
      </c>
      <c r="O49" s="1">
        <v>5</v>
      </c>
      <c r="P49" s="1">
        <v>5</v>
      </c>
      <c r="Q49" s="1" t="str">
        <f>IF(WEEKDAY(Bike_Sharing_Master6[[#This Row],[Dteday]],2)&gt;=6,"Weekend","Weekday")</f>
        <v>Weekday</v>
      </c>
      <c r="R49" s="1" t="str">
        <f xml:space="preserve"> IF(Bike_Sharing_Master6[[#This Row],[Hr]]&lt;6,"Late Night", IF(Bike_Sharing_Master6[[#This Row],[Hr]]&lt;10,"Morning Peak", IF(Bike_Sharing_Master6[[#This Row],[Hr]]&lt;17,"Daytime", IF(Bike_Sharing_Master6[[#This Row],[Hr]]&lt;21,"Evening Peak","Night"))))</f>
        <v>Late Night</v>
      </c>
      <c r="S49" s="1" t="str">
        <f>IF(Bike_Sharing_Master6[[#This Row],[Holiday]]=1,"Holiday","Non-Holiday")</f>
        <v>Non-Holiday</v>
      </c>
      <c r="T49" s="1" t="str">
        <f>IF(Bike_Sharing_Master6[[#This Row],[Cnt]]&lt;80,"Low",IF(Bike_Sharing_Master6[[#This Row],[Cnt]]&lt;160,"Medium","High"))</f>
        <v>Low</v>
      </c>
      <c r="U49" s="1" t="str">
        <f>VLOOKUP(Bike_Sharing_Master6[[#This Row],[Weathersit]],[1]Lookup_Weather!A:B,2,FALSE)</f>
        <v>Clear</v>
      </c>
    </row>
    <row r="50" spans="1:21" x14ac:dyDescent="0.3">
      <c r="A50">
        <v>49</v>
      </c>
      <c r="B50" s="3">
        <v>40546</v>
      </c>
      <c r="C50" s="1">
        <v>1</v>
      </c>
      <c r="D50" s="1">
        <v>0</v>
      </c>
      <c r="E50" s="1">
        <v>1</v>
      </c>
      <c r="F50" s="1">
        <v>1</v>
      </c>
      <c r="G50" t="b">
        <v>0</v>
      </c>
      <c r="H50" s="1">
        <v>1</v>
      </c>
      <c r="I50" s="1">
        <v>1</v>
      </c>
      <c r="J50" s="2">
        <v>0.2</v>
      </c>
      <c r="K50" s="2">
        <v>0.21195783619818026</v>
      </c>
      <c r="L50" s="2">
        <v>0.44</v>
      </c>
      <c r="M50" s="2">
        <v>0.41789999999999999</v>
      </c>
      <c r="N50" s="1">
        <v>0</v>
      </c>
      <c r="O50" s="1">
        <v>2</v>
      </c>
      <c r="P50" s="1">
        <v>2</v>
      </c>
      <c r="Q50" s="1" t="str">
        <f>IF(WEEKDAY(Bike_Sharing_Master6[[#This Row],[Dteday]],2)&gt;=6,"Weekend","Weekday")</f>
        <v>Weekday</v>
      </c>
      <c r="R50" s="1" t="str">
        <f xml:space="preserve"> IF(Bike_Sharing_Master6[[#This Row],[Hr]]&lt;6,"Late Night", IF(Bike_Sharing_Master6[[#This Row],[Hr]]&lt;10,"Morning Peak", IF(Bike_Sharing_Master6[[#This Row],[Hr]]&lt;17,"Daytime", IF(Bike_Sharing_Master6[[#This Row],[Hr]]&lt;21,"Evening Peak","Night"))))</f>
        <v>Late Night</v>
      </c>
      <c r="S50" s="1" t="str">
        <f>IF(Bike_Sharing_Master6[[#This Row],[Holiday]]=1,"Holiday","Non-Holiday")</f>
        <v>Non-Holiday</v>
      </c>
      <c r="T50" s="1" t="str">
        <f>IF(Bike_Sharing_Master6[[#This Row],[Cnt]]&lt;80,"Low",IF(Bike_Sharing_Master6[[#This Row],[Cnt]]&lt;160,"Medium","High"))</f>
        <v>Low</v>
      </c>
      <c r="U50" s="1" t="str">
        <f>VLOOKUP(Bike_Sharing_Master6[[#This Row],[Weathersit]],[1]Lookup_Weather!A:B,2,FALSE)</f>
        <v>Clear</v>
      </c>
    </row>
    <row r="51" spans="1:21" x14ac:dyDescent="0.3">
      <c r="A51">
        <v>50</v>
      </c>
      <c r="B51" s="3">
        <v>40546</v>
      </c>
      <c r="C51" s="1">
        <v>1</v>
      </c>
      <c r="D51" s="1">
        <v>0</v>
      </c>
      <c r="E51" s="1">
        <v>1</v>
      </c>
      <c r="F51" s="1">
        <v>4</v>
      </c>
      <c r="G51" t="b">
        <v>0</v>
      </c>
      <c r="H51" s="1">
        <v>1</v>
      </c>
      <c r="I51" s="1">
        <v>1</v>
      </c>
      <c r="J51" s="2">
        <v>0.16</v>
      </c>
      <c r="K51" s="2">
        <v>0.13639999999999999</v>
      </c>
      <c r="L51" s="2">
        <v>0.47</v>
      </c>
      <c r="M51" s="2">
        <v>0.3881</v>
      </c>
      <c r="N51" s="1">
        <v>0</v>
      </c>
      <c r="O51" s="1">
        <v>1</v>
      </c>
      <c r="P51" s="1">
        <v>1</v>
      </c>
      <c r="Q51" s="1" t="str">
        <f>IF(WEEKDAY(Bike_Sharing_Master6[[#This Row],[Dteday]],2)&gt;=6,"Weekend","Weekday")</f>
        <v>Weekday</v>
      </c>
      <c r="R51" s="1" t="str">
        <f xml:space="preserve"> IF(Bike_Sharing_Master6[[#This Row],[Hr]]&lt;6,"Late Night", IF(Bike_Sharing_Master6[[#This Row],[Hr]]&lt;10,"Morning Peak", IF(Bike_Sharing_Master6[[#This Row],[Hr]]&lt;17,"Daytime", IF(Bike_Sharing_Master6[[#This Row],[Hr]]&lt;21,"Evening Peak","Night"))))</f>
        <v>Late Night</v>
      </c>
      <c r="S51" s="1" t="str">
        <f>IF(Bike_Sharing_Master6[[#This Row],[Holiday]]=1,"Holiday","Non-Holiday")</f>
        <v>Non-Holiday</v>
      </c>
      <c r="T51" s="1" t="str">
        <f>IF(Bike_Sharing_Master6[[#This Row],[Cnt]]&lt;80,"Low",IF(Bike_Sharing_Master6[[#This Row],[Cnt]]&lt;160,"Medium","High"))</f>
        <v>Low</v>
      </c>
      <c r="U51" s="1" t="str">
        <f>VLOOKUP(Bike_Sharing_Master6[[#This Row],[Weathersit]],[1]Lookup_Weather!A:B,2,FALSE)</f>
        <v>Clear</v>
      </c>
    </row>
    <row r="52" spans="1:21" x14ac:dyDescent="0.3">
      <c r="A52">
        <v>51</v>
      </c>
      <c r="B52" s="3">
        <v>40546</v>
      </c>
      <c r="C52" s="1">
        <v>1</v>
      </c>
      <c r="D52" s="1">
        <v>0</v>
      </c>
      <c r="E52" s="1">
        <v>1</v>
      </c>
      <c r="F52" s="1">
        <v>5</v>
      </c>
      <c r="G52" t="b">
        <v>0</v>
      </c>
      <c r="H52" s="1">
        <v>1</v>
      </c>
      <c r="I52" s="1">
        <v>1</v>
      </c>
      <c r="J52" s="2">
        <v>0.16</v>
      </c>
      <c r="K52" s="2">
        <v>0.13639999999999999</v>
      </c>
      <c r="L52" s="2">
        <v>0.47</v>
      </c>
      <c r="M52" s="2">
        <v>0.28360000000000002</v>
      </c>
      <c r="N52" s="1">
        <v>0</v>
      </c>
      <c r="O52" s="1">
        <v>3</v>
      </c>
      <c r="P52" s="1">
        <v>3</v>
      </c>
      <c r="Q52" s="1" t="str">
        <f>IF(WEEKDAY(Bike_Sharing_Master6[[#This Row],[Dteday]],2)&gt;=6,"Weekend","Weekday")</f>
        <v>Weekday</v>
      </c>
      <c r="R52" s="1" t="str">
        <f xml:space="preserve"> IF(Bike_Sharing_Master6[[#This Row],[Hr]]&lt;6,"Late Night", IF(Bike_Sharing_Master6[[#This Row],[Hr]]&lt;10,"Morning Peak", IF(Bike_Sharing_Master6[[#This Row],[Hr]]&lt;17,"Daytime", IF(Bike_Sharing_Master6[[#This Row],[Hr]]&lt;21,"Evening Peak","Night"))))</f>
        <v>Late Night</v>
      </c>
      <c r="S52" s="1" t="str">
        <f>IF(Bike_Sharing_Master6[[#This Row],[Holiday]]=1,"Holiday","Non-Holiday")</f>
        <v>Non-Holiday</v>
      </c>
      <c r="T52" s="1" t="str">
        <f>IF(Bike_Sharing_Master6[[#This Row],[Cnt]]&lt;80,"Low",IF(Bike_Sharing_Master6[[#This Row],[Cnt]]&lt;160,"Medium","High"))</f>
        <v>Low</v>
      </c>
      <c r="U52" s="1" t="str">
        <f>VLOOKUP(Bike_Sharing_Master6[[#This Row],[Weathersit]],[1]Lookup_Weather!A:B,2,FALSE)</f>
        <v>Clear</v>
      </c>
    </row>
    <row r="53" spans="1:21" x14ac:dyDescent="0.3">
      <c r="A53">
        <v>52</v>
      </c>
      <c r="B53" s="3">
        <v>40546</v>
      </c>
      <c r="C53" s="1">
        <v>1</v>
      </c>
      <c r="D53" s="1">
        <v>0</v>
      </c>
      <c r="E53" s="1">
        <v>1</v>
      </c>
      <c r="F53" s="1">
        <v>6</v>
      </c>
      <c r="G53" t="b">
        <v>0</v>
      </c>
      <c r="H53" s="1">
        <v>1</v>
      </c>
      <c r="I53" s="1">
        <v>1</v>
      </c>
      <c r="J53" s="2">
        <v>0.14000000000000001</v>
      </c>
      <c r="K53" s="2">
        <v>0.1061</v>
      </c>
      <c r="L53" s="2">
        <v>0.5</v>
      </c>
      <c r="M53" s="2">
        <v>0.3881</v>
      </c>
      <c r="N53" s="1">
        <v>0</v>
      </c>
      <c r="O53" s="1">
        <v>30</v>
      </c>
      <c r="P53" s="1">
        <v>30</v>
      </c>
      <c r="Q53" s="1" t="str">
        <f>IF(WEEKDAY(Bike_Sharing_Master6[[#This Row],[Dteday]],2)&gt;=6,"Weekend","Weekday")</f>
        <v>Weekday</v>
      </c>
      <c r="R53" s="1" t="str">
        <f xml:space="preserve"> IF(Bike_Sharing_Master6[[#This Row],[Hr]]&lt;6,"Late Night", IF(Bike_Sharing_Master6[[#This Row],[Hr]]&lt;10,"Morning Peak", IF(Bike_Sharing_Master6[[#This Row],[Hr]]&lt;17,"Daytime", IF(Bike_Sharing_Master6[[#This Row],[Hr]]&lt;21,"Evening Peak","Night"))))</f>
        <v>Morning Peak</v>
      </c>
      <c r="S53" s="1" t="str">
        <f>IF(Bike_Sharing_Master6[[#This Row],[Holiday]]=1,"Holiday","Non-Holiday")</f>
        <v>Non-Holiday</v>
      </c>
      <c r="T53" s="1" t="str">
        <f>IF(Bike_Sharing_Master6[[#This Row],[Cnt]]&lt;80,"Low",IF(Bike_Sharing_Master6[[#This Row],[Cnt]]&lt;160,"Medium","High"))</f>
        <v>Low</v>
      </c>
      <c r="U53" s="1" t="str">
        <f>VLOOKUP(Bike_Sharing_Master6[[#This Row],[Weathersit]],[1]Lookup_Weather!A:B,2,FALSE)</f>
        <v>Clear</v>
      </c>
    </row>
    <row r="54" spans="1:21" x14ac:dyDescent="0.3">
      <c r="A54">
        <v>53</v>
      </c>
      <c r="B54" s="3">
        <v>40546</v>
      </c>
      <c r="C54" s="1">
        <v>1</v>
      </c>
      <c r="D54" s="1">
        <v>0</v>
      </c>
      <c r="E54" s="1">
        <v>1</v>
      </c>
      <c r="F54" s="1">
        <v>7</v>
      </c>
      <c r="G54" t="b">
        <v>0</v>
      </c>
      <c r="H54" s="1">
        <v>1</v>
      </c>
      <c r="I54" s="1">
        <v>1</v>
      </c>
      <c r="J54" s="2">
        <v>0.14000000000000001</v>
      </c>
      <c r="K54" s="2">
        <v>0.13639999999999999</v>
      </c>
      <c r="L54" s="2">
        <v>0.5</v>
      </c>
      <c r="M54" s="2">
        <v>0.19400000000000001</v>
      </c>
      <c r="N54" s="1">
        <v>1</v>
      </c>
      <c r="O54" s="1">
        <v>63</v>
      </c>
      <c r="P54" s="1">
        <v>64</v>
      </c>
      <c r="Q54" s="1" t="str">
        <f>IF(WEEKDAY(Bike_Sharing_Master6[[#This Row],[Dteday]],2)&gt;=6,"Weekend","Weekday")</f>
        <v>Weekday</v>
      </c>
      <c r="R54" s="1" t="str">
        <f xml:space="preserve"> IF(Bike_Sharing_Master6[[#This Row],[Hr]]&lt;6,"Late Night", IF(Bike_Sharing_Master6[[#This Row],[Hr]]&lt;10,"Morning Peak", IF(Bike_Sharing_Master6[[#This Row],[Hr]]&lt;17,"Daytime", IF(Bike_Sharing_Master6[[#This Row],[Hr]]&lt;21,"Evening Peak","Night"))))</f>
        <v>Morning Peak</v>
      </c>
      <c r="S54" s="1" t="str">
        <f>IF(Bike_Sharing_Master6[[#This Row],[Holiday]]=1,"Holiday","Non-Holiday")</f>
        <v>Non-Holiday</v>
      </c>
      <c r="T54" s="1" t="str">
        <f>IF(Bike_Sharing_Master6[[#This Row],[Cnt]]&lt;80,"Low",IF(Bike_Sharing_Master6[[#This Row],[Cnt]]&lt;160,"Medium","High"))</f>
        <v>Low</v>
      </c>
      <c r="U54" s="1" t="str">
        <f>VLOOKUP(Bike_Sharing_Master6[[#This Row],[Weathersit]],[1]Lookup_Weather!A:B,2,FALSE)</f>
        <v>Clear</v>
      </c>
    </row>
    <row r="55" spans="1:21" x14ac:dyDescent="0.3">
      <c r="A55">
        <v>54</v>
      </c>
      <c r="B55" s="3">
        <v>40546</v>
      </c>
      <c r="C55" s="1">
        <v>1</v>
      </c>
      <c r="D55" s="1">
        <v>0</v>
      </c>
      <c r="E55" s="1">
        <v>1</v>
      </c>
      <c r="F55" s="1">
        <v>8</v>
      </c>
      <c r="G55" t="b">
        <v>0</v>
      </c>
      <c r="H55" s="1">
        <v>1</v>
      </c>
      <c r="I55" s="1">
        <v>1</v>
      </c>
      <c r="J55" s="2">
        <v>0.14000000000000001</v>
      </c>
      <c r="K55" s="2">
        <v>0.1212</v>
      </c>
      <c r="L55" s="2">
        <v>0.5</v>
      </c>
      <c r="M55" s="2">
        <v>0.28360000000000002</v>
      </c>
      <c r="N55" s="1">
        <v>1</v>
      </c>
      <c r="O55" s="1">
        <v>153</v>
      </c>
      <c r="P55" s="1">
        <v>154</v>
      </c>
      <c r="Q55" s="1" t="str">
        <f>IF(WEEKDAY(Bike_Sharing_Master6[[#This Row],[Dteday]],2)&gt;=6,"Weekend","Weekday")</f>
        <v>Weekday</v>
      </c>
      <c r="R55" s="1" t="str">
        <f xml:space="preserve"> IF(Bike_Sharing_Master6[[#This Row],[Hr]]&lt;6,"Late Night", IF(Bike_Sharing_Master6[[#This Row],[Hr]]&lt;10,"Morning Peak", IF(Bike_Sharing_Master6[[#This Row],[Hr]]&lt;17,"Daytime", IF(Bike_Sharing_Master6[[#This Row],[Hr]]&lt;21,"Evening Peak","Night"))))</f>
        <v>Morning Peak</v>
      </c>
      <c r="S55" s="1" t="str">
        <f>IF(Bike_Sharing_Master6[[#This Row],[Holiday]]=1,"Holiday","Non-Holiday")</f>
        <v>Non-Holiday</v>
      </c>
      <c r="T55" s="1" t="str">
        <f>IF(Bike_Sharing_Master6[[#This Row],[Cnt]]&lt;80,"Low",IF(Bike_Sharing_Master6[[#This Row],[Cnt]]&lt;160,"Medium","High"))</f>
        <v>Medium</v>
      </c>
      <c r="U55" s="1" t="str">
        <f>VLOOKUP(Bike_Sharing_Master6[[#This Row],[Weathersit]],[1]Lookup_Weather!A:B,2,FALSE)</f>
        <v>Clear</v>
      </c>
    </row>
    <row r="56" spans="1:21" x14ac:dyDescent="0.3">
      <c r="A56">
        <v>55</v>
      </c>
      <c r="B56" s="3">
        <v>40546</v>
      </c>
      <c r="C56" s="1">
        <v>1</v>
      </c>
      <c r="D56" s="1">
        <v>0</v>
      </c>
      <c r="E56" s="1">
        <v>1</v>
      </c>
      <c r="F56" s="1">
        <v>9</v>
      </c>
      <c r="G56" t="b">
        <v>0</v>
      </c>
      <c r="H56" s="1">
        <v>1</v>
      </c>
      <c r="I56" s="1">
        <v>1</v>
      </c>
      <c r="J56" s="2">
        <v>0.16</v>
      </c>
      <c r="K56" s="2">
        <v>0.13639999999999999</v>
      </c>
      <c r="L56" s="2">
        <v>0.43</v>
      </c>
      <c r="M56" s="2">
        <v>0.3881</v>
      </c>
      <c r="N56" s="1">
        <v>7</v>
      </c>
      <c r="O56" s="1">
        <v>81</v>
      </c>
      <c r="P56" s="1">
        <v>88</v>
      </c>
      <c r="Q56" s="1" t="str">
        <f>IF(WEEKDAY(Bike_Sharing_Master6[[#This Row],[Dteday]],2)&gt;=6,"Weekend","Weekday")</f>
        <v>Weekday</v>
      </c>
      <c r="R56" s="1" t="str">
        <f xml:space="preserve"> IF(Bike_Sharing_Master6[[#This Row],[Hr]]&lt;6,"Late Night", IF(Bike_Sharing_Master6[[#This Row],[Hr]]&lt;10,"Morning Peak", IF(Bike_Sharing_Master6[[#This Row],[Hr]]&lt;17,"Daytime", IF(Bike_Sharing_Master6[[#This Row],[Hr]]&lt;21,"Evening Peak","Night"))))</f>
        <v>Morning Peak</v>
      </c>
      <c r="S56" s="1" t="str">
        <f>IF(Bike_Sharing_Master6[[#This Row],[Holiday]]=1,"Holiday","Non-Holiday")</f>
        <v>Non-Holiday</v>
      </c>
      <c r="T56" s="1" t="str">
        <f>IF(Bike_Sharing_Master6[[#This Row],[Cnt]]&lt;80,"Low",IF(Bike_Sharing_Master6[[#This Row],[Cnt]]&lt;160,"Medium","High"))</f>
        <v>Medium</v>
      </c>
      <c r="U56" s="1" t="str">
        <f>VLOOKUP(Bike_Sharing_Master6[[#This Row],[Weathersit]],[1]Lookup_Weather!A:B,2,FALSE)</f>
        <v>Clear</v>
      </c>
    </row>
    <row r="57" spans="1:21" x14ac:dyDescent="0.3">
      <c r="A57">
        <v>56</v>
      </c>
      <c r="B57" s="3">
        <v>40546</v>
      </c>
      <c r="C57" s="1">
        <v>1</v>
      </c>
      <c r="D57" s="1">
        <v>0</v>
      </c>
      <c r="E57" s="1">
        <v>1</v>
      </c>
      <c r="F57" s="1">
        <v>10</v>
      </c>
      <c r="G57" t="b">
        <v>0</v>
      </c>
      <c r="H57" s="1">
        <v>1</v>
      </c>
      <c r="I57" s="1">
        <v>1</v>
      </c>
      <c r="J57" s="2">
        <v>0.18</v>
      </c>
      <c r="K57" s="2">
        <v>0.16669999999999999</v>
      </c>
      <c r="L57" s="2">
        <v>0.43</v>
      </c>
      <c r="M57" s="2">
        <v>0.25369999999999998</v>
      </c>
      <c r="N57" s="1">
        <v>11</v>
      </c>
      <c r="O57" s="1">
        <v>33</v>
      </c>
      <c r="P57" s="1">
        <v>44</v>
      </c>
      <c r="Q57" s="1" t="str">
        <f>IF(WEEKDAY(Bike_Sharing_Master6[[#This Row],[Dteday]],2)&gt;=6,"Weekend","Weekday")</f>
        <v>Weekday</v>
      </c>
      <c r="R57" s="1" t="str">
        <f xml:space="preserve"> IF(Bike_Sharing_Master6[[#This Row],[Hr]]&lt;6,"Late Night", IF(Bike_Sharing_Master6[[#This Row],[Hr]]&lt;10,"Morning Peak", IF(Bike_Sharing_Master6[[#This Row],[Hr]]&lt;17,"Daytime", IF(Bike_Sharing_Master6[[#This Row],[Hr]]&lt;21,"Evening Peak","Night"))))</f>
        <v>Daytime</v>
      </c>
      <c r="S57" s="1" t="str">
        <f>IF(Bike_Sharing_Master6[[#This Row],[Holiday]]=1,"Holiday","Non-Holiday")</f>
        <v>Non-Holiday</v>
      </c>
      <c r="T57" s="1" t="str">
        <f>IF(Bike_Sharing_Master6[[#This Row],[Cnt]]&lt;80,"Low",IF(Bike_Sharing_Master6[[#This Row],[Cnt]]&lt;160,"Medium","High"))</f>
        <v>Low</v>
      </c>
      <c r="U57" s="1" t="str">
        <f>VLOOKUP(Bike_Sharing_Master6[[#This Row],[Weathersit]],[1]Lookup_Weather!A:B,2,FALSE)</f>
        <v>Clear</v>
      </c>
    </row>
    <row r="58" spans="1:21" x14ac:dyDescent="0.3">
      <c r="A58">
        <v>57</v>
      </c>
      <c r="B58" s="3">
        <v>40546</v>
      </c>
      <c r="C58" s="1">
        <v>1</v>
      </c>
      <c r="D58" s="1">
        <v>0</v>
      </c>
      <c r="E58" s="1">
        <v>1</v>
      </c>
      <c r="F58" s="1">
        <v>11</v>
      </c>
      <c r="G58" t="b">
        <v>0</v>
      </c>
      <c r="H58" s="1">
        <v>1</v>
      </c>
      <c r="I58" s="1">
        <v>1</v>
      </c>
      <c r="J58" s="2">
        <v>0.2</v>
      </c>
      <c r="K58" s="2">
        <v>0.18179999999999999</v>
      </c>
      <c r="L58" s="2">
        <v>0.4</v>
      </c>
      <c r="M58" s="2">
        <v>0.32840000000000003</v>
      </c>
      <c r="N58" s="1">
        <v>10</v>
      </c>
      <c r="O58" s="1">
        <v>41</v>
      </c>
      <c r="P58" s="1">
        <v>51</v>
      </c>
      <c r="Q58" s="1" t="str">
        <f>IF(WEEKDAY(Bike_Sharing_Master6[[#This Row],[Dteday]],2)&gt;=6,"Weekend","Weekday")</f>
        <v>Weekday</v>
      </c>
      <c r="R58" s="1" t="str">
        <f xml:space="preserve"> IF(Bike_Sharing_Master6[[#This Row],[Hr]]&lt;6,"Late Night", IF(Bike_Sharing_Master6[[#This Row],[Hr]]&lt;10,"Morning Peak", IF(Bike_Sharing_Master6[[#This Row],[Hr]]&lt;17,"Daytime", IF(Bike_Sharing_Master6[[#This Row],[Hr]]&lt;21,"Evening Peak","Night"))))</f>
        <v>Daytime</v>
      </c>
      <c r="S58" s="1" t="str">
        <f>IF(Bike_Sharing_Master6[[#This Row],[Holiday]]=1,"Holiday","Non-Holiday")</f>
        <v>Non-Holiday</v>
      </c>
      <c r="T58" s="1" t="str">
        <f>IF(Bike_Sharing_Master6[[#This Row],[Cnt]]&lt;80,"Low",IF(Bike_Sharing_Master6[[#This Row],[Cnt]]&lt;160,"Medium","High"))</f>
        <v>Low</v>
      </c>
      <c r="U58" s="1" t="str">
        <f>VLOOKUP(Bike_Sharing_Master6[[#This Row],[Weathersit]],[1]Lookup_Weather!A:B,2,FALSE)</f>
        <v>Clear</v>
      </c>
    </row>
    <row r="59" spans="1:21" x14ac:dyDescent="0.3">
      <c r="A59">
        <v>58</v>
      </c>
      <c r="B59" s="3">
        <v>40546</v>
      </c>
      <c r="C59" s="1">
        <v>1</v>
      </c>
      <c r="D59" s="1">
        <v>0</v>
      </c>
      <c r="E59" s="1">
        <v>1</v>
      </c>
      <c r="F59" s="1">
        <v>12</v>
      </c>
      <c r="G59" t="b">
        <v>0</v>
      </c>
      <c r="H59" s="1">
        <v>1</v>
      </c>
      <c r="I59" s="1">
        <v>1</v>
      </c>
      <c r="J59" s="2">
        <v>0.22</v>
      </c>
      <c r="K59" s="2">
        <v>0.21210000000000001</v>
      </c>
      <c r="L59" s="2">
        <v>0.35</v>
      </c>
      <c r="M59" s="2">
        <v>0.29849999999999999</v>
      </c>
      <c r="N59" s="1">
        <v>13</v>
      </c>
      <c r="O59" s="1">
        <v>48</v>
      </c>
      <c r="P59" s="1">
        <v>61</v>
      </c>
      <c r="Q59" s="1" t="str">
        <f>IF(WEEKDAY(Bike_Sharing_Master6[[#This Row],[Dteday]],2)&gt;=6,"Weekend","Weekday")</f>
        <v>Weekday</v>
      </c>
      <c r="R59" s="1" t="str">
        <f xml:space="preserve"> IF(Bike_Sharing_Master6[[#This Row],[Hr]]&lt;6,"Late Night", IF(Bike_Sharing_Master6[[#This Row],[Hr]]&lt;10,"Morning Peak", IF(Bike_Sharing_Master6[[#This Row],[Hr]]&lt;17,"Daytime", IF(Bike_Sharing_Master6[[#This Row],[Hr]]&lt;21,"Evening Peak","Night"))))</f>
        <v>Daytime</v>
      </c>
      <c r="S59" s="1" t="str">
        <f>IF(Bike_Sharing_Master6[[#This Row],[Holiday]]=1,"Holiday","Non-Holiday")</f>
        <v>Non-Holiday</v>
      </c>
      <c r="T59" s="1" t="str">
        <f>IF(Bike_Sharing_Master6[[#This Row],[Cnt]]&lt;80,"Low",IF(Bike_Sharing_Master6[[#This Row],[Cnt]]&lt;160,"Medium","High"))</f>
        <v>Low</v>
      </c>
      <c r="U59" s="1" t="str">
        <f>VLOOKUP(Bike_Sharing_Master6[[#This Row],[Weathersit]],[1]Lookup_Weather!A:B,2,FALSE)</f>
        <v>Clear</v>
      </c>
    </row>
    <row r="60" spans="1:21" x14ac:dyDescent="0.3">
      <c r="A60">
        <v>59</v>
      </c>
      <c r="B60" s="3">
        <v>40546</v>
      </c>
      <c r="C60" s="1">
        <v>1</v>
      </c>
      <c r="D60" s="1">
        <v>0</v>
      </c>
      <c r="E60" s="1">
        <v>1</v>
      </c>
      <c r="F60" s="1">
        <v>13</v>
      </c>
      <c r="G60" t="b">
        <v>0</v>
      </c>
      <c r="H60" s="1">
        <v>1</v>
      </c>
      <c r="I60" s="1">
        <v>1</v>
      </c>
      <c r="J60" s="2">
        <v>0.24</v>
      </c>
      <c r="K60" s="2">
        <v>0.21195783619818026</v>
      </c>
      <c r="L60" s="2">
        <v>0.35</v>
      </c>
      <c r="M60" s="2">
        <v>0.28360000000000002</v>
      </c>
      <c r="N60" s="1">
        <v>8</v>
      </c>
      <c r="O60" s="1">
        <v>53</v>
      </c>
      <c r="P60" s="1">
        <v>61</v>
      </c>
      <c r="Q60" s="1" t="str">
        <f>IF(WEEKDAY(Bike_Sharing_Master6[[#This Row],[Dteday]],2)&gt;=6,"Weekend","Weekday")</f>
        <v>Weekday</v>
      </c>
      <c r="R60" s="1" t="str">
        <f xml:space="preserve"> IF(Bike_Sharing_Master6[[#This Row],[Hr]]&lt;6,"Late Night", IF(Bike_Sharing_Master6[[#This Row],[Hr]]&lt;10,"Morning Peak", IF(Bike_Sharing_Master6[[#This Row],[Hr]]&lt;17,"Daytime", IF(Bike_Sharing_Master6[[#This Row],[Hr]]&lt;21,"Evening Peak","Night"))))</f>
        <v>Daytime</v>
      </c>
      <c r="S60" s="1" t="str">
        <f>IF(Bike_Sharing_Master6[[#This Row],[Holiday]]=1,"Holiday","Non-Holiday")</f>
        <v>Non-Holiday</v>
      </c>
      <c r="T60" s="1" t="str">
        <f>IF(Bike_Sharing_Master6[[#This Row],[Cnt]]&lt;80,"Low",IF(Bike_Sharing_Master6[[#This Row],[Cnt]]&lt;160,"Medium","High"))</f>
        <v>Low</v>
      </c>
      <c r="U60" s="1" t="str">
        <f>VLOOKUP(Bike_Sharing_Master6[[#This Row],[Weathersit]],[1]Lookup_Weather!A:B,2,FALSE)</f>
        <v>Clear</v>
      </c>
    </row>
    <row r="61" spans="1:21" x14ac:dyDescent="0.3">
      <c r="A61">
        <v>60</v>
      </c>
      <c r="B61" s="3">
        <v>40546</v>
      </c>
      <c r="C61" s="1">
        <v>1</v>
      </c>
      <c r="D61" s="1">
        <v>0</v>
      </c>
      <c r="E61" s="1">
        <v>1</v>
      </c>
      <c r="F61" s="1">
        <v>14</v>
      </c>
      <c r="G61" t="b">
        <v>0</v>
      </c>
      <c r="H61" s="1">
        <v>1</v>
      </c>
      <c r="I61" s="1">
        <v>1</v>
      </c>
      <c r="J61" s="2">
        <v>0.26</v>
      </c>
      <c r="K61" s="2">
        <v>0.2424</v>
      </c>
      <c r="L61" s="2">
        <v>0.3</v>
      </c>
      <c r="M61" s="2">
        <v>0.28360000000000002</v>
      </c>
      <c r="N61" s="1">
        <v>11</v>
      </c>
      <c r="O61" s="1">
        <v>66</v>
      </c>
      <c r="P61" s="1">
        <v>77</v>
      </c>
      <c r="Q61" s="1" t="str">
        <f>IF(WEEKDAY(Bike_Sharing_Master6[[#This Row],[Dteday]],2)&gt;=6,"Weekend","Weekday")</f>
        <v>Weekday</v>
      </c>
      <c r="R61" s="1" t="str">
        <f xml:space="preserve"> IF(Bike_Sharing_Master6[[#This Row],[Hr]]&lt;6,"Late Night", IF(Bike_Sharing_Master6[[#This Row],[Hr]]&lt;10,"Morning Peak", IF(Bike_Sharing_Master6[[#This Row],[Hr]]&lt;17,"Daytime", IF(Bike_Sharing_Master6[[#This Row],[Hr]]&lt;21,"Evening Peak","Night"))))</f>
        <v>Daytime</v>
      </c>
      <c r="S61" s="1" t="str">
        <f>IF(Bike_Sharing_Master6[[#This Row],[Holiday]]=1,"Holiday","Non-Holiday")</f>
        <v>Non-Holiday</v>
      </c>
      <c r="T61" s="1" t="str">
        <f>IF(Bike_Sharing_Master6[[#This Row],[Cnt]]&lt;80,"Low",IF(Bike_Sharing_Master6[[#This Row],[Cnt]]&lt;160,"Medium","High"))</f>
        <v>Low</v>
      </c>
      <c r="U61" s="1" t="str">
        <f>VLOOKUP(Bike_Sharing_Master6[[#This Row],[Weathersit]],[1]Lookup_Weather!A:B,2,FALSE)</f>
        <v>Clear</v>
      </c>
    </row>
    <row r="62" spans="1:21" x14ac:dyDescent="0.3">
      <c r="A62">
        <v>61</v>
      </c>
      <c r="B62" s="3">
        <v>40546</v>
      </c>
      <c r="C62" s="1">
        <v>1</v>
      </c>
      <c r="D62" s="1">
        <v>0</v>
      </c>
      <c r="E62" s="1">
        <v>1</v>
      </c>
      <c r="F62" s="1">
        <v>15</v>
      </c>
      <c r="G62" t="b">
        <v>0</v>
      </c>
      <c r="H62" s="1">
        <v>1</v>
      </c>
      <c r="I62" s="1">
        <v>1</v>
      </c>
      <c r="J62" s="2">
        <v>0.26</v>
      </c>
      <c r="K62" s="2">
        <v>0.2424</v>
      </c>
      <c r="L62" s="2">
        <v>0.3</v>
      </c>
      <c r="M62" s="2">
        <v>0.25369999999999998</v>
      </c>
      <c r="N62" s="1">
        <v>14</v>
      </c>
      <c r="O62" s="1">
        <v>58</v>
      </c>
      <c r="P62" s="1">
        <v>72</v>
      </c>
      <c r="Q62" s="1" t="str">
        <f>IF(WEEKDAY(Bike_Sharing_Master6[[#This Row],[Dteday]],2)&gt;=6,"Weekend","Weekday")</f>
        <v>Weekday</v>
      </c>
      <c r="R62" s="1" t="str">
        <f xml:space="preserve"> IF(Bike_Sharing_Master6[[#This Row],[Hr]]&lt;6,"Late Night", IF(Bike_Sharing_Master6[[#This Row],[Hr]]&lt;10,"Morning Peak", IF(Bike_Sharing_Master6[[#This Row],[Hr]]&lt;17,"Daytime", IF(Bike_Sharing_Master6[[#This Row],[Hr]]&lt;21,"Evening Peak","Night"))))</f>
        <v>Daytime</v>
      </c>
      <c r="S62" s="1" t="str">
        <f>IF(Bike_Sharing_Master6[[#This Row],[Holiday]]=1,"Holiday","Non-Holiday")</f>
        <v>Non-Holiday</v>
      </c>
      <c r="T62" s="1" t="str">
        <f>IF(Bike_Sharing_Master6[[#This Row],[Cnt]]&lt;80,"Low",IF(Bike_Sharing_Master6[[#This Row],[Cnt]]&lt;160,"Medium","High"))</f>
        <v>Low</v>
      </c>
      <c r="U62" s="1" t="str">
        <f>VLOOKUP(Bike_Sharing_Master6[[#This Row],[Weathersit]],[1]Lookup_Weather!A:B,2,FALSE)</f>
        <v>Clear</v>
      </c>
    </row>
    <row r="63" spans="1:21" x14ac:dyDescent="0.3">
      <c r="A63">
        <v>62</v>
      </c>
      <c r="B63" s="3">
        <v>40546</v>
      </c>
      <c r="C63" s="1">
        <v>1</v>
      </c>
      <c r="D63" s="1">
        <v>0</v>
      </c>
      <c r="E63" s="1">
        <v>1</v>
      </c>
      <c r="F63" s="1">
        <v>16</v>
      </c>
      <c r="G63" t="b">
        <v>0</v>
      </c>
      <c r="H63" s="1">
        <v>1</v>
      </c>
      <c r="I63" s="1">
        <v>1</v>
      </c>
      <c r="J63" s="2">
        <v>0.26</v>
      </c>
      <c r="K63" s="2">
        <v>0.2424</v>
      </c>
      <c r="L63" s="2">
        <v>0.3</v>
      </c>
      <c r="M63" s="2">
        <v>0.25369999999999998</v>
      </c>
      <c r="N63" s="1">
        <v>9</v>
      </c>
      <c r="O63" s="1">
        <v>67</v>
      </c>
      <c r="P63" s="1">
        <v>76</v>
      </c>
      <c r="Q63" s="1" t="str">
        <f>IF(WEEKDAY(Bike_Sharing_Master6[[#This Row],[Dteday]],2)&gt;=6,"Weekend","Weekday")</f>
        <v>Weekday</v>
      </c>
      <c r="R63" s="1" t="str">
        <f xml:space="preserve"> IF(Bike_Sharing_Master6[[#This Row],[Hr]]&lt;6,"Late Night", IF(Bike_Sharing_Master6[[#This Row],[Hr]]&lt;10,"Morning Peak", IF(Bike_Sharing_Master6[[#This Row],[Hr]]&lt;17,"Daytime", IF(Bike_Sharing_Master6[[#This Row],[Hr]]&lt;21,"Evening Peak","Night"))))</f>
        <v>Daytime</v>
      </c>
      <c r="S63" s="1" t="str">
        <f>IF(Bike_Sharing_Master6[[#This Row],[Holiday]]=1,"Holiday","Non-Holiday")</f>
        <v>Non-Holiday</v>
      </c>
      <c r="T63" s="1" t="str">
        <f>IF(Bike_Sharing_Master6[[#This Row],[Cnt]]&lt;80,"Low",IF(Bike_Sharing_Master6[[#This Row],[Cnt]]&lt;160,"Medium","High"))</f>
        <v>Low</v>
      </c>
      <c r="U63" s="1" t="str">
        <f>VLOOKUP(Bike_Sharing_Master6[[#This Row],[Weathersit]],[1]Lookup_Weather!A:B,2,FALSE)</f>
        <v>Clear</v>
      </c>
    </row>
    <row r="64" spans="1:21" x14ac:dyDescent="0.3">
      <c r="A64">
        <v>63</v>
      </c>
      <c r="B64" s="3">
        <v>40546</v>
      </c>
      <c r="C64" s="1">
        <v>1</v>
      </c>
      <c r="D64" s="1">
        <v>0</v>
      </c>
      <c r="E64" s="1">
        <v>1</v>
      </c>
      <c r="F64" s="1">
        <v>17</v>
      </c>
      <c r="G64" t="b">
        <v>0</v>
      </c>
      <c r="H64" s="1">
        <v>1</v>
      </c>
      <c r="I64" s="1">
        <v>1</v>
      </c>
      <c r="J64" s="2">
        <v>0.24</v>
      </c>
      <c r="K64" s="2">
        <v>0.2273</v>
      </c>
      <c r="L64" s="2">
        <v>0.3</v>
      </c>
      <c r="M64" s="2">
        <v>0.22389999999999999</v>
      </c>
      <c r="N64" s="1">
        <v>11</v>
      </c>
      <c r="O64" s="1">
        <v>146</v>
      </c>
      <c r="P64" s="1">
        <v>157</v>
      </c>
      <c r="Q64" s="1" t="str">
        <f>IF(WEEKDAY(Bike_Sharing_Master6[[#This Row],[Dteday]],2)&gt;=6,"Weekend","Weekday")</f>
        <v>Weekday</v>
      </c>
      <c r="R64" s="1" t="str">
        <f xml:space="preserve"> IF(Bike_Sharing_Master6[[#This Row],[Hr]]&lt;6,"Late Night", IF(Bike_Sharing_Master6[[#This Row],[Hr]]&lt;10,"Morning Peak", IF(Bike_Sharing_Master6[[#This Row],[Hr]]&lt;17,"Daytime", IF(Bike_Sharing_Master6[[#This Row],[Hr]]&lt;21,"Evening Peak","Night"))))</f>
        <v>Evening Peak</v>
      </c>
      <c r="S64" s="1" t="str">
        <f>IF(Bike_Sharing_Master6[[#This Row],[Holiday]]=1,"Holiday","Non-Holiday")</f>
        <v>Non-Holiday</v>
      </c>
      <c r="T64" s="1" t="str">
        <f>IF(Bike_Sharing_Master6[[#This Row],[Cnt]]&lt;80,"Low",IF(Bike_Sharing_Master6[[#This Row],[Cnt]]&lt;160,"Medium","High"))</f>
        <v>Medium</v>
      </c>
      <c r="U64" s="1" t="str">
        <f>VLOOKUP(Bike_Sharing_Master6[[#This Row],[Weathersit]],[1]Lookup_Weather!A:B,2,FALSE)</f>
        <v>Clear</v>
      </c>
    </row>
    <row r="65" spans="1:21" x14ac:dyDescent="0.3">
      <c r="A65">
        <v>64</v>
      </c>
      <c r="B65" s="3">
        <v>40546</v>
      </c>
      <c r="C65" s="1">
        <v>1</v>
      </c>
      <c r="D65" s="1">
        <v>0</v>
      </c>
      <c r="E65" s="1">
        <v>1</v>
      </c>
      <c r="F65" s="1">
        <v>18</v>
      </c>
      <c r="G65" t="b">
        <v>0</v>
      </c>
      <c r="H65" s="1">
        <v>1</v>
      </c>
      <c r="I65" s="1">
        <v>1</v>
      </c>
      <c r="J65" s="2">
        <v>0.24</v>
      </c>
      <c r="K65" s="2">
        <v>0.2576</v>
      </c>
      <c r="L65" s="2">
        <v>0.32</v>
      </c>
      <c r="M65" s="2">
        <v>0.1045</v>
      </c>
      <c r="N65" s="1">
        <v>9</v>
      </c>
      <c r="O65" s="1">
        <v>148</v>
      </c>
      <c r="P65" s="1">
        <v>157</v>
      </c>
      <c r="Q65" s="1" t="str">
        <f>IF(WEEKDAY(Bike_Sharing_Master6[[#This Row],[Dteday]],2)&gt;=6,"Weekend","Weekday")</f>
        <v>Weekday</v>
      </c>
      <c r="R65" s="1" t="str">
        <f xml:space="preserve"> IF(Bike_Sharing_Master6[[#This Row],[Hr]]&lt;6,"Late Night", IF(Bike_Sharing_Master6[[#This Row],[Hr]]&lt;10,"Morning Peak", IF(Bike_Sharing_Master6[[#This Row],[Hr]]&lt;17,"Daytime", IF(Bike_Sharing_Master6[[#This Row],[Hr]]&lt;21,"Evening Peak","Night"))))</f>
        <v>Evening Peak</v>
      </c>
      <c r="S65" s="1" t="str">
        <f>IF(Bike_Sharing_Master6[[#This Row],[Holiday]]=1,"Holiday","Non-Holiday")</f>
        <v>Non-Holiday</v>
      </c>
      <c r="T65" s="1" t="str">
        <f>IF(Bike_Sharing_Master6[[#This Row],[Cnt]]&lt;80,"Low",IF(Bike_Sharing_Master6[[#This Row],[Cnt]]&lt;160,"Medium","High"))</f>
        <v>Medium</v>
      </c>
      <c r="U65" s="1" t="str">
        <f>VLOOKUP(Bike_Sharing_Master6[[#This Row],[Weathersit]],[1]Lookup_Weather!A:B,2,FALSE)</f>
        <v>Clear</v>
      </c>
    </row>
    <row r="66" spans="1:21" x14ac:dyDescent="0.3">
      <c r="A66">
        <v>65</v>
      </c>
      <c r="B66" s="3">
        <v>40546</v>
      </c>
      <c r="C66" s="1">
        <v>1</v>
      </c>
      <c r="D66" s="1">
        <v>0</v>
      </c>
      <c r="E66" s="1">
        <v>1</v>
      </c>
      <c r="F66" s="1">
        <v>19</v>
      </c>
      <c r="G66" t="b">
        <v>0</v>
      </c>
      <c r="H66" s="1">
        <v>1</v>
      </c>
      <c r="I66" s="1">
        <v>1</v>
      </c>
      <c r="J66" s="2">
        <v>0.2</v>
      </c>
      <c r="K66" s="2">
        <v>0.2576</v>
      </c>
      <c r="L66" s="2">
        <v>0.47</v>
      </c>
      <c r="M66" s="2">
        <v>0</v>
      </c>
      <c r="N66" s="1">
        <v>8</v>
      </c>
      <c r="O66" s="1">
        <v>102</v>
      </c>
      <c r="P66" s="1">
        <v>110</v>
      </c>
      <c r="Q66" s="1" t="str">
        <f>IF(WEEKDAY(Bike_Sharing_Master6[[#This Row],[Dteday]],2)&gt;=6,"Weekend","Weekday")</f>
        <v>Weekday</v>
      </c>
      <c r="R66" s="1" t="str">
        <f xml:space="preserve"> IF(Bike_Sharing_Master6[[#This Row],[Hr]]&lt;6,"Late Night", IF(Bike_Sharing_Master6[[#This Row],[Hr]]&lt;10,"Morning Peak", IF(Bike_Sharing_Master6[[#This Row],[Hr]]&lt;17,"Daytime", IF(Bike_Sharing_Master6[[#This Row],[Hr]]&lt;21,"Evening Peak","Night"))))</f>
        <v>Evening Peak</v>
      </c>
      <c r="S66" s="1" t="str">
        <f>IF(Bike_Sharing_Master6[[#This Row],[Holiday]]=1,"Holiday","Non-Holiday")</f>
        <v>Non-Holiday</v>
      </c>
      <c r="T66" s="1" t="str">
        <f>IF(Bike_Sharing_Master6[[#This Row],[Cnt]]&lt;80,"Low",IF(Bike_Sharing_Master6[[#This Row],[Cnt]]&lt;160,"Medium","High"))</f>
        <v>Medium</v>
      </c>
      <c r="U66" s="1" t="str">
        <f>VLOOKUP(Bike_Sharing_Master6[[#This Row],[Weathersit]],[1]Lookup_Weather!A:B,2,FALSE)</f>
        <v>Clear</v>
      </c>
    </row>
    <row r="67" spans="1:21" x14ac:dyDescent="0.3">
      <c r="A67">
        <v>66</v>
      </c>
      <c r="B67" s="3">
        <v>40546</v>
      </c>
      <c r="C67" s="1">
        <v>1</v>
      </c>
      <c r="D67" s="1">
        <v>0</v>
      </c>
      <c r="E67" s="1">
        <v>1</v>
      </c>
      <c r="F67" s="1">
        <v>20</v>
      </c>
      <c r="G67" t="b">
        <v>0</v>
      </c>
      <c r="H67" s="1">
        <v>1</v>
      </c>
      <c r="I67" s="1">
        <v>1</v>
      </c>
      <c r="J67" s="2">
        <v>0.2</v>
      </c>
      <c r="K67" s="2">
        <v>0.21195783619818026</v>
      </c>
      <c r="L67" s="2">
        <v>0.47</v>
      </c>
      <c r="M67" s="2">
        <v>0.1045</v>
      </c>
      <c r="N67" s="1">
        <v>3</v>
      </c>
      <c r="O67" s="1">
        <v>49</v>
      </c>
      <c r="P67" s="1">
        <v>52</v>
      </c>
      <c r="Q67" s="1" t="str">
        <f>IF(WEEKDAY(Bike_Sharing_Master6[[#This Row],[Dteday]],2)&gt;=6,"Weekend","Weekday")</f>
        <v>Weekday</v>
      </c>
      <c r="R67" s="1" t="str">
        <f xml:space="preserve"> IF(Bike_Sharing_Master6[[#This Row],[Hr]]&lt;6,"Late Night", IF(Bike_Sharing_Master6[[#This Row],[Hr]]&lt;10,"Morning Peak", IF(Bike_Sharing_Master6[[#This Row],[Hr]]&lt;17,"Daytime", IF(Bike_Sharing_Master6[[#This Row],[Hr]]&lt;21,"Evening Peak","Night"))))</f>
        <v>Evening Peak</v>
      </c>
      <c r="S67" s="1" t="str">
        <f>IF(Bike_Sharing_Master6[[#This Row],[Holiday]]=1,"Holiday","Non-Holiday")</f>
        <v>Non-Holiday</v>
      </c>
      <c r="T67" s="1" t="str">
        <f>IF(Bike_Sharing_Master6[[#This Row],[Cnt]]&lt;80,"Low",IF(Bike_Sharing_Master6[[#This Row],[Cnt]]&lt;160,"Medium","High"))</f>
        <v>Low</v>
      </c>
      <c r="U67" s="1" t="str">
        <f>VLOOKUP(Bike_Sharing_Master6[[#This Row],[Weathersit]],[1]Lookup_Weather!A:B,2,FALSE)</f>
        <v>Clear</v>
      </c>
    </row>
    <row r="68" spans="1:21" x14ac:dyDescent="0.3">
      <c r="A68">
        <v>67</v>
      </c>
      <c r="B68" s="3">
        <v>40546</v>
      </c>
      <c r="C68" s="1">
        <v>1</v>
      </c>
      <c r="D68" s="1">
        <v>0</v>
      </c>
      <c r="E68" s="1">
        <v>1</v>
      </c>
      <c r="F68" s="1">
        <v>21</v>
      </c>
      <c r="G68" t="b">
        <v>0</v>
      </c>
      <c r="H68" s="1">
        <v>1</v>
      </c>
      <c r="I68" s="1">
        <v>1</v>
      </c>
      <c r="J68" s="2">
        <v>0.18</v>
      </c>
      <c r="K68" s="2">
        <v>0.19700000000000001</v>
      </c>
      <c r="L68" s="2">
        <v>0.64</v>
      </c>
      <c r="M68" s="2">
        <v>0.1343</v>
      </c>
      <c r="N68" s="1">
        <v>3</v>
      </c>
      <c r="O68" s="1">
        <v>49</v>
      </c>
      <c r="P68" s="1">
        <v>52</v>
      </c>
      <c r="Q68" s="1" t="str">
        <f>IF(WEEKDAY(Bike_Sharing_Master6[[#This Row],[Dteday]],2)&gt;=6,"Weekend","Weekday")</f>
        <v>Weekday</v>
      </c>
      <c r="R68" s="1" t="str">
        <f xml:space="preserve"> IF(Bike_Sharing_Master6[[#This Row],[Hr]]&lt;6,"Late Night", IF(Bike_Sharing_Master6[[#This Row],[Hr]]&lt;10,"Morning Peak", IF(Bike_Sharing_Master6[[#This Row],[Hr]]&lt;17,"Daytime", IF(Bike_Sharing_Master6[[#This Row],[Hr]]&lt;21,"Evening Peak","Night"))))</f>
        <v>Night</v>
      </c>
      <c r="S68" s="1" t="str">
        <f>IF(Bike_Sharing_Master6[[#This Row],[Holiday]]=1,"Holiday","Non-Holiday")</f>
        <v>Non-Holiday</v>
      </c>
      <c r="T68" s="1" t="str">
        <f>IF(Bike_Sharing_Master6[[#This Row],[Cnt]]&lt;80,"Low",IF(Bike_Sharing_Master6[[#This Row],[Cnt]]&lt;160,"Medium","High"))</f>
        <v>Low</v>
      </c>
      <c r="U68" s="1" t="str">
        <f>VLOOKUP(Bike_Sharing_Master6[[#This Row],[Weathersit]],[1]Lookup_Weather!A:B,2,FALSE)</f>
        <v>Clear</v>
      </c>
    </row>
    <row r="69" spans="1:21" x14ac:dyDescent="0.3">
      <c r="A69">
        <v>68</v>
      </c>
      <c r="B69" s="3">
        <v>40546</v>
      </c>
      <c r="C69" s="1">
        <v>1</v>
      </c>
      <c r="D69" s="1">
        <v>0</v>
      </c>
      <c r="E69" s="1">
        <v>1</v>
      </c>
      <c r="F69" s="1">
        <v>22</v>
      </c>
      <c r="G69" t="b">
        <v>0</v>
      </c>
      <c r="H69" s="1">
        <v>1</v>
      </c>
      <c r="I69" s="1">
        <v>1</v>
      </c>
      <c r="J69" s="2">
        <v>0.14000000000000001</v>
      </c>
      <c r="K69" s="2">
        <v>0.1515</v>
      </c>
      <c r="L69" s="2">
        <v>0.69</v>
      </c>
      <c r="M69" s="2">
        <v>0.1343</v>
      </c>
      <c r="N69" s="1">
        <v>0</v>
      </c>
      <c r="O69" s="1">
        <v>20</v>
      </c>
      <c r="P69" s="1">
        <v>20</v>
      </c>
      <c r="Q69" s="1" t="str">
        <f>IF(WEEKDAY(Bike_Sharing_Master6[[#This Row],[Dteday]],2)&gt;=6,"Weekend","Weekday")</f>
        <v>Weekday</v>
      </c>
      <c r="R69" s="1" t="str">
        <f xml:space="preserve"> IF(Bike_Sharing_Master6[[#This Row],[Hr]]&lt;6,"Late Night", IF(Bike_Sharing_Master6[[#This Row],[Hr]]&lt;10,"Morning Peak", IF(Bike_Sharing_Master6[[#This Row],[Hr]]&lt;17,"Daytime", IF(Bike_Sharing_Master6[[#This Row],[Hr]]&lt;21,"Evening Peak","Night"))))</f>
        <v>Night</v>
      </c>
      <c r="S69" s="1" t="str">
        <f>IF(Bike_Sharing_Master6[[#This Row],[Holiday]]=1,"Holiday","Non-Holiday")</f>
        <v>Non-Holiday</v>
      </c>
      <c r="T69" s="1" t="str">
        <f>IF(Bike_Sharing_Master6[[#This Row],[Cnt]]&lt;80,"Low",IF(Bike_Sharing_Master6[[#This Row],[Cnt]]&lt;160,"Medium","High"))</f>
        <v>Low</v>
      </c>
      <c r="U69" s="1" t="str">
        <f>VLOOKUP(Bike_Sharing_Master6[[#This Row],[Weathersit]],[1]Lookup_Weather!A:B,2,FALSE)</f>
        <v>Clear</v>
      </c>
    </row>
    <row r="70" spans="1:21" x14ac:dyDescent="0.3">
      <c r="A70">
        <v>69</v>
      </c>
      <c r="B70" s="3">
        <v>40546</v>
      </c>
      <c r="C70" s="1">
        <v>1</v>
      </c>
      <c r="D70" s="1">
        <v>0</v>
      </c>
      <c r="E70" s="1">
        <v>1</v>
      </c>
      <c r="F70" s="1">
        <v>23</v>
      </c>
      <c r="G70" t="b">
        <v>0</v>
      </c>
      <c r="H70" s="1">
        <v>1</v>
      </c>
      <c r="I70" s="1">
        <v>1</v>
      </c>
      <c r="J70" s="2">
        <v>0.18</v>
      </c>
      <c r="K70" s="2">
        <v>0.21210000000000001</v>
      </c>
      <c r="L70" s="2">
        <v>0.55000000000000004</v>
      </c>
      <c r="M70" s="2">
        <v>0.1045</v>
      </c>
      <c r="N70" s="1">
        <v>1</v>
      </c>
      <c r="O70" s="1">
        <v>11</v>
      </c>
      <c r="P70" s="1">
        <v>12</v>
      </c>
      <c r="Q70" s="1" t="str">
        <f>IF(WEEKDAY(Bike_Sharing_Master6[[#This Row],[Dteday]],2)&gt;=6,"Weekend","Weekday")</f>
        <v>Weekday</v>
      </c>
      <c r="R70" s="1" t="str">
        <f xml:space="preserve"> IF(Bike_Sharing_Master6[[#This Row],[Hr]]&lt;6,"Late Night", IF(Bike_Sharing_Master6[[#This Row],[Hr]]&lt;10,"Morning Peak", IF(Bike_Sharing_Master6[[#This Row],[Hr]]&lt;17,"Daytime", IF(Bike_Sharing_Master6[[#This Row],[Hr]]&lt;21,"Evening Peak","Night"))))</f>
        <v>Night</v>
      </c>
      <c r="S70" s="1" t="str">
        <f>IF(Bike_Sharing_Master6[[#This Row],[Holiday]]=1,"Holiday","Non-Holiday")</f>
        <v>Non-Holiday</v>
      </c>
      <c r="T70" s="1" t="str">
        <f>IF(Bike_Sharing_Master6[[#This Row],[Cnt]]&lt;80,"Low",IF(Bike_Sharing_Master6[[#This Row],[Cnt]]&lt;160,"Medium","High"))</f>
        <v>Low</v>
      </c>
      <c r="U70" s="1" t="str">
        <f>VLOOKUP(Bike_Sharing_Master6[[#This Row],[Weathersit]],[1]Lookup_Weather!A:B,2,FALSE)</f>
        <v>Clear</v>
      </c>
    </row>
    <row r="71" spans="1:21" x14ac:dyDescent="0.3">
      <c r="A71">
        <v>70</v>
      </c>
      <c r="B71" s="3">
        <v>40547</v>
      </c>
      <c r="C71" s="1">
        <v>1</v>
      </c>
      <c r="D71" s="1">
        <v>0</v>
      </c>
      <c r="E71" s="1">
        <v>1</v>
      </c>
      <c r="F71" s="1">
        <v>0</v>
      </c>
      <c r="G71" t="b">
        <v>0</v>
      </c>
      <c r="H71" s="1">
        <v>2</v>
      </c>
      <c r="I71" s="1">
        <v>1</v>
      </c>
      <c r="J71" s="2">
        <v>0.16</v>
      </c>
      <c r="K71" s="2">
        <v>0.21195783619818026</v>
      </c>
      <c r="L71" s="2">
        <v>0.55000000000000004</v>
      </c>
      <c r="M71" s="2">
        <v>0.1045</v>
      </c>
      <c r="N71" s="1">
        <v>0</v>
      </c>
      <c r="O71" s="1">
        <v>5</v>
      </c>
      <c r="P71" s="1">
        <v>5</v>
      </c>
      <c r="Q71" s="1" t="str">
        <f>IF(WEEKDAY(Bike_Sharing_Master6[[#This Row],[Dteday]],2)&gt;=6,"Weekend","Weekday")</f>
        <v>Weekday</v>
      </c>
      <c r="R71" s="1" t="str">
        <f xml:space="preserve"> IF(Bike_Sharing_Master6[[#This Row],[Hr]]&lt;6,"Late Night", IF(Bike_Sharing_Master6[[#This Row],[Hr]]&lt;10,"Morning Peak", IF(Bike_Sharing_Master6[[#This Row],[Hr]]&lt;17,"Daytime", IF(Bike_Sharing_Master6[[#This Row],[Hr]]&lt;21,"Evening Peak","Night"))))</f>
        <v>Late Night</v>
      </c>
      <c r="S71" s="1" t="str">
        <f>IF(Bike_Sharing_Master6[[#This Row],[Holiday]]=1,"Holiday","Non-Holiday")</f>
        <v>Non-Holiday</v>
      </c>
      <c r="T71" s="1" t="str">
        <f>IF(Bike_Sharing_Master6[[#This Row],[Cnt]]&lt;80,"Low",IF(Bike_Sharing_Master6[[#This Row],[Cnt]]&lt;160,"Medium","High"))</f>
        <v>Low</v>
      </c>
      <c r="U71" s="1" t="str">
        <f>VLOOKUP(Bike_Sharing_Master6[[#This Row],[Weathersit]],[1]Lookup_Weather!A:B,2,FALSE)</f>
        <v>Clear</v>
      </c>
    </row>
    <row r="72" spans="1:21" x14ac:dyDescent="0.3">
      <c r="A72">
        <v>71</v>
      </c>
      <c r="B72" s="3">
        <v>40547</v>
      </c>
      <c r="C72" s="1">
        <v>1</v>
      </c>
      <c r="D72" s="1">
        <v>0</v>
      </c>
      <c r="E72" s="1">
        <v>1</v>
      </c>
      <c r="F72" s="1">
        <v>1</v>
      </c>
      <c r="G72" t="b">
        <v>0</v>
      </c>
      <c r="H72" s="1">
        <v>2</v>
      </c>
      <c r="I72" s="1">
        <v>1</v>
      </c>
      <c r="J72" s="2">
        <v>0.16</v>
      </c>
      <c r="K72" s="2">
        <v>0.18179999999999999</v>
      </c>
      <c r="L72" s="2">
        <v>0.59</v>
      </c>
      <c r="M72" s="2">
        <v>0.1045</v>
      </c>
      <c r="N72" s="1">
        <v>0</v>
      </c>
      <c r="O72" s="1">
        <v>2</v>
      </c>
      <c r="P72" s="1">
        <v>2</v>
      </c>
      <c r="Q72" s="1" t="str">
        <f>IF(WEEKDAY(Bike_Sharing_Master6[[#This Row],[Dteday]],2)&gt;=6,"Weekend","Weekday")</f>
        <v>Weekday</v>
      </c>
      <c r="R72" s="1" t="str">
        <f xml:space="preserve"> IF(Bike_Sharing_Master6[[#This Row],[Hr]]&lt;6,"Late Night", IF(Bike_Sharing_Master6[[#This Row],[Hr]]&lt;10,"Morning Peak", IF(Bike_Sharing_Master6[[#This Row],[Hr]]&lt;17,"Daytime", IF(Bike_Sharing_Master6[[#This Row],[Hr]]&lt;21,"Evening Peak","Night"))))</f>
        <v>Late Night</v>
      </c>
      <c r="S72" s="1" t="str">
        <f>IF(Bike_Sharing_Master6[[#This Row],[Holiday]]=1,"Holiday","Non-Holiday")</f>
        <v>Non-Holiday</v>
      </c>
      <c r="T72" s="1" t="str">
        <f>IF(Bike_Sharing_Master6[[#This Row],[Cnt]]&lt;80,"Low",IF(Bike_Sharing_Master6[[#This Row],[Cnt]]&lt;160,"Medium","High"))</f>
        <v>Low</v>
      </c>
      <c r="U72" s="1" t="str">
        <f>VLOOKUP(Bike_Sharing_Master6[[#This Row],[Weathersit]],[1]Lookup_Weather!A:B,2,FALSE)</f>
        <v>Clear</v>
      </c>
    </row>
    <row r="73" spans="1:21" x14ac:dyDescent="0.3">
      <c r="A73">
        <v>72</v>
      </c>
      <c r="B73" s="3">
        <v>40547</v>
      </c>
      <c r="C73" s="1">
        <v>1</v>
      </c>
      <c r="D73" s="1">
        <v>0</v>
      </c>
      <c r="E73" s="1">
        <v>1</v>
      </c>
      <c r="F73" s="1">
        <v>2</v>
      </c>
      <c r="G73" t="b">
        <v>0</v>
      </c>
      <c r="H73" s="1">
        <v>2</v>
      </c>
      <c r="I73" s="1">
        <v>1</v>
      </c>
      <c r="J73" s="2">
        <v>0.14000000000000001</v>
      </c>
      <c r="K73" s="2">
        <v>0.1515</v>
      </c>
      <c r="L73" s="2">
        <v>0.63</v>
      </c>
      <c r="M73" s="2">
        <v>0.1343</v>
      </c>
      <c r="N73" s="1">
        <v>0</v>
      </c>
      <c r="O73" s="1">
        <v>1</v>
      </c>
      <c r="P73" s="1">
        <v>1</v>
      </c>
      <c r="Q73" s="1" t="str">
        <f>IF(WEEKDAY(Bike_Sharing_Master6[[#This Row],[Dteday]],2)&gt;=6,"Weekend","Weekday")</f>
        <v>Weekday</v>
      </c>
      <c r="R73" s="1" t="str">
        <f xml:space="preserve"> IF(Bike_Sharing_Master6[[#This Row],[Hr]]&lt;6,"Late Night", IF(Bike_Sharing_Master6[[#This Row],[Hr]]&lt;10,"Morning Peak", IF(Bike_Sharing_Master6[[#This Row],[Hr]]&lt;17,"Daytime", IF(Bike_Sharing_Master6[[#This Row],[Hr]]&lt;21,"Evening Peak","Night"))))</f>
        <v>Late Night</v>
      </c>
      <c r="S73" s="1" t="str">
        <f>IF(Bike_Sharing_Master6[[#This Row],[Holiday]]=1,"Holiday","Non-Holiday")</f>
        <v>Non-Holiday</v>
      </c>
      <c r="T73" s="1" t="str">
        <f>IF(Bike_Sharing_Master6[[#This Row],[Cnt]]&lt;80,"Low",IF(Bike_Sharing_Master6[[#This Row],[Cnt]]&lt;160,"Medium","High"))</f>
        <v>Low</v>
      </c>
      <c r="U73" s="1" t="str">
        <f>VLOOKUP(Bike_Sharing_Master6[[#This Row],[Weathersit]],[1]Lookup_Weather!A:B,2,FALSE)</f>
        <v>Clear</v>
      </c>
    </row>
    <row r="74" spans="1:21" x14ac:dyDescent="0.3">
      <c r="A74">
        <v>73</v>
      </c>
      <c r="B74" s="3">
        <v>40547</v>
      </c>
      <c r="C74" s="1">
        <v>1</v>
      </c>
      <c r="D74" s="1">
        <v>0</v>
      </c>
      <c r="E74" s="1">
        <v>1</v>
      </c>
      <c r="F74" s="1">
        <v>4</v>
      </c>
      <c r="G74" t="b">
        <v>0</v>
      </c>
      <c r="H74" s="1">
        <v>2</v>
      </c>
      <c r="I74" s="1">
        <v>1</v>
      </c>
      <c r="J74" s="2">
        <v>0.14000000000000001</v>
      </c>
      <c r="K74" s="2">
        <v>0.18179999999999999</v>
      </c>
      <c r="L74" s="2">
        <v>0.63</v>
      </c>
      <c r="M74" s="2">
        <v>8.9599999999999999E-2</v>
      </c>
      <c r="N74" s="1">
        <v>0</v>
      </c>
      <c r="O74" s="1">
        <v>2</v>
      </c>
      <c r="P74" s="1">
        <v>2</v>
      </c>
      <c r="Q74" s="1" t="str">
        <f>IF(WEEKDAY(Bike_Sharing_Master6[[#This Row],[Dteday]],2)&gt;=6,"Weekend","Weekday")</f>
        <v>Weekday</v>
      </c>
      <c r="R74" s="1" t="str">
        <f xml:space="preserve"> IF(Bike_Sharing_Master6[[#This Row],[Hr]]&lt;6,"Late Night", IF(Bike_Sharing_Master6[[#This Row],[Hr]]&lt;10,"Morning Peak", IF(Bike_Sharing_Master6[[#This Row],[Hr]]&lt;17,"Daytime", IF(Bike_Sharing_Master6[[#This Row],[Hr]]&lt;21,"Evening Peak","Night"))))</f>
        <v>Late Night</v>
      </c>
      <c r="S74" s="1" t="str">
        <f>IF(Bike_Sharing_Master6[[#This Row],[Holiday]]=1,"Holiday","Non-Holiday")</f>
        <v>Non-Holiday</v>
      </c>
      <c r="T74" s="1" t="str">
        <f>IF(Bike_Sharing_Master6[[#This Row],[Cnt]]&lt;80,"Low",IF(Bike_Sharing_Master6[[#This Row],[Cnt]]&lt;160,"Medium","High"))</f>
        <v>Low</v>
      </c>
      <c r="U74" s="1" t="str">
        <f>VLOOKUP(Bike_Sharing_Master6[[#This Row],[Weathersit]],[1]Lookup_Weather!A:B,2,FALSE)</f>
        <v>Clear</v>
      </c>
    </row>
    <row r="75" spans="1:21" x14ac:dyDescent="0.3">
      <c r="A75">
        <v>74</v>
      </c>
      <c r="B75" s="3">
        <v>40547</v>
      </c>
      <c r="C75" s="1">
        <v>1</v>
      </c>
      <c r="D75" s="1">
        <v>0</v>
      </c>
      <c r="E75" s="1">
        <v>1</v>
      </c>
      <c r="F75" s="1">
        <v>5</v>
      </c>
      <c r="G75" t="b">
        <v>0</v>
      </c>
      <c r="H75" s="1">
        <v>2</v>
      </c>
      <c r="I75" s="1">
        <v>1</v>
      </c>
      <c r="J75" s="2">
        <v>0.12</v>
      </c>
      <c r="K75" s="2">
        <v>0.1515</v>
      </c>
      <c r="L75" s="2">
        <v>0.68</v>
      </c>
      <c r="M75" s="2">
        <v>0.1045</v>
      </c>
      <c r="N75" s="1">
        <v>0</v>
      </c>
      <c r="O75" s="1">
        <v>4</v>
      </c>
      <c r="P75" s="1">
        <v>4</v>
      </c>
      <c r="Q75" s="1" t="str">
        <f>IF(WEEKDAY(Bike_Sharing_Master6[[#This Row],[Dteday]],2)&gt;=6,"Weekend","Weekday")</f>
        <v>Weekday</v>
      </c>
      <c r="R75" s="1" t="str">
        <f xml:space="preserve"> IF(Bike_Sharing_Master6[[#This Row],[Hr]]&lt;6,"Late Night", IF(Bike_Sharing_Master6[[#This Row],[Hr]]&lt;10,"Morning Peak", IF(Bike_Sharing_Master6[[#This Row],[Hr]]&lt;17,"Daytime", IF(Bike_Sharing_Master6[[#This Row],[Hr]]&lt;21,"Evening Peak","Night"))))</f>
        <v>Late Night</v>
      </c>
      <c r="S75" s="1" t="str">
        <f>IF(Bike_Sharing_Master6[[#This Row],[Holiday]]=1,"Holiday","Non-Holiday")</f>
        <v>Non-Holiday</v>
      </c>
      <c r="T75" s="1" t="str">
        <f>IF(Bike_Sharing_Master6[[#This Row],[Cnt]]&lt;80,"Low",IF(Bike_Sharing_Master6[[#This Row],[Cnt]]&lt;160,"Medium","High"))</f>
        <v>Low</v>
      </c>
      <c r="U75" s="1" t="str">
        <f>VLOOKUP(Bike_Sharing_Master6[[#This Row],[Weathersit]],[1]Lookup_Weather!A:B,2,FALSE)</f>
        <v>Clear</v>
      </c>
    </row>
    <row r="76" spans="1:21" x14ac:dyDescent="0.3">
      <c r="A76">
        <v>75</v>
      </c>
      <c r="B76" s="3">
        <v>40547</v>
      </c>
      <c r="C76" s="1">
        <v>1</v>
      </c>
      <c r="D76" s="1">
        <v>0</v>
      </c>
      <c r="E76" s="1">
        <v>1</v>
      </c>
      <c r="F76" s="1">
        <v>6</v>
      </c>
      <c r="G76" t="b">
        <v>0</v>
      </c>
      <c r="H76" s="1">
        <v>2</v>
      </c>
      <c r="I76" s="1">
        <v>1</v>
      </c>
      <c r="J76" s="2">
        <v>0.12</v>
      </c>
      <c r="K76" s="2">
        <v>0.1515</v>
      </c>
      <c r="L76" s="2">
        <v>0.74</v>
      </c>
      <c r="M76" s="2">
        <v>0.1045</v>
      </c>
      <c r="N76" s="1">
        <v>0</v>
      </c>
      <c r="O76" s="1">
        <v>36</v>
      </c>
      <c r="P76" s="1">
        <v>36</v>
      </c>
      <c r="Q76" s="1" t="str">
        <f>IF(WEEKDAY(Bike_Sharing_Master6[[#This Row],[Dteday]],2)&gt;=6,"Weekend","Weekday")</f>
        <v>Weekday</v>
      </c>
      <c r="R76" s="1" t="str">
        <f xml:space="preserve"> IF(Bike_Sharing_Master6[[#This Row],[Hr]]&lt;6,"Late Night", IF(Bike_Sharing_Master6[[#This Row],[Hr]]&lt;10,"Morning Peak", IF(Bike_Sharing_Master6[[#This Row],[Hr]]&lt;17,"Daytime", IF(Bike_Sharing_Master6[[#This Row],[Hr]]&lt;21,"Evening Peak","Night"))))</f>
        <v>Morning Peak</v>
      </c>
      <c r="S76" s="1" t="str">
        <f>IF(Bike_Sharing_Master6[[#This Row],[Holiday]]=1,"Holiday","Non-Holiday")</f>
        <v>Non-Holiday</v>
      </c>
      <c r="T76" s="1" t="str">
        <f>IF(Bike_Sharing_Master6[[#This Row],[Cnt]]&lt;80,"Low",IF(Bike_Sharing_Master6[[#This Row],[Cnt]]&lt;160,"Medium","High"))</f>
        <v>Low</v>
      </c>
      <c r="U76" s="1" t="str">
        <f>VLOOKUP(Bike_Sharing_Master6[[#This Row],[Weathersit]],[1]Lookup_Weather!A:B,2,FALSE)</f>
        <v>Clear</v>
      </c>
    </row>
    <row r="77" spans="1:21" x14ac:dyDescent="0.3">
      <c r="A77">
        <v>76</v>
      </c>
      <c r="B77" s="3">
        <v>40547</v>
      </c>
      <c r="C77" s="1">
        <v>1</v>
      </c>
      <c r="D77" s="1">
        <v>0</v>
      </c>
      <c r="E77" s="1">
        <v>1</v>
      </c>
      <c r="F77" s="1">
        <v>7</v>
      </c>
      <c r="G77" t="b">
        <v>0</v>
      </c>
      <c r="H77" s="1">
        <v>2</v>
      </c>
      <c r="I77" s="1">
        <v>1</v>
      </c>
      <c r="J77" s="2">
        <v>0.12</v>
      </c>
      <c r="K77" s="2">
        <v>0.1515</v>
      </c>
      <c r="L77" s="2">
        <v>0.74</v>
      </c>
      <c r="M77" s="2">
        <v>0.1343</v>
      </c>
      <c r="N77" s="1">
        <v>2</v>
      </c>
      <c r="O77" s="1">
        <v>92</v>
      </c>
      <c r="P77" s="1">
        <v>94</v>
      </c>
      <c r="Q77" s="1" t="str">
        <f>IF(WEEKDAY(Bike_Sharing_Master6[[#This Row],[Dteday]],2)&gt;=6,"Weekend","Weekday")</f>
        <v>Weekday</v>
      </c>
      <c r="R77" s="1" t="str">
        <f xml:space="preserve"> IF(Bike_Sharing_Master6[[#This Row],[Hr]]&lt;6,"Late Night", IF(Bike_Sharing_Master6[[#This Row],[Hr]]&lt;10,"Morning Peak", IF(Bike_Sharing_Master6[[#This Row],[Hr]]&lt;17,"Daytime", IF(Bike_Sharing_Master6[[#This Row],[Hr]]&lt;21,"Evening Peak","Night"))))</f>
        <v>Morning Peak</v>
      </c>
      <c r="S77" s="1" t="str">
        <f>IF(Bike_Sharing_Master6[[#This Row],[Holiday]]=1,"Holiday","Non-Holiday")</f>
        <v>Non-Holiday</v>
      </c>
      <c r="T77" s="1" t="str">
        <f>IF(Bike_Sharing_Master6[[#This Row],[Cnt]]&lt;80,"Low",IF(Bike_Sharing_Master6[[#This Row],[Cnt]]&lt;160,"Medium","High"))</f>
        <v>Medium</v>
      </c>
      <c r="U77" s="1" t="str">
        <f>VLOOKUP(Bike_Sharing_Master6[[#This Row],[Weathersit]],[1]Lookup_Weather!A:B,2,FALSE)</f>
        <v>Clear</v>
      </c>
    </row>
    <row r="78" spans="1:21" x14ac:dyDescent="0.3">
      <c r="A78">
        <v>77</v>
      </c>
      <c r="B78" s="3">
        <v>40547</v>
      </c>
      <c r="C78" s="1">
        <v>1</v>
      </c>
      <c r="D78" s="1">
        <v>0</v>
      </c>
      <c r="E78" s="1">
        <v>1</v>
      </c>
      <c r="F78" s="1">
        <v>8</v>
      </c>
      <c r="G78" t="b">
        <v>0</v>
      </c>
      <c r="H78" s="1">
        <v>2</v>
      </c>
      <c r="I78" s="1">
        <v>1</v>
      </c>
      <c r="J78" s="2">
        <v>0.14000000000000001</v>
      </c>
      <c r="K78" s="2">
        <v>0.1515</v>
      </c>
      <c r="L78" s="2">
        <v>0.69</v>
      </c>
      <c r="M78" s="2">
        <v>0.16420000000000001</v>
      </c>
      <c r="N78" s="1">
        <v>2</v>
      </c>
      <c r="O78" s="1">
        <v>177</v>
      </c>
      <c r="P78" s="1">
        <v>179</v>
      </c>
      <c r="Q78" s="1" t="str">
        <f>IF(WEEKDAY(Bike_Sharing_Master6[[#This Row],[Dteday]],2)&gt;=6,"Weekend","Weekday")</f>
        <v>Weekday</v>
      </c>
      <c r="R78" s="1" t="str">
        <f xml:space="preserve"> IF(Bike_Sharing_Master6[[#This Row],[Hr]]&lt;6,"Late Night", IF(Bike_Sharing_Master6[[#This Row],[Hr]]&lt;10,"Morning Peak", IF(Bike_Sharing_Master6[[#This Row],[Hr]]&lt;17,"Daytime", IF(Bike_Sharing_Master6[[#This Row],[Hr]]&lt;21,"Evening Peak","Night"))))</f>
        <v>Morning Peak</v>
      </c>
      <c r="S78" s="1" t="str">
        <f>IF(Bike_Sharing_Master6[[#This Row],[Holiday]]=1,"Holiday","Non-Holiday")</f>
        <v>Non-Holiday</v>
      </c>
      <c r="T78" s="1" t="str">
        <f>IF(Bike_Sharing_Master6[[#This Row],[Cnt]]&lt;80,"Low",IF(Bike_Sharing_Master6[[#This Row],[Cnt]]&lt;160,"Medium","High"))</f>
        <v>High</v>
      </c>
      <c r="U78" s="1" t="str">
        <f>VLOOKUP(Bike_Sharing_Master6[[#This Row],[Weathersit]],[1]Lookup_Weather!A:B,2,FALSE)</f>
        <v>Clear</v>
      </c>
    </row>
    <row r="79" spans="1:21" x14ac:dyDescent="0.3">
      <c r="A79">
        <v>78</v>
      </c>
      <c r="B79" s="3">
        <v>40547</v>
      </c>
      <c r="C79" s="1">
        <v>1</v>
      </c>
      <c r="D79" s="1">
        <v>0</v>
      </c>
      <c r="E79" s="1">
        <v>1</v>
      </c>
      <c r="F79" s="1">
        <v>9</v>
      </c>
      <c r="G79" t="b">
        <v>0</v>
      </c>
      <c r="H79" s="1">
        <v>2</v>
      </c>
      <c r="I79" s="1">
        <v>1</v>
      </c>
      <c r="J79" s="2">
        <v>0.16</v>
      </c>
      <c r="K79" s="2">
        <v>0.1515</v>
      </c>
      <c r="L79" s="2">
        <v>0.64</v>
      </c>
      <c r="M79" s="2">
        <v>0.22389999999999999</v>
      </c>
      <c r="N79" s="1">
        <v>2</v>
      </c>
      <c r="O79" s="1">
        <v>98</v>
      </c>
      <c r="P79" s="1">
        <v>100</v>
      </c>
      <c r="Q79" s="1" t="str">
        <f>IF(WEEKDAY(Bike_Sharing_Master6[[#This Row],[Dteday]],2)&gt;=6,"Weekend","Weekday")</f>
        <v>Weekday</v>
      </c>
      <c r="R79" s="1" t="str">
        <f xml:space="preserve"> IF(Bike_Sharing_Master6[[#This Row],[Hr]]&lt;6,"Late Night", IF(Bike_Sharing_Master6[[#This Row],[Hr]]&lt;10,"Morning Peak", IF(Bike_Sharing_Master6[[#This Row],[Hr]]&lt;17,"Daytime", IF(Bike_Sharing_Master6[[#This Row],[Hr]]&lt;21,"Evening Peak","Night"))))</f>
        <v>Morning Peak</v>
      </c>
      <c r="S79" s="1" t="str">
        <f>IF(Bike_Sharing_Master6[[#This Row],[Holiday]]=1,"Holiday","Non-Holiday")</f>
        <v>Non-Holiday</v>
      </c>
      <c r="T79" s="1" t="str">
        <f>IF(Bike_Sharing_Master6[[#This Row],[Cnt]]&lt;80,"Low",IF(Bike_Sharing_Master6[[#This Row],[Cnt]]&lt;160,"Medium","High"))</f>
        <v>Medium</v>
      </c>
      <c r="U79" s="1" t="str">
        <f>VLOOKUP(Bike_Sharing_Master6[[#This Row],[Weathersit]],[1]Lookup_Weather!A:B,2,FALSE)</f>
        <v>Clear</v>
      </c>
    </row>
    <row r="80" spans="1:21" x14ac:dyDescent="0.3">
      <c r="A80">
        <v>79</v>
      </c>
      <c r="B80" s="3">
        <v>40547</v>
      </c>
      <c r="C80" s="1">
        <v>1</v>
      </c>
      <c r="D80" s="1">
        <v>0</v>
      </c>
      <c r="E80" s="1">
        <v>1</v>
      </c>
      <c r="F80" s="1">
        <v>10</v>
      </c>
      <c r="G80" t="b">
        <v>0</v>
      </c>
      <c r="H80" s="1">
        <v>2</v>
      </c>
      <c r="I80" s="1">
        <v>2</v>
      </c>
      <c r="J80" s="2">
        <v>0.16</v>
      </c>
      <c r="K80" s="2">
        <v>0.13639999999999999</v>
      </c>
      <c r="L80" s="2">
        <v>0.69</v>
      </c>
      <c r="M80" s="2">
        <v>0.32840000000000003</v>
      </c>
      <c r="N80" s="1">
        <v>5</v>
      </c>
      <c r="O80" s="1">
        <v>37</v>
      </c>
      <c r="P80" s="1">
        <v>42</v>
      </c>
      <c r="Q80" s="1" t="str">
        <f>IF(WEEKDAY(Bike_Sharing_Master6[[#This Row],[Dteday]],2)&gt;=6,"Weekend","Weekday")</f>
        <v>Weekday</v>
      </c>
      <c r="R80" s="1" t="str">
        <f xml:space="preserve"> IF(Bike_Sharing_Master6[[#This Row],[Hr]]&lt;6,"Late Night", IF(Bike_Sharing_Master6[[#This Row],[Hr]]&lt;10,"Morning Peak", IF(Bike_Sharing_Master6[[#This Row],[Hr]]&lt;17,"Daytime", IF(Bike_Sharing_Master6[[#This Row],[Hr]]&lt;21,"Evening Peak","Night"))))</f>
        <v>Daytime</v>
      </c>
      <c r="S80" s="1" t="str">
        <f>IF(Bike_Sharing_Master6[[#This Row],[Holiday]]=1,"Holiday","Non-Holiday")</f>
        <v>Non-Holiday</v>
      </c>
      <c r="T80" s="1" t="str">
        <f>IF(Bike_Sharing_Master6[[#This Row],[Cnt]]&lt;80,"Low",IF(Bike_Sharing_Master6[[#This Row],[Cnt]]&lt;160,"Medium","High"))</f>
        <v>Low</v>
      </c>
      <c r="U80" s="1" t="str">
        <f>VLOOKUP(Bike_Sharing_Master6[[#This Row],[Weathersit]],[1]Lookup_Weather!A:B,2,FALSE)</f>
        <v>Mist</v>
      </c>
    </row>
    <row r="81" spans="1:21" x14ac:dyDescent="0.3">
      <c r="A81">
        <v>80</v>
      </c>
      <c r="B81" s="3">
        <v>40547</v>
      </c>
      <c r="C81" s="1">
        <v>1</v>
      </c>
      <c r="D81" s="1">
        <v>0</v>
      </c>
      <c r="E81" s="1">
        <v>1</v>
      </c>
      <c r="F81" s="1">
        <v>11</v>
      </c>
      <c r="G81" t="b">
        <v>0</v>
      </c>
      <c r="H81" s="1">
        <v>2</v>
      </c>
      <c r="I81" s="1">
        <v>1</v>
      </c>
      <c r="J81" s="2">
        <v>0.22</v>
      </c>
      <c r="K81" s="2">
        <v>0.21210000000000001</v>
      </c>
      <c r="L81" s="2">
        <v>0.51</v>
      </c>
      <c r="M81" s="2">
        <v>0.29849999999999999</v>
      </c>
      <c r="N81" s="1">
        <v>7</v>
      </c>
      <c r="O81" s="1">
        <v>50</v>
      </c>
      <c r="P81" s="1">
        <v>57</v>
      </c>
      <c r="Q81" s="1" t="str">
        <f>IF(WEEKDAY(Bike_Sharing_Master6[[#This Row],[Dteday]],2)&gt;=6,"Weekend","Weekday")</f>
        <v>Weekday</v>
      </c>
      <c r="R81" s="1" t="str">
        <f xml:space="preserve"> IF(Bike_Sharing_Master6[[#This Row],[Hr]]&lt;6,"Late Night", IF(Bike_Sharing_Master6[[#This Row],[Hr]]&lt;10,"Morning Peak", IF(Bike_Sharing_Master6[[#This Row],[Hr]]&lt;17,"Daytime", IF(Bike_Sharing_Master6[[#This Row],[Hr]]&lt;21,"Evening Peak","Night"))))</f>
        <v>Daytime</v>
      </c>
      <c r="S81" s="1" t="str">
        <f>IF(Bike_Sharing_Master6[[#This Row],[Holiday]]=1,"Holiday","Non-Holiday")</f>
        <v>Non-Holiday</v>
      </c>
      <c r="T81" s="1" t="str">
        <f>IF(Bike_Sharing_Master6[[#This Row],[Cnt]]&lt;80,"Low",IF(Bike_Sharing_Master6[[#This Row],[Cnt]]&lt;160,"Medium","High"))</f>
        <v>Low</v>
      </c>
      <c r="U81" s="1" t="str">
        <f>VLOOKUP(Bike_Sharing_Master6[[#This Row],[Weathersit]],[1]Lookup_Weather!A:B,2,FALSE)</f>
        <v>Clear</v>
      </c>
    </row>
    <row r="82" spans="1:21" x14ac:dyDescent="0.3">
      <c r="A82">
        <v>81</v>
      </c>
      <c r="B82" s="3">
        <v>40547</v>
      </c>
      <c r="C82" s="1">
        <v>1</v>
      </c>
      <c r="D82" s="1">
        <v>0</v>
      </c>
      <c r="E82" s="1">
        <v>1</v>
      </c>
      <c r="F82" s="1">
        <v>12</v>
      </c>
      <c r="G82" t="b">
        <v>0</v>
      </c>
      <c r="H82" s="1">
        <v>2</v>
      </c>
      <c r="I82" s="1">
        <v>1</v>
      </c>
      <c r="J82" s="2">
        <v>0.22</v>
      </c>
      <c r="K82" s="2">
        <v>0.2273</v>
      </c>
      <c r="L82" s="2">
        <v>0.51</v>
      </c>
      <c r="M82" s="2">
        <v>0.16420000000000001</v>
      </c>
      <c r="N82" s="1">
        <v>12</v>
      </c>
      <c r="O82" s="1">
        <v>66</v>
      </c>
      <c r="P82" s="1">
        <v>78</v>
      </c>
      <c r="Q82" s="1" t="str">
        <f>IF(WEEKDAY(Bike_Sharing_Master6[[#This Row],[Dteday]],2)&gt;=6,"Weekend","Weekday")</f>
        <v>Weekday</v>
      </c>
      <c r="R82" s="1" t="str">
        <f xml:space="preserve"> IF(Bike_Sharing_Master6[[#This Row],[Hr]]&lt;6,"Late Night", IF(Bike_Sharing_Master6[[#This Row],[Hr]]&lt;10,"Morning Peak", IF(Bike_Sharing_Master6[[#This Row],[Hr]]&lt;17,"Daytime", IF(Bike_Sharing_Master6[[#This Row],[Hr]]&lt;21,"Evening Peak","Night"))))</f>
        <v>Daytime</v>
      </c>
      <c r="S82" s="1" t="str">
        <f>IF(Bike_Sharing_Master6[[#This Row],[Holiday]]=1,"Holiday","Non-Holiday")</f>
        <v>Non-Holiday</v>
      </c>
      <c r="T82" s="1" t="str">
        <f>IF(Bike_Sharing_Master6[[#This Row],[Cnt]]&lt;80,"Low",IF(Bike_Sharing_Master6[[#This Row],[Cnt]]&lt;160,"Medium","High"))</f>
        <v>Low</v>
      </c>
      <c r="U82" s="1" t="str">
        <f>VLOOKUP(Bike_Sharing_Master6[[#This Row],[Weathersit]],[1]Lookup_Weather!A:B,2,FALSE)</f>
        <v>Clear</v>
      </c>
    </row>
    <row r="83" spans="1:21" x14ac:dyDescent="0.3">
      <c r="A83">
        <v>82</v>
      </c>
      <c r="B83" s="3">
        <v>40547</v>
      </c>
      <c r="C83" s="1">
        <v>1</v>
      </c>
      <c r="D83" s="1">
        <v>0</v>
      </c>
      <c r="E83" s="1">
        <v>1</v>
      </c>
      <c r="F83" s="1">
        <v>13</v>
      </c>
      <c r="G83" t="b">
        <v>0</v>
      </c>
      <c r="H83" s="1">
        <v>2</v>
      </c>
      <c r="I83" s="1">
        <v>1</v>
      </c>
      <c r="J83" s="2">
        <v>0.24</v>
      </c>
      <c r="K83" s="2">
        <v>0.2273</v>
      </c>
      <c r="L83" s="2">
        <v>0.56000000000000005</v>
      </c>
      <c r="M83" s="2">
        <v>0.19400000000000001</v>
      </c>
      <c r="N83" s="1">
        <v>18</v>
      </c>
      <c r="O83" s="1">
        <v>79</v>
      </c>
      <c r="P83" s="1">
        <v>97</v>
      </c>
      <c r="Q83" s="1" t="str">
        <f>IF(WEEKDAY(Bike_Sharing_Master6[[#This Row],[Dteday]],2)&gt;=6,"Weekend","Weekday")</f>
        <v>Weekday</v>
      </c>
      <c r="R83" s="1" t="str">
        <f xml:space="preserve"> IF(Bike_Sharing_Master6[[#This Row],[Hr]]&lt;6,"Late Night", IF(Bike_Sharing_Master6[[#This Row],[Hr]]&lt;10,"Morning Peak", IF(Bike_Sharing_Master6[[#This Row],[Hr]]&lt;17,"Daytime", IF(Bike_Sharing_Master6[[#This Row],[Hr]]&lt;21,"Evening Peak","Night"))))</f>
        <v>Daytime</v>
      </c>
      <c r="S83" s="1" t="str">
        <f>IF(Bike_Sharing_Master6[[#This Row],[Holiday]]=1,"Holiday","Non-Holiday")</f>
        <v>Non-Holiday</v>
      </c>
      <c r="T83" s="1" t="str">
        <f>IF(Bike_Sharing_Master6[[#This Row],[Cnt]]&lt;80,"Low",IF(Bike_Sharing_Master6[[#This Row],[Cnt]]&lt;160,"Medium","High"))</f>
        <v>Medium</v>
      </c>
      <c r="U83" s="1" t="str">
        <f>VLOOKUP(Bike_Sharing_Master6[[#This Row],[Weathersit]],[1]Lookup_Weather!A:B,2,FALSE)</f>
        <v>Clear</v>
      </c>
    </row>
    <row r="84" spans="1:21" x14ac:dyDescent="0.3">
      <c r="A84">
        <v>83</v>
      </c>
      <c r="B84" s="3">
        <v>40547</v>
      </c>
      <c r="C84" s="1">
        <v>1</v>
      </c>
      <c r="D84" s="1">
        <v>0</v>
      </c>
      <c r="E84" s="1">
        <v>1</v>
      </c>
      <c r="F84" s="1">
        <v>14</v>
      </c>
      <c r="G84" t="b">
        <v>0</v>
      </c>
      <c r="H84" s="1">
        <v>2</v>
      </c>
      <c r="I84" s="1">
        <v>1</v>
      </c>
      <c r="J84" s="2">
        <v>0.26</v>
      </c>
      <c r="K84" s="2">
        <v>0.2576</v>
      </c>
      <c r="L84" s="2">
        <v>0.52</v>
      </c>
      <c r="M84" s="2">
        <v>0.22389999999999999</v>
      </c>
      <c r="N84" s="1">
        <v>9</v>
      </c>
      <c r="O84" s="1">
        <v>54</v>
      </c>
      <c r="P84" s="1">
        <v>63</v>
      </c>
      <c r="Q84" s="1" t="str">
        <f>IF(WEEKDAY(Bike_Sharing_Master6[[#This Row],[Dteday]],2)&gt;=6,"Weekend","Weekday")</f>
        <v>Weekday</v>
      </c>
      <c r="R84" s="1" t="str">
        <f xml:space="preserve"> IF(Bike_Sharing_Master6[[#This Row],[Hr]]&lt;6,"Late Night", IF(Bike_Sharing_Master6[[#This Row],[Hr]]&lt;10,"Morning Peak", IF(Bike_Sharing_Master6[[#This Row],[Hr]]&lt;17,"Daytime", IF(Bike_Sharing_Master6[[#This Row],[Hr]]&lt;21,"Evening Peak","Night"))))</f>
        <v>Daytime</v>
      </c>
      <c r="S84" s="1" t="str">
        <f>IF(Bike_Sharing_Master6[[#This Row],[Holiday]]=1,"Holiday","Non-Holiday")</f>
        <v>Non-Holiday</v>
      </c>
      <c r="T84" s="1" t="str">
        <f>IF(Bike_Sharing_Master6[[#This Row],[Cnt]]&lt;80,"Low",IF(Bike_Sharing_Master6[[#This Row],[Cnt]]&lt;160,"Medium","High"))</f>
        <v>Low</v>
      </c>
      <c r="U84" s="1" t="str">
        <f>VLOOKUP(Bike_Sharing_Master6[[#This Row],[Weathersit]],[1]Lookup_Weather!A:B,2,FALSE)</f>
        <v>Clear</v>
      </c>
    </row>
    <row r="85" spans="1:21" x14ac:dyDescent="0.3">
      <c r="A85">
        <v>84</v>
      </c>
      <c r="B85" s="3">
        <v>40547</v>
      </c>
      <c r="C85" s="1">
        <v>1</v>
      </c>
      <c r="D85" s="1">
        <v>0</v>
      </c>
      <c r="E85" s="1">
        <v>1</v>
      </c>
      <c r="F85" s="1">
        <v>15</v>
      </c>
      <c r="G85" t="b">
        <v>0</v>
      </c>
      <c r="H85" s="1">
        <v>2</v>
      </c>
      <c r="I85" s="1">
        <v>1</v>
      </c>
      <c r="J85" s="2">
        <v>0.28000000000000003</v>
      </c>
      <c r="K85" s="2">
        <v>0.2727</v>
      </c>
      <c r="L85" s="2">
        <v>0.52</v>
      </c>
      <c r="M85" s="2">
        <v>0.25369999999999998</v>
      </c>
      <c r="N85" s="1">
        <v>17</v>
      </c>
      <c r="O85" s="1">
        <v>48</v>
      </c>
      <c r="P85" s="1">
        <v>65</v>
      </c>
      <c r="Q85" s="1" t="str">
        <f>IF(WEEKDAY(Bike_Sharing_Master6[[#This Row],[Dteday]],2)&gt;=6,"Weekend","Weekday")</f>
        <v>Weekday</v>
      </c>
      <c r="R85" s="1" t="str">
        <f xml:space="preserve"> IF(Bike_Sharing_Master6[[#This Row],[Hr]]&lt;6,"Late Night", IF(Bike_Sharing_Master6[[#This Row],[Hr]]&lt;10,"Morning Peak", IF(Bike_Sharing_Master6[[#This Row],[Hr]]&lt;17,"Daytime", IF(Bike_Sharing_Master6[[#This Row],[Hr]]&lt;21,"Evening Peak","Night"))))</f>
        <v>Daytime</v>
      </c>
      <c r="S85" s="1" t="str">
        <f>IF(Bike_Sharing_Master6[[#This Row],[Holiday]]=1,"Holiday","Non-Holiday")</f>
        <v>Non-Holiday</v>
      </c>
      <c r="T85" s="1" t="str">
        <f>IF(Bike_Sharing_Master6[[#This Row],[Cnt]]&lt;80,"Low",IF(Bike_Sharing_Master6[[#This Row],[Cnt]]&lt;160,"Medium","High"))</f>
        <v>Low</v>
      </c>
      <c r="U85" s="1" t="str">
        <f>VLOOKUP(Bike_Sharing_Master6[[#This Row],[Weathersit]],[1]Lookup_Weather!A:B,2,FALSE)</f>
        <v>Clear</v>
      </c>
    </row>
    <row r="86" spans="1:21" x14ac:dyDescent="0.3">
      <c r="A86">
        <v>85</v>
      </c>
      <c r="B86" s="3">
        <v>40547</v>
      </c>
      <c r="C86" s="1">
        <v>1</v>
      </c>
      <c r="D86" s="1">
        <v>0</v>
      </c>
      <c r="E86" s="1">
        <v>1</v>
      </c>
      <c r="F86" s="1">
        <v>16</v>
      </c>
      <c r="G86" t="b">
        <v>0</v>
      </c>
      <c r="H86" s="1">
        <v>2</v>
      </c>
      <c r="I86" s="1">
        <v>1</v>
      </c>
      <c r="J86" s="2">
        <v>0.3</v>
      </c>
      <c r="K86" s="2">
        <v>0.28789999999999999</v>
      </c>
      <c r="L86" s="2">
        <v>0.49</v>
      </c>
      <c r="M86" s="2">
        <v>0.25369999999999998</v>
      </c>
      <c r="N86" s="1">
        <v>15</v>
      </c>
      <c r="O86" s="1">
        <v>68</v>
      </c>
      <c r="P86" s="1">
        <v>83</v>
      </c>
      <c r="Q86" s="1" t="str">
        <f>IF(WEEKDAY(Bike_Sharing_Master6[[#This Row],[Dteday]],2)&gt;=6,"Weekend","Weekday")</f>
        <v>Weekday</v>
      </c>
      <c r="R86" s="1" t="str">
        <f xml:space="preserve"> IF(Bike_Sharing_Master6[[#This Row],[Hr]]&lt;6,"Late Night", IF(Bike_Sharing_Master6[[#This Row],[Hr]]&lt;10,"Morning Peak", IF(Bike_Sharing_Master6[[#This Row],[Hr]]&lt;17,"Daytime", IF(Bike_Sharing_Master6[[#This Row],[Hr]]&lt;21,"Evening Peak","Night"))))</f>
        <v>Daytime</v>
      </c>
      <c r="S86" s="1" t="str">
        <f>IF(Bike_Sharing_Master6[[#This Row],[Holiday]]=1,"Holiday","Non-Holiday")</f>
        <v>Non-Holiday</v>
      </c>
      <c r="T86" s="1" t="str">
        <f>IF(Bike_Sharing_Master6[[#This Row],[Cnt]]&lt;80,"Low",IF(Bike_Sharing_Master6[[#This Row],[Cnt]]&lt;160,"Medium","High"))</f>
        <v>Medium</v>
      </c>
      <c r="U86" s="1" t="str">
        <f>VLOOKUP(Bike_Sharing_Master6[[#This Row],[Weathersit]],[1]Lookup_Weather!A:B,2,FALSE)</f>
        <v>Clear</v>
      </c>
    </row>
    <row r="87" spans="1:21" x14ac:dyDescent="0.3">
      <c r="A87">
        <v>86</v>
      </c>
      <c r="B87" s="3">
        <v>40547</v>
      </c>
      <c r="C87" s="1">
        <v>1</v>
      </c>
      <c r="D87" s="1">
        <v>0</v>
      </c>
      <c r="E87" s="1">
        <v>1</v>
      </c>
      <c r="F87" s="1">
        <v>17</v>
      </c>
      <c r="G87" t="b">
        <v>0</v>
      </c>
      <c r="H87" s="1">
        <v>2</v>
      </c>
      <c r="I87" s="1">
        <v>1</v>
      </c>
      <c r="J87" s="2">
        <v>0.28000000000000003</v>
      </c>
      <c r="K87" s="2">
        <v>0.2727</v>
      </c>
      <c r="L87" s="2">
        <v>0.48</v>
      </c>
      <c r="M87" s="2">
        <v>0.22389999999999999</v>
      </c>
      <c r="N87" s="1">
        <v>10</v>
      </c>
      <c r="O87" s="1">
        <v>202</v>
      </c>
      <c r="P87" s="1">
        <v>212</v>
      </c>
      <c r="Q87" s="1" t="str">
        <f>IF(WEEKDAY(Bike_Sharing_Master6[[#This Row],[Dteday]],2)&gt;=6,"Weekend","Weekday")</f>
        <v>Weekday</v>
      </c>
      <c r="R87" s="1" t="str">
        <f xml:space="preserve"> IF(Bike_Sharing_Master6[[#This Row],[Hr]]&lt;6,"Late Night", IF(Bike_Sharing_Master6[[#This Row],[Hr]]&lt;10,"Morning Peak", IF(Bike_Sharing_Master6[[#This Row],[Hr]]&lt;17,"Daytime", IF(Bike_Sharing_Master6[[#This Row],[Hr]]&lt;21,"Evening Peak","Night"))))</f>
        <v>Evening Peak</v>
      </c>
      <c r="S87" s="1" t="str">
        <f>IF(Bike_Sharing_Master6[[#This Row],[Holiday]]=1,"Holiday","Non-Holiday")</f>
        <v>Non-Holiday</v>
      </c>
      <c r="T87" s="1" t="str">
        <f>IF(Bike_Sharing_Master6[[#This Row],[Cnt]]&lt;80,"Low",IF(Bike_Sharing_Master6[[#This Row],[Cnt]]&lt;160,"Medium","High"))</f>
        <v>High</v>
      </c>
      <c r="U87" s="1" t="str">
        <f>VLOOKUP(Bike_Sharing_Master6[[#This Row],[Weathersit]],[1]Lookup_Weather!A:B,2,FALSE)</f>
        <v>Clear</v>
      </c>
    </row>
    <row r="88" spans="1:21" x14ac:dyDescent="0.3">
      <c r="A88">
        <v>87</v>
      </c>
      <c r="B88" s="3">
        <v>40547</v>
      </c>
      <c r="C88" s="1">
        <v>1</v>
      </c>
      <c r="D88" s="1">
        <v>0</v>
      </c>
      <c r="E88" s="1">
        <v>1</v>
      </c>
      <c r="F88" s="1">
        <v>18</v>
      </c>
      <c r="G88" t="b">
        <v>0</v>
      </c>
      <c r="H88" s="1">
        <v>2</v>
      </c>
      <c r="I88" s="1">
        <v>1</v>
      </c>
      <c r="J88" s="2">
        <v>0.26</v>
      </c>
      <c r="K88" s="2">
        <v>0.2576</v>
      </c>
      <c r="L88" s="2">
        <v>0.48</v>
      </c>
      <c r="M88" s="2">
        <v>0.19400000000000001</v>
      </c>
      <c r="N88" s="1">
        <v>3</v>
      </c>
      <c r="O88" s="1">
        <v>179</v>
      </c>
      <c r="P88" s="1">
        <v>182</v>
      </c>
      <c r="Q88" s="1" t="str">
        <f>IF(WEEKDAY(Bike_Sharing_Master6[[#This Row],[Dteday]],2)&gt;=6,"Weekend","Weekday")</f>
        <v>Weekday</v>
      </c>
      <c r="R88" s="1" t="str">
        <f xml:space="preserve"> IF(Bike_Sharing_Master6[[#This Row],[Hr]]&lt;6,"Late Night", IF(Bike_Sharing_Master6[[#This Row],[Hr]]&lt;10,"Morning Peak", IF(Bike_Sharing_Master6[[#This Row],[Hr]]&lt;17,"Daytime", IF(Bike_Sharing_Master6[[#This Row],[Hr]]&lt;21,"Evening Peak","Night"))))</f>
        <v>Evening Peak</v>
      </c>
      <c r="S88" s="1" t="str">
        <f>IF(Bike_Sharing_Master6[[#This Row],[Holiday]]=1,"Holiday","Non-Holiday")</f>
        <v>Non-Holiday</v>
      </c>
      <c r="T88" s="1" t="str">
        <f>IF(Bike_Sharing_Master6[[#This Row],[Cnt]]&lt;80,"Low",IF(Bike_Sharing_Master6[[#This Row],[Cnt]]&lt;160,"Medium","High"))</f>
        <v>High</v>
      </c>
      <c r="U88" s="1" t="str">
        <f>VLOOKUP(Bike_Sharing_Master6[[#This Row],[Weathersit]],[1]Lookup_Weather!A:B,2,FALSE)</f>
        <v>Clear</v>
      </c>
    </row>
    <row r="89" spans="1:21" x14ac:dyDescent="0.3">
      <c r="A89">
        <v>88</v>
      </c>
      <c r="B89" s="3">
        <v>40547</v>
      </c>
      <c r="C89" s="1">
        <v>1</v>
      </c>
      <c r="D89" s="1">
        <v>0</v>
      </c>
      <c r="E89" s="1">
        <v>1</v>
      </c>
      <c r="F89" s="1">
        <v>19</v>
      </c>
      <c r="G89" t="b">
        <v>0</v>
      </c>
      <c r="H89" s="1">
        <v>2</v>
      </c>
      <c r="I89" s="1">
        <v>1</v>
      </c>
      <c r="J89" s="2">
        <v>0.24</v>
      </c>
      <c r="K89" s="2">
        <v>0.2576</v>
      </c>
      <c r="L89" s="2">
        <v>0.48</v>
      </c>
      <c r="M89" s="2">
        <v>0.1045</v>
      </c>
      <c r="N89" s="1">
        <v>2</v>
      </c>
      <c r="O89" s="1">
        <v>110</v>
      </c>
      <c r="P89" s="1">
        <v>112</v>
      </c>
      <c r="Q89" s="1" t="str">
        <f>IF(WEEKDAY(Bike_Sharing_Master6[[#This Row],[Dteday]],2)&gt;=6,"Weekend","Weekday")</f>
        <v>Weekday</v>
      </c>
      <c r="R89" s="1" t="str">
        <f xml:space="preserve"> IF(Bike_Sharing_Master6[[#This Row],[Hr]]&lt;6,"Late Night", IF(Bike_Sharing_Master6[[#This Row],[Hr]]&lt;10,"Morning Peak", IF(Bike_Sharing_Master6[[#This Row],[Hr]]&lt;17,"Daytime", IF(Bike_Sharing_Master6[[#This Row],[Hr]]&lt;21,"Evening Peak","Night"))))</f>
        <v>Evening Peak</v>
      </c>
      <c r="S89" s="1" t="str">
        <f>IF(Bike_Sharing_Master6[[#This Row],[Holiday]]=1,"Holiday","Non-Holiday")</f>
        <v>Non-Holiday</v>
      </c>
      <c r="T89" s="1" t="str">
        <f>IF(Bike_Sharing_Master6[[#This Row],[Cnt]]&lt;80,"Low",IF(Bike_Sharing_Master6[[#This Row],[Cnt]]&lt;160,"Medium","High"))</f>
        <v>Medium</v>
      </c>
      <c r="U89" s="1" t="str">
        <f>VLOOKUP(Bike_Sharing_Master6[[#This Row],[Weathersit]],[1]Lookup_Weather!A:B,2,FALSE)</f>
        <v>Clear</v>
      </c>
    </row>
    <row r="90" spans="1:21" x14ac:dyDescent="0.3">
      <c r="A90">
        <v>89</v>
      </c>
      <c r="B90" s="3">
        <v>40547</v>
      </c>
      <c r="C90" s="1">
        <v>1</v>
      </c>
      <c r="D90" s="1">
        <v>0</v>
      </c>
      <c r="E90" s="1">
        <v>1</v>
      </c>
      <c r="F90" s="1">
        <v>20</v>
      </c>
      <c r="G90" t="b">
        <v>0</v>
      </c>
      <c r="H90" s="1">
        <v>2</v>
      </c>
      <c r="I90" s="1">
        <v>1</v>
      </c>
      <c r="J90" s="2">
        <v>0.24</v>
      </c>
      <c r="K90" s="2">
        <v>0.2576</v>
      </c>
      <c r="L90" s="2">
        <v>0.48</v>
      </c>
      <c r="M90" s="2">
        <v>0.1045</v>
      </c>
      <c r="N90" s="1">
        <v>1</v>
      </c>
      <c r="O90" s="1">
        <v>53</v>
      </c>
      <c r="P90" s="1">
        <v>54</v>
      </c>
      <c r="Q90" s="1" t="str">
        <f>IF(WEEKDAY(Bike_Sharing_Master6[[#This Row],[Dteday]],2)&gt;=6,"Weekend","Weekday")</f>
        <v>Weekday</v>
      </c>
      <c r="R90" s="1" t="str">
        <f xml:space="preserve"> IF(Bike_Sharing_Master6[[#This Row],[Hr]]&lt;6,"Late Night", IF(Bike_Sharing_Master6[[#This Row],[Hr]]&lt;10,"Morning Peak", IF(Bike_Sharing_Master6[[#This Row],[Hr]]&lt;17,"Daytime", IF(Bike_Sharing_Master6[[#This Row],[Hr]]&lt;21,"Evening Peak","Night"))))</f>
        <v>Evening Peak</v>
      </c>
      <c r="S90" s="1" t="str">
        <f>IF(Bike_Sharing_Master6[[#This Row],[Holiday]]=1,"Holiday","Non-Holiday")</f>
        <v>Non-Holiday</v>
      </c>
      <c r="T90" s="1" t="str">
        <f>IF(Bike_Sharing_Master6[[#This Row],[Cnt]]&lt;80,"Low",IF(Bike_Sharing_Master6[[#This Row],[Cnt]]&lt;160,"Medium","High"))</f>
        <v>Low</v>
      </c>
      <c r="U90" s="1" t="str">
        <f>VLOOKUP(Bike_Sharing_Master6[[#This Row],[Weathersit]],[1]Lookup_Weather!A:B,2,FALSE)</f>
        <v>Clear</v>
      </c>
    </row>
    <row r="91" spans="1:21" x14ac:dyDescent="0.3">
      <c r="A91">
        <v>90</v>
      </c>
      <c r="B91" s="3">
        <v>40547</v>
      </c>
      <c r="C91" s="1">
        <v>1</v>
      </c>
      <c r="D91" s="1">
        <v>0</v>
      </c>
      <c r="E91" s="1">
        <v>1</v>
      </c>
      <c r="F91" s="1">
        <v>21</v>
      </c>
      <c r="G91" t="b">
        <v>0</v>
      </c>
      <c r="H91" s="1">
        <v>2</v>
      </c>
      <c r="I91" s="1">
        <v>1</v>
      </c>
      <c r="J91" s="2">
        <v>0.22</v>
      </c>
      <c r="K91" s="2">
        <v>0.2727</v>
      </c>
      <c r="L91" s="2">
        <v>0.64</v>
      </c>
      <c r="M91" s="2">
        <v>0</v>
      </c>
      <c r="N91" s="1">
        <v>0</v>
      </c>
      <c r="O91" s="1">
        <v>48</v>
      </c>
      <c r="P91" s="1">
        <v>48</v>
      </c>
      <c r="Q91" s="1" t="str">
        <f>IF(WEEKDAY(Bike_Sharing_Master6[[#This Row],[Dteday]],2)&gt;=6,"Weekend","Weekday")</f>
        <v>Weekday</v>
      </c>
      <c r="R91" s="1" t="str">
        <f xml:space="preserve"> IF(Bike_Sharing_Master6[[#This Row],[Hr]]&lt;6,"Late Night", IF(Bike_Sharing_Master6[[#This Row],[Hr]]&lt;10,"Morning Peak", IF(Bike_Sharing_Master6[[#This Row],[Hr]]&lt;17,"Daytime", IF(Bike_Sharing_Master6[[#This Row],[Hr]]&lt;21,"Evening Peak","Night"))))</f>
        <v>Night</v>
      </c>
      <c r="S91" s="1" t="str">
        <f>IF(Bike_Sharing_Master6[[#This Row],[Holiday]]=1,"Holiday","Non-Holiday")</f>
        <v>Non-Holiday</v>
      </c>
      <c r="T91" s="1" t="str">
        <f>IF(Bike_Sharing_Master6[[#This Row],[Cnt]]&lt;80,"Low",IF(Bike_Sharing_Master6[[#This Row],[Cnt]]&lt;160,"Medium","High"))</f>
        <v>Low</v>
      </c>
      <c r="U91" s="1" t="str">
        <f>VLOOKUP(Bike_Sharing_Master6[[#This Row],[Weathersit]],[1]Lookup_Weather!A:B,2,FALSE)</f>
        <v>Clear</v>
      </c>
    </row>
    <row r="92" spans="1:21" x14ac:dyDescent="0.3">
      <c r="A92">
        <v>91</v>
      </c>
      <c r="B92" s="3">
        <v>40547</v>
      </c>
      <c r="C92" s="1">
        <v>1</v>
      </c>
      <c r="D92" s="1">
        <v>0</v>
      </c>
      <c r="E92" s="1">
        <v>1</v>
      </c>
      <c r="F92" s="1">
        <v>22</v>
      </c>
      <c r="G92" t="b">
        <v>0</v>
      </c>
      <c r="H92" s="1">
        <v>2</v>
      </c>
      <c r="I92" s="1">
        <v>1</v>
      </c>
      <c r="J92" s="2">
        <v>0.22</v>
      </c>
      <c r="K92" s="2">
        <v>0.2576</v>
      </c>
      <c r="L92" s="2">
        <v>0.64</v>
      </c>
      <c r="M92" s="2">
        <v>8.9599999999999999E-2</v>
      </c>
      <c r="N92" s="1">
        <v>1</v>
      </c>
      <c r="O92" s="1">
        <v>34</v>
      </c>
      <c r="P92" s="1">
        <v>35</v>
      </c>
      <c r="Q92" s="1" t="str">
        <f>IF(WEEKDAY(Bike_Sharing_Master6[[#This Row],[Dteday]],2)&gt;=6,"Weekend","Weekday")</f>
        <v>Weekday</v>
      </c>
      <c r="R92" s="1" t="str">
        <f xml:space="preserve"> IF(Bike_Sharing_Master6[[#This Row],[Hr]]&lt;6,"Late Night", IF(Bike_Sharing_Master6[[#This Row],[Hr]]&lt;10,"Morning Peak", IF(Bike_Sharing_Master6[[#This Row],[Hr]]&lt;17,"Daytime", IF(Bike_Sharing_Master6[[#This Row],[Hr]]&lt;21,"Evening Peak","Night"))))</f>
        <v>Night</v>
      </c>
      <c r="S92" s="1" t="str">
        <f>IF(Bike_Sharing_Master6[[#This Row],[Holiday]]=1,"Holiday","Non-Holiday")</f>
        <v>Non-Holiday</v>
      </c>
      <c r="T92" s="1" t="str">
        <f>IF(Bike_Sharing_Master6[[#This Row],[Cnt]]&lt;80,"Low",IF(Bike_Sharing_Master6[[#This Row],[Cnt]]&lt;160,"Medium","High"))</f>
        <v>Low</v>
      </c>
      <c r="U92" s="1" t="str">
        <f>VLOOKUP(Bike_Sharing_Master6[[#This Row],[Weathersit]],[1]Lookup_Weather!A:B,2,FALSE)</f>
        <v>Clear</v>
      </c>
    </row>
    <row r="93" spans="1:21" x14ac:dyDescent="0.3">
      <c r="A93">
        <v>92</v>
      </c>
      <c r="B93" s="3">
        <v>40547</v>
      </c>
      <c r="C93" s="1">
        <v>1</v>
      </c>
      <c r="D93" s="1">
        <v>0</v>
      </c>
      <c r="E93" s="1">
        <v>1</v>
      </c>
      <c r="F93" s="1">
        <v>23</v>
      </c>
      <c r="G93" t="b">
        <v>0</v>
      </c>
      <c r="H93" s="1">
        <v>2</v>
      </c>
      <c r="I93" s="1">
        <v>1</v>
      </c>
      <c r="J93" s="2">
        <v>0.2</v>
      </c>
      <c r="K93" s="2">
        <v>0.2273</v>
      </c>
      <c r="L93" s="2">
        <v>0.69</v>
      </c>
      <c r="M93" s="2">
        <v>8.9599999999999999E-2</v>
      </c>
      <c r="N93" s="1">
        <v>2</v>
      </c>
      <c r="O93" s="1">
        <v>9</v>
      </c>
      <c r="P93" s="1">
        <v>11</v>
      </c>
      <c r="Q93" s="1" t="str">
        <f>IF(WEEKDAY(Bike_Sharing_Master6[[#This Row],[Dteday]],2)&gt;=6,"Weekend","Weekday")</f>
        <v>Weekday</v>
      </c>
      <c r="R93" s="1" t="str">
        <f xml:space="preserve"> IF(Bike_Sharing_Master6[[#This Row],[Hr]]&lt;6,"Late Night", IF(Bike_Sharing_Master6[[#This Row],[Hr]]&lt;10,"Morning Peak", IF(Bike_Sharing_Master6[[#This Row],[Hr]]&lt;17,"Daytime", IF(Bike_Sharing_Master6[[#This Row],[Hr]]&lt;21,"Evening Peak","Night"))))</f>
        <v>Night</v>
      </c>
      <c r="S93" s="1" t="str">
        <f>IF(Bike_Sharing_Master6[[#This Row],[Holiday]]=1,"Holiday","Non-Holiday")</f>
        <v>Non-Holiday</v>
      </c>
      <c r="T93" s="1" t="str">
        <f>IF(Bike_Sharing_Master6[[#This Row],[Cnt]]&lt;80,"Low",IF(Bike_Sharing_Master6[[#This Row],[Cnt]]&lt;160,"Medium","High"))</f>
        <v>Low</v>
      </c>
      <c r="U93" s="1" t="str">
        <f>VLOOKUP(Bike_Sharing_Master6[[#This Row],[Weathersit]],[1]Lookup_Weather!A:B,2,FALSE)</f>
        <v>Clear</v>
      </c>
    </row>
    <row r="94" spans="1:21" x14ac:dyDescent="0.3">
      <c r="A94">
        <v>93</v>
      </c>
      <c r="B94" s="3">
        <v>40548</v>
      </c>
      <c r="C94" s="1">
        <v>1</v>
      </c>
      <c r="D94" s="1">
        <v>0</v>
      </c>
      <c r="E94" s="1">
        <v>1</v>
      </c>
      <c r="F94" s="1">
        <v>0</v>
      </c>
      <c r="G94" t="b">
        <v>0</v>
      </c>
      <c r="H94" s="1">
        <v>3</v>
      </c>
      <c r="I94" s="1">
        <v>1</v>
      </c>
      <c r="J94" s="2">
        <v>0.2</v>
      </c>
      <c r="K94" s="2">
        <v>0.2576</v>
      </c>
      <c r="L94" s="2">
        <v>0.64</v>
      </c>
      <c r="M94" s="2">
        <v>0</v>
      </c>
      <c r="N94" s="1">
        <v>0</v>
      </c>
      <c r="O94" s="1">
        <v>6</v>
      </c>
      <c r="P94" s="1">
        <v>6</v>
      </c>
      <c r="Q94" s="1" t="str">
        <f>IF(WEEKDAY(Bike_Sharing_Master6[[#This Row],[Dteday]],2)&gt;=6,"Weekend","Weekday")</f>
        <v>Weekday</v>
      </c>
      <c r="R94" s="1" t="str">
        <f xml:space="preserve"> IF(Bike_Sharing_Master6[[#This Row],[Hr]]&lt;6,"Late Night", IF(Bike_Sharing_Master6[[#This Row],[Hr]]&lt;10,"Morning Peak", IF(Bike_Sharing_Master6[[#This Row],[Hr]]&lt;17,"Daytime", IF(Bike_Sharing_Master6[[#This Row],[Hr]]&lt;21,"Evening Peak","Night"))))</f>
        <v>Late Night</v>
      </c>
      <c r="S94" s="1" t="str">
        <f>IF(Bike_Sharing_Master6[[#This Row],[Holiday]]=1,"Holiday","Non-Holiday")</f>
        <v>Non-Holiday</v>
      </c>
      <c r="T94" s="1" t="str">
        <f>IF(Bike_Sharing_Master6[[#This Row],[Cnt]]&lt;80,"Low",IF(Bike_Sharing_Master6[[#This Row],[Cnt]]&lt;160,"Medium","High"))</f>
        <v>Low</v>
      </c>
      <c r="U94" s="1" t="str">
        <f>VLOOKUP(Bike_Sharing_Master6[[#This Row],[Weathersit]],[1]Lookup_Weather!A:B,2,FALSE)</f>
        <v>Clear</v>
      </c>
    </row>
    <row r="95" spans="1:21" x14ac:dyDescent="0.3">
      <c r="A95">
        <v>94</v>
      </c>
      <c r="B95" s="3">
        <v>40548</v>
      </c>
      <c r="C95" s="1">
        <v>1</v>
      </c>
      <c r="D95" s="1">
        <v>0</v>
      </c>
      <c r="E95" s="1">
        <v>1</v>
      </c>
      <c r="F95" s="1">
        <v>1</v>
      </c>
      <c r="G95" t="b">
        <v>0</v>
      </c>
      <c r="H95" s="1">
        <v>3</v>
      </c>
      <c r="I95" s="1">
        <v>1</v>
      </c>
      <c r="J95" s="2">
        <v>0.16</v>
      </c>
      <c r="K95" s="2">
        <v>0.19700000000000001</v>
      </c>
      <c r="L95" s="2">
        <v>0.74</v>
      </c>
      <c r="M95" s="2">
        <v>8.9599999999999999E-2</v>
      </c>
      <c r="N95" s="1">
        <v>0</v>
      </c>
      <c r="O95" s="1">
        <v>6</v>
      </c>
      <c r="P95" s="1">
        <v>6</v>
      </c>
      <c r="Q95" s="1" t="str">
        <f>IF(WEEKDAY(Bike_Sharing_Master6[[#This Row],[Dteday]],2)&gt;=6,"Weekend","Weekday")</f>
        <v>Weekday</v>
      </c>
      <c r="R95" s="1" t="str">
        <f xml:space="preserve"> IF(Bike_Sharing_Master6[[#This Row],[Hr]]&lt;6,"Late Night", IF(Bike_Sharing_Master6[[#This Row],[Hr]]&lt;10,"Morning Peak", IF(Bike_Sharing_Master6[[#This Row],[Hr]]&lt;17,"Daytime", IF(Bike_Sharing_Master6[[#This Row],[Hr]]&lt;21,"Evening Peak","Night"))))</f>
        <v>Late Night</v>
      </c>
      <c r="S95" s="1" t="str">
        <f>IF(Bike_Sharing_Master6[[#This Row],[Holiday]]=1,"Holiday","Non-Holiday")</f>
        <v>Non-Holiday</v>
      </c>
      <c r="T95" s="1" t="str">
        <f>IF(Bike_Sharing_Master6[[#This Row],[Cnt]]&lt;80,"Low",IF(Bike_Sharing_Master6[[#This Row],[Cnt]]&lt;160,"Medium","High"))</f>
        <v>Low</v>
      </c>
      <c r="U95" s="1" t="str">
        <f>VLOOKUP(Bike_Sharing_Master6[[#This Row],[Weathersit]],[1]Lookup_Weather!A:B,2,FALSE)</f>
        <v>Clear</v>
      </c>
    </row>
    <row r="96" spans="1:21" x14ac:dyDescent="0.3">
      <c r="A96">
        <v>95</v>
      </c>
      <c r="B96" s="3">
        <v>40548</v>
      </c>
      <c r="C96" s="1">
        <v>1</v>
      </c>
      <c r="D96" s="1">
        <v>0</v>
      </c>
      <c r="E96" s="1">
        <v>1</v>
      </c>
      <c r="F96" s="1">
        <v>2</v>
      </c>
      <c r="G96" t="b">
        <v>0</v>
      </c>
      <c r="H96" s="1">
        <v>3</v>
      </c>
      <c r="I96" s="1">
        <v>1</v>
      </c>
      <c r="J96" s="2">
        <v>0.16</v>
      </c>
      <c r="K96" s="2">
        <v>0.19700000000000001</v>
      </c>
      <c r="L96" s="2">
        <v>0.74</v>
      </c>
      <c r="M96" s="2">
        <v>8.9599999999999999E-2</v>
      </c>
      <c r="N96" s="1">
        <v>0</v>
      </c>
      <c r="O96" s="1">
        <v>2</v>
      </c>
      <c r="P96" s="1">
        <v>2</v>
      </c>
      <c r="Q96" s="1" t="str">
        <f>IF(WEEKDAY(Bike_Sharing_Master6[[#This Row],[Dteday]],2)&gt;=6,"Weekend","Weekday")</f>
        <v>Weekday</v>
      </c>
      <c r="R96" s="1" t="str">
        <f xml:space="preserve"> IF(Bike_Sharing_Master6[[#This Row],[Hr]]&lt;6,"Late Night", IF(Bike_Sharing_Master6[[#This Row],[Hr]]&lt;10,"Morning Peak", IF(Bike_Sharing_Master6[[#This Row],[Hr]]&lt;17,"Daytime", IF(Bike_Sharing_Master6[[#This Row],[Hr]]&lt;21,"Evening Peak","Night"))))</f>
        <v>Late Night</v>
      </c>
      <c r="S96" s="1" t="str">
        <f>IF(Bike_Sharing_Master6[[#This Row],[Holiday]]=1,"Holiday","Non-Holiday")</f>
        <v>Non-Holiday</v>
      </c>
      <c r="T96" s="1" t="str">
        <f>IF(Bike_Sharing_Master6[[#This Row],[Cnt]]&lt;80,"Low",IF(Bike_Sharing_Master6[[#This Row],[Cnt]]&lt;160,"Medium","High"))</f>
        <v>Low</v>
      </c>
      <c r="U96" s="1" t="str">
        <f>VLOOKUP(Bike_Sharing_Master6[[#This Row],[Weathersit]],[1]Lookup_Weather!A:B,2,FALSE)</f>
        <v>Clear</v>
      </c>
    </row>
    <row r="97" spans="1:21" x14ac:dyDescent="0.3">
      <c r="A97">
        <v>96</v>
      </c>
      <c r="B97" s="3">
        <v>40548</v>
      </c>
      <c r="C97" s="1">
        <v>1</v>
      </c>
      <c r="D97" s="1">
        <v>0</v>
      </c>
      <c r="E97" s="1">
        <v>1</v>
      </c>
      <c r="F97" s="1">
        <v>4</v>
      </c>
      <c r="G97" t="b">
        <v>0</v>
      </c>
      <c r="H97" s="1">
        <v>3</v>
      </c>
      <c r="I97" s="1">
        <v>1</v>
      </c>
      <c r="J97" s="2">
        <v>0.24</v>
      </c>
      <c r="K97" s="2">
        <v>0.2273</v>
      </c>
      <c r="L97" s="2">
        <v>0.48</v>
      </c>
      <c r="M97" s="2">
        <v>0.22389999999999999</v>
      </c>
      <c r="N97" s="1">
        <v>0</v>
      </c>
      <c r="O97" s="1">
        <v>2</v>
      </c>
      <c r="P97" s="1">
        <v>2</v>
      </c>
      <c r="Q97" s="1" t="str">
        <f>IF(WEEKDAY(Bike_Sharing_Master6[[#This Row],[Dteday]],2)&gt;=6,"Weekend","Weekday")</f>
        <v>Weekday</v>
      </c>
      <c r="R97" s="1" t="str">
        <f xml:space="preserve"> IF(Bike_Sharing_Master6[[#This Row],[Hr]]&lt;6,"Late Night", IF(Bike_Sharing_Master6[[#This Row],[Hr]]&lt;10,"Morning Peak", IF(Bike_Sharing_Master6[[#This Row],[Hr]]&lt;17,"Daytime", IF(Bike_Sharing_Master6[[#This Row],[Hr]]&lt;21,"Evening Peak","Night"))))</f>
        <v>Late Night</v>
      </c>
      <c r="S97" s="1" t="str">
        <f>IF(Bike_Sharing_Master6[[#This Row],[Holiday]]=1,"Holiday","Non-Holiday")</f>
        <v>Non-Holiday</v>
      </c>
      <c r="T97" s="1" t="str">
        <f>IF(Bike_Sharing_Master6[[#This Row],[Cnt]]&lt;80,"Low",IF(Bike_Sharing_Master6[[#This Row],[Cnt]]&lt;160,"Medium","High"))</f>
        <v>Low</v>
      </c>
      <c r="U97" s="1" t="str">
        <f>VLOOKUP(Bike_Sharing_Master6[[#This Row],[Weathersit]],[1]Lookup_Weather!A:B,2,FALSE)</f>
        <v>Clear</v>
      </c>
    </row>
    <row r="98" spans="1:21" x14ac:dyDescent="0.3">
      <c r="A98">
        <v>97</v>
      </c>
      <c r="B98" s="3">
        <v>40548</v>
      </c>
      <c r="C98" s="1">
        <v>1</v>
      </c>
      <c r="D98" s="1">
        <v>0</v>
      </c>
      <c r="E98" s="1">
        <v>1</v>
      </c>
      <c r="F98" s="1">
        <v>5</v>
      </c>
      <c r="G98" t="b">
        <v>0</v>
      </c>
      <c r="H98" s="1">
        <v>3</v>
      </c>
      <c r="I98" s="1">
        <v>1</v>
      </c>
      <c r="J98" s="2">
        <v>0.22</v>
      </c>
      <c r="K98" s="2">
        <v>0.2273</v>
      </c>
      <c r="L98" s="2">
        <v>0.47</v>
      </c>
      <c r="M98" s="2">
        <v>0.16420000000000001</v>
      </c>
      <c r="N98" s="1">
        <v>0</v>
      </c>
      <c r="O98" s="1">
        <v>3</v>
      </c>
      <c r="P98" s="1">
        <v>3</v>
      </c>
      <c r="Q98" s="1" t="str">
        <f>IF(WEEKDAY(Bike_Sharing_Master6[[#This Row],[Dteday]],2)&gt;=6,"Weekend","Weekday")</f>
        <v>Weekday</v>
      </c>
      <c r="R98" s="1" t="str">
        <f xml:space="preserve"> IF(Bike_Sharing_Master6[[#This Row],[Hr]]&lt;6,"Late Night", IF(Bike_Sharing_Master6[[#This Row],[Hr]]&lt;10,"Morning Peak", IF(Bike_Sharing_Master6[[#This Row],[Hr]]&lt;17,"Daytime", IF(Bike_Sharing_Master6[[#This Row],[Hr]]&lt;21,"Evening Peak","Night"))))</f>
        <v>Late Night</v>
      </c>
      <c r="S98" s="1" t="str">
        <f>IF(Bike_Sharing_Master6[[#This Row],[Holiday]]=1,"Holiday","Non-Holiday")</f>
        <v>Non-Holiday</v>
      </c>
      <c r="T98" s="1" t="str">
        <f>IF(Bike_Sharing_Master6[[#This Row],[Cnt]]&lt;80,"Low",IF(Bike_Sharing_Master6[[#This Row],[Cnt]]&lt;160,"Medium","High"))</f>
        <v>Low</v>
      </c>
      <c r="U98" s="1" t="str">
        <f>VLOOKUP(Bike_Sharing_Master6[[#This Row],[Weathersit]],[1]Lookup_Weather!A:B,2,FALSE)</f>
        <v>Clear</v>
      </c>
    </row>
    <row r="99" spans="1:21" x14ac:dyDescent="0.3">
      <c r="A99">
        <v>98</v>
      </c>
      <c r="B99" s="3">
        <v>40548</v>
      </c>
      <c r="C99" s="1">
        <v>1</v>
      </c>
      <c r="D99" s="1">
        <v>0</v>
      </c>
      <c r="E99" s="1">
        <v>1</v>
      </c>
      <c r="F99" s="1">
        <v>6</v>
      </c>
      <c r="G99" t="b">
        <v>0</v>
      </c>
      <c r="H99" s="1">
        <v>3</v>
      </c>
      <c r="I99" s="1">
        <v>1</v>
      </c>
      <c r="J99" s="2">
        <v>0.2</v>
      </c>
      <c r="K99" s="2">
        <v>0.19700000000000001</v>
      </c>
      <c r="L99" s="2">
        <v>0.47</v>
      </c>
      <c r="M99" s="2">
        <v>0.22389999999999999</v>
      </c>
      <c r="N99" s="1">
        <v>0</v>
      </c>
      <c r="O99" s="1">
        <v>33</v>
      </c>
      <c r="P99" s="1">
        <v>33</v>
      </c>
      <c r="Q99" s="1" t="str">
        <f>IF(WEEKDAY(Bike_Sharing_Master6[[#This Row],[Dteday]],2)&gt;=6,"Weekend","Weekday")</f>
        <v>Weekday</v>
      </c>
      <c r="R99" s="1" t="str">
        <f xml:space="preserve"> IF(Bike_Sharing_Master6[[#This Row],[Hr]]&lt;6,"Late Night", IF(Bike_Sharing_Master6[[#This Row],[Hr]]&lt;10,"Morning Peak", IF(Bike_Sharing_Master6[[#This Row],[Hr]]&lt;17,"Daytime", IF(Bike_Sharing_Master6[[#This Row],[Hr]]&lt;21,"Evening Peak","Night"))))</f>
        <v>Morning Peak</v>
      </c>
      <c r="S99" s="1" t="str">
        <f>IF(Bike_Sharing_Master6[[#This Row],[Holiday]]=1,"Holiday","Non-Holiday")</f>
        <v>Non-Holiday</v>
      </c>
      <c r="T99" s="1" t="str">
        <f>IF(Bike_Sharing_Master6[[#This Row],[Cnt]]&lt;80,"Low",IF(Bike_Sharing_Master6[[#This Row],[Cnt]]&lt;160,"Medium","High"))</f>
        <v>Low</v>
      </c>
      <c r="U99" s="1" t="str">
        <f>VLOOKUP(Bike_Sharing_Master6[[#This Row],[Weathersit]],[1]Lookup_Weather!A:B,2,FALSE)</f>
        <v>Clear</v>
      </c>
    </row>
    <row r="100" spans="1:21" x14ac:dyDescent="0.3">
      <c r="A100">
        <v>99</v>
      </c>
      <c r="B100" s="3">
        <v>40548</v>
      </c>
      <c r="C100" s="1">
        <v>1</v>
      </c>
      <c r="D100" s="1">
        <v>0</v>
      </c>
      <c r="E100" s="1">
        <v>1</v>
      </c>
      <c r="F100" s="1">
        <v>7</v>
      </c>
      <c r="G100" t="b">
        <v>0</v>
      </c>
      <c r="H100" s="1">
        <v>3</v>
      </c>
      <c r="I100" s="1">
        <v>1</v>
      </c>
      <c r="J100" s="2">
        <v>0.18</v>
      </c>
      <c r="K100" s="2">
        <v>0.18179999999999999</v>
      </c>
      <c r="L100" s="2">
        <v>0.43</v>
      </c>
      <c r="M100" s="2">
        <v>0.19400000000000001</v>
      </c>
      <c r="N100" s="1">
        <v>1</v>
      </c>
      <c r="O100" s="1">
        <v>87</v>
      </c>
      <c r="P100" s="1">
        <v>88</v>
      </c>
      <c r="Q100" s="1" t="str">
        <f>IF(WEEKDAY(Bike_Sharing_Master6[[#This Row],[Dteday]],2)&gt;=6,"Weekend","Weekday")</f>
        <v>Weekday</v>
      </c>
      <c r="R100" s="1" t="str">
        <f xml:space="preserve"> IF(Bike_Sharing_Master6[[#This Row],[Hr]]&lt;6,"Late Night", IF(Bike_Sharing_Master6[[#This Row],[Hr]]&lt;10,"Morning Peak", IF(Bike_Sharing_Master6[[#This Row],[Hr]]&lt;17,"Daytime", IF(Bike_Sharing_Master6[[#This Row],[Hr]]&lt;21,"Evening Peak","Night"))))</f>
        <v>Morning Peak</v>
      </c>
      <c r="S100" s="1" t="str">
        <f>IF(Bike_Sharing_Master6[[#This Row],[Holiday]]=1,"Holiday","Non-Holiday")</f>
        <v>Non-Holiday</v>
      </c>
      <c r="T100" s="1" t="str">
        <f>IF(Bike_Sharing_Master6[[#This Row],[Cnt]]&lt;80,"Low",IF(Bike_Sharing_Master6[[#This Row],[Cnt]]&lt;160,"Medium","High"))</f>
        <v>Medium</v>
      </c>
      <c r="U100" s="1" t="str">
        <f>VLOOKUP(Bike_Sharing_Master6[[#This Row],[Weathersit]],[1]Lookup_Weather!A:B,2,FALSE)</f>
        <v>Clear</v>
      </c>
    </row>
    <row r="101" spans="1:21" x14ac:dyDescent="0.3">
      <c r="A101">
        <v>100</v>
      </c>
      <c r="B101" s="3">
        <v>40548</v>
      </c>
      <c r="C101" s="1">
        <v>1</v>
      </c>
      <c r="D101" s="1">
        <v>0</v>
      </c>
      <c r="E101" s="1">
        <v>1</v>
      </c>
      <c r="F101" s="1">
        <v>8</v>
      </c>
      <c r="G101" t="b">
        <v>0</v>
      </c>
      <c r="H101" s="1">
        <v>3</v>
      </c>
      <c r="I101" s="1">
        <v>1</v>
      </c>
      <c r="J101" s="2">
        <v>0.2</v>
      </c>
      <c r="K101" s="2">
        <v>0.18179999999999999</v>
      </c>
      <c r="L101" s="2">
        <v>0.4</v>
      </c>
      <c r="M101" s="2">
        <v>0.29849999999999999</v>
      </c>
      <c r="N101" s="1">
        <v>3</v>
      </c>
      <c r="O101" s="1">
        <v>192</v>
      </c>
      <c r="P101" s="1">
        <v>195</v>
      </c>
      <c r="Q101" s="1" t="str">
        <f>IF(WEEKDAY(Bike_Sharing_Master6[[#This Row],[Dteday]],2)&gt;=6,"Weekend","Weekday")</f>
        <v>Weekday</v>
      </c>
      <c r="R101" s="1" t="str">
        <f xml:space="preserve"> IF(Bike_Sharing_Master6[[#This Row],[Hr]]&lt;6,"Late Night", IF(Bike_Sharing_Master6[[#This Row],[Hr]]&lt;10,"Morning Peak", IF(Bike_Sharing_Master6[[#This Row],[Hr]]&lt;17,"Daytime", IF(Bike_Sharing_Master6[[#This Row],[Hr]]&lt;21,"Evening Peak","Night"))))</f>
        <v>Morning Peak</v>
      </c>
      <c r="S101" s="1" t="str">
        <f>IF(Bike_Sharing_Master6[[#This Row],[Holiday]]=1,"Holiday","Non-Holiday")</f>
        <v>Non-Holiday</v>
      </c>
      <c r="T101" s="1" t="str">
        <f>IF(Bike_Sharing_Master6[[#This Row],[Cnt]]&lt;80,"Low",IF(Bike_Sharing_Master6[[#This Row],[Cnt]]&lt;160,"Medium","High"))</f>
        <v>High</v>
      </c>
      <c r="U101" s="1" t="str">
        <f>VLOOKUP(Bike_Sharing_Master6[[#This Row],[Weathersit]],[1]Lookup_Weather!A:B,2,FALSE)</f>
        <v>Clear</v>
      </c>
    </row>
    <row r="102" spans="1:21" x14ac:dyDescent="0.3">
      <c r="A102">
        <v>101</v>
      </c>
      <c r="B102" s="3">
        <v>40548</v>
      </c>
      <c r="C102" s="1">
        <v>1</v>
      </c>
      <c r="D102" s="1">
        <v>0</v>
      </c>
      <c r="E102" s="1">
        <v>1</v>
      </c>
      <c r="F102" s="1">
        <v>9</v>
      </c>
      <c r="G102" t="b">
        <v>0</v>
      </c>
      <c r="H102" s="1">
        <v>3</v>
      </c>
      <c r="I102" s="1">
        <v>1</v>
      </c>
      <c r="J102" s="2">
        <v>0.22</v>
      </c>
      <c r="K102" s="2">
        <v>0.19700000000000001</v>
      </c>
      <c r="L102" s="2">
        <v>0.37</v>
      </c>
      <c r="M102" s="2">
        <v>0.32840000000000003</v>
      </c>
      <c r="N102" s="1">
        <v>6</v>
      </c>
      <c r="O102" s="1">
        <v>109</v>
      </c>
      <c r="P102" s="1">
        <v>115</v>
      </c>
      <c r="Q102" s="1" t="str">
        <f>IF(WEEKDAY(Bike_Sharing_Master6[[#This Row],[Dteday]],2)&gt;=6,"Weekend","Weekday")</f>
        <v>Weekday</v>
      </c>
      <c r="R102" s="1" t="str">
        <f xml:space="preserve"> IF(Bike_Sharing_Master6[[#This Row],[Hr]]&lt;6,"Late Night", IF(Bike_Sharing_Master6[[#This Row],[Hr]]&lt;10,"Morning Peak", IF(Bike_Sharing_Master6[[#This Row],[Hr]]&lt;17,"Daytime", IF(Bike_Sharing_Master6[[#This Row],[Hr]]&lt;21,"Evening Peak","Night"))))</f>
        <v>Morning Peak</v>
      </c>
      <c r="S102" s="1" t="str">
        <f>IF(Bike_Sharing_Master6[[#This Row],[Holiday]]=1,"Holiday","Non-Holiday")</f>
        <v>Non-Holiday</v>
      </c>
      <c r="T102" s="1" t="str">
        <f>IF(Bike_Sharing_Master6[[#This Row],[Cnt]]&lt;80,"Low",IF(Bike_Sharing_Master6[[#This Row],[Cnt]]&lt;160,"Medium","High"))</f>
        <v>Medium</v>
      </c>
      <c r="U102" s="1" t="str">
        <f>VLOOKUP(Bike_Sharing_Master6[[#This Row],[Weathersit]],[1]Lookup_Weather!A:B,2,FALSE)</f>
        <v>Clear</v>
      </c>
    </row>
    <row r="103" spans="1:21" x14ac:dyDescent="0.3">
      <c r="A103">
        <v>102</v>
      </c>
      <c r="B103" s="3">
        <v>40548</v>
      </c>
      <c r="C103" s="1">
        <v>1</v>
      </c>
      <c r="D103" s="1">
        <v>0</v>
      </c>
      <c r="E103" s="1">
        <v>1</v>
      </c>
      <c r="F103" s="1">
        <v>10</v>
      </c>
      <c r="G103" t="b">
        <v>0</v>
      </c>
      <c r="H103" s="1">
        <v>3</v>
      </c>
      <c r="I103" s="1">
        <v>1</v>
      </c>
      <c r="J103" s="2">
        <v>0.22</v>
      </c>
      <c r="K103" s="2">
        <v>0.19700000000000001</v>
      </c>
      <c r="L103" s="2">
        <v>0.37</v>
      </c>
      <c r="M103" s="2">
        <v>0.32840000000000003</v>
      </c>
      <c r="N103" s="1">
        <v>4</v>
      </c>
      <c r="O103" s="1">
        <v>53</v>
      </c>
      <c r="P103" s="1">
        <v>57</v>
      </c>
      <c r="Q103" s="1" t="str">
        <f>IF(WEEKDAY(Bike_Sharing_Master6[[#This Row],[Dteday]],2)&gt;=6,"Weekend","Weekday")</f>
        <v>Weekday</v>
      </c>
      <c r="R103" s="1" t="str">
        <f xml:space="preserve"> IF(Bike_Sharing_Master6[[#This Row],[Hr]]&lt;6,"Late Night", IF(Bike_Sharing_Master6[[#This Row],[Hr]]&lt;10,"Morning Peak", IF(Bike_Sharing_Master6[[#This Row],[Hr]]&lt;17,"Daytime", IF(Bike_Sharing_Master6[[#This Row],[Hr]]&lt;21,"Evening Peak","Night"))))</f>
        <v>Daytime</v>
      </c>
      <c r="S103" s="1" t="str">
        <f>IF(Bike_Sharing_Master6[[#This Row],[Holiday]]=1,"Holiday","Non-Holiday")</f>
        <v>Non-Holiday</v>
      </c>
      <c r="T103" s="1" t="str">
        <f>IF(Bike_Sharing_Master6[[#This Row],[Cnt]]&lt;80,"Low",IF(Bike_Sharing_Master6[[#This Row],[Cnt]]&lt;160,"Medium","High"))</f>
        <v>Low</v>
      </c>
      <c r="U103" s="1" t="str">
        <f>VLOOKUP(Bike_Sharing_Master6[[#This Row],[Weathersit]],[1]Lookup_Weather!A:B,2,FALSE)</f>
        <v>Clear</v>
      </c>
    </row>
    <row r="104" spans="1:21" x14ac:dyDescent="0.3">
      <c r="A104">
        <v>103</v>
      </c>
      <c r="B104" s="3">
        <v>40548</v>
      </c>
      <c r="C104" s="1">
        <v>1</v>
      </c>
      <c r="D104" s="1">
        <v>0</v>
      </c>
      <c r="E104" s="1">
        <v>1</v>
      </c>
      <c r="F104" s="1">
        <v>11</v>
      </c>
      <c r="G104" t="b">
        <v>0</v>
      </c>
      <c r="H104" s="1">
        <v>3</v>
      </c>
      <c r="I104" s="1">
        <v>1</v>
      </c>
      <c r="J104" s="2">
        <v>0.26</v>
      </c>
      <c r="K104" s="2">
        <v>0.2273</v>
      </c>
      <c r="L104" s="2">
        <v>0.33</v>
      </c>
      <c r="M104" s="2">
        <v>0.32840000000000003</v>
      </c>
      <c r="N104" s="1">
        <v>12</v>
      </c>
      <c r="O104" s="1">
        <v>34</v>
      </c>
      <c r="P104" s="1">
        <v>46</v>
      </c>
      <c r="Q104" s="1" t="str">
        <f>IF(WEEKDAY(Bike_Sharing_Master6[[#This Row],[Dteday]],2)&gt;=6,"Weekend","Weekday")</f>
        <v>Weekday</v>
      </c>
      <c r="R104" s="1" t="str">
        <f xml:space="preserve"> IF(Bike_Sharing_Master6[[#This Row],[Hr]]&lt;6,"Late Night", IF(Bike_Sharing_Master6[[#This Row],[Hr]]&lt;10,"Morning Peak", IF(Bike_Sharing_Master6[[#This Row],[Hr]]&lt;17,"Daytime", IF(Bike_Sharing_Master6[[#This Row],[Hr]]&lt;21,"Evening Peak","Night"))))</f>
        <v>Daytime</v>
      </c>
      <c r="S104" s="1" t="str">
        <f>IF(Bike_Sharing_Master6[[#This Row],[Holiday]]=1,"Holiday","Non-Holiday")</f>
        <v>Non-Holiday</v>
      </c>
      <c r="T104" s="1" t="str">
        <f>IF(Bike_Sharing_Master6[[#This Row],[Cnt]]&lt;80,"Low",IF(Bike_Sharing_Master6[[#This Row],[Cnt]]&lt;160,"Medium","High"))</f>
        <v>Low</v>
      </c>
      <c r="U104" s="1" t="str">
        <f>VLOOKUP(Bike_Sharing_Master6[[#This Row],[Weathersit]],[1]Lookup_Weather!A:B,2,FALSE)</f>
        <v>Clear</v>
      </c>
    </row>
    <row r="105" spans="1:21" x14ac:dyDescent="0.3">
      <c r="A105">
        <v>104</v>
      </c>
      <c r="B105" s="3">
        <v>40548</v>
      </c>
      <c r="C105" s="1">
        <v>1</v>
      </c>
      <c r="D105" s="1">
        <v>0</v>
      </c>
      <c r="E105" s="1">
        <v>1</v>
      </c>
      <c r="F105" s="1">
        <v>12</v>
      </c>
      <c r="G105" t="b">
        <v>0</v>
      </c>
      <c r="H105" s="1">
        <v>3</v>
      </c>
      <c r="I105" s="1">
        <v>1</v>
      </c>
      <c r="J105" s="2">
        <v>0.26</v>
      </c>
      <c r="K105" s="2">
        <v>0.2273</v>
      </c>
      <c r="L105" s="2">
        <v>0.33</v>
      </c>
      <c r="M105" s="2">
        <v>0.32840000000000003</v>
      </c>
      <c r="N105" s="1">
        <v>5</v>
      </c>
      <c r="O105" s="1">
        <v>74</v>
      </c>
      <c r="P105" s="1">
        <v>79</v>
      </c>
      <c r="Q105" s="1" t="str">
        <f>IF(WEEKDAY(Bike_Sharing_Master6[[#This Row],[Dteday]],2)&gt;=6,"Weekend","Weekday")</f>
        <v>Weekday</v>
      </c>
      <c r="R105" s="1" t="str">
        <f xml:space="preserve"> IF(Bike_Sharing_Master6[[#This Row],[Hr]]&lt;6,"Late Night", IF(Bike_Sharing_Master6[[#This Row],[Hr]]&lt;10,"Morning Peak", IF(Bike_Sharing_Master6[[#This Row],[Hr]]&lt;17,"Daytime", IF(Bike_Sharing_Master6[[#This Row],[Hr]]&lt;21,"Evening Peak","Night"))))</f>
        <v>Daytime</v>
      </c>
      <c r="S105" s="1" t="str">
        <f>IF(Bike_Sharing_Master6[[#This Row],[Holiday]]=1,"Holiday","Non-Holiday")</f>
        <v>Non-Holiday</v>
      </c>
      <c r="T105" s="1" t="str">
        <f>IF(Bike_Sharing_Master6[[#This Row],[Cnt]]&lt;80,"Low",IF(Bike_Sharing_Master6[[#This Row],[Cnt]]&lt;160,"Medium","High"))</f>
        <v>Low</v>
      </c>
      <c r="U105" s="1" t="str">
        <f>VLOOKUP(Bike_Sharing_Master6[[#This Row],[Weathersit]],[1]Lookup_Weather!A:B,2,FALSE)</f>
        <v>Clear</v>
      </c>
    </row>
    <row r="106" spans="1:21" x14ac:dyDescent="0.3">
      <c r="A106">
        <v>105</v>
      </c>
      <c r="B106" s="3">
        <v>40548</v>
      </c>
      <c r="C106" s="1">
        <v>1</v>
      </c>
      <c r="D106" s="1">
        <v>0</v>
      </c>
      <c r="E106" s="1">
        <v>1</v>
      </c>
      <c r="F106" s="1">
        <v>13</v>
      </c>
      <c r="G106" t="b">
        <v>0</v>
      </c>
      <c r="H106" s="1">
        <v>3</v>
      </c>
      <c r="I106" s="1">
        <v>1</v>
      </c>
      <c r="J106" s="2">
        <v>0.28000000000000003</v>
      </c>
      <c r="K106" s="2">
        <v>0.2576</v>
      </c>
      <c r="L106" s="2">
        <v>0.3</v>
      </c>
      <c r="M106" s="2">
        <v>0.29849999999999999</v>
      </c>
      <c r="N106" s="1">
        <v>6</v>
      </c>
      <c r="O106" s="1">
        <v>65</v>
      </c>
      <c r="P106" s="1">
        <v>71</v>
      </c>
      <c r="Q106" s="1" t="str">
        <f>IF(WEEKDAY(Bike_Sharing_Master6[[#This Row],[Dteday]],2)&gt;=6,"Weekend","Weekday")</f>
        <v>Weekday</v>
      </c>
      <c r="R106" s="1" t="str">
        <f xml:space="preserve"> IF(Bike_Sharing_Master6[[#This Row],[Hr]]&lt;6,"Late Night", IF(Bike_Sharing_Master6[[#This Row],[Hr]]&lt;10,"Morning Peak", IF(Bike_Sharing_Master6[[#This Row],[Hr]]&lt;17,"Daytime", IF(Bike_Sharing_Master6[[#This Row],[Hr]]&lt;21,"Evening Peak","Night"))))</f>
        <v>Daytime</v>
      </c>
      <c r="S106" s="1" t="str">
        <f>IF(Bike_Sharing_Master6[[#This Row],[Holiday]]=1,"Holiday","Non-Holiday")</f>
        <v>Non-Holiday</v>
      </c>
      <c r="T106" s="1" t="str">
        <f>IF(Bike_Sharing_Master6[[#This Row],[Cnt]]&lt;80,"Low",IF(Bike_Sharing_Master6[[#This Row],[Cnt]]&lt;160,"Medium","High"))</f>
        <v>Low</v>
      </c>
      <c r="U106" s="1" t="str">
        <f>VLOOKUP(Bike_Sharing_Master6[[#This Row],[Weathersit]],[1]Lookup_Weather!A:B,2,FALSE)</f>
        <v>Clear</v>
      </c>
    </row>
    <row r="107" spans="1:21" x14ac:dyDescent="0.3">
      <c r="A107">
        <v>106</v>
      </c>
      <c r="B107" s="3">
        <v>40548</v>
      </c>
      <c r="C107" s="1">
        <v>1</v>
      </c>
      <c r="D107" s="1">
        <v>0</v>
      </c>
      <c r="E107" s="1">
        <v>1</v>
      </c>
      <c r="F107" s="1">
        <v>14</v>
      </c>
      <c r="G107" t="b">
        <v>0</v>
      </c>
      <c r="H107" s="1">
        <v>3</v>
      </c>
      <c r="I107" s="1">
        <v>1</v>
      </c>
      <c r="J107" s="2">
        <v>0.3</v>
      </c>
      <c r="K107" s="2">
        <v>0.28789999999999999</v>
      </c>
      <c r="L107" s="2">
        <v>0.28000000000000003</v>
      </c>
      <c r="M107" s="2">
        <v>0.19400000000000001</v>
      </c>
      <c r="N107" s="1">
        <v>10</v>
      </c>
      <c r="O107" s="1">
        <v>52</v>
      </c>
      <c r="P107" s="1">
        <v>62</v>
      </c>
      <c r="Q107" s="1" t="str">
        <f>IF(WEEKDAY(Bike_Sharing_Master6[[#This Row],[Dteday]],2)&gt;=6,"Weekend","Weekday")</f>
        <v>Weekday</v>
      </c>
      <c r="R107" s="1" t="str">
        <f xml:space="preserve"> IF(Bike_Sharing_Master6[[#This Row],[Hr]]&lt;6,"Late Night", IF(Bike_Sharing_Master6[[#This Row],[Hr]]&lt;10,"Morning Peak", IF(Bike_Sharing_Master6[[#This Row],[Hr]]&lt;17,"Daytime", IF(Bike_Sharing_Master6[[#This Row],[Hr]]&lt;21,"Evening Peak","Night"))))</f>
        <v>Daytime</v>
      </c>
      <c r="S107" s="1" t="str">
        <f>IF(Bike_Sharing_Master6[[#This Row],[Holiday]]=1,"Holiday","Non-Holiday")</f>
        <v>Non-Holiday</v>
      </c>
      <c r="T107" s="1" t="str">
        <f>IF(Bike_Sharing_Master6[[#This Row],[Cnt]]&lt;80,"Low",IF(Bike_Sharing_Master6[[#This Row],[Cnt]]&lt;160,"Medium","High"))</f>
        <v>Low</v>
      </c>
      <c r="U107" s="1" t="str">
        <f>VLOOKUP(Bike_Sharing_Master6[[#This Row],[Weathersit]],[1]Lookup_Weather!A:B,2,FALSE)</f>
        <v>Clear</v>
      </c>
    </row>
    <row r="108" spans="1:21" x14ac:dyDescent="0.3">
      <c r="A108">
        <v>107</v>
      </c>
      <c r="B108" s="3">
        <v>40548</v>
      </c>
      <c r="C108" s="1">
        <v>1</v>
      </c>
      <c r="D108" s="1">
        <v>0</v>
      </c>
      <c r="E108" s="1">
        <v>1</v>
      </c>
      <c r="F108" s="1">
        <v>15</v>
      </c>
      <c r="G108" t="b">
        <v>0</v>
      </c>
      <c r="H108" s="1">
        <v>3</v>
      </c>
      <c r="I108" s="1">
        <v>1</v>
      </c>
      <c r="J108" s="2">
        <v>0.3</v>
      </c>
      <c r="K108" s="2">
        <v>0.28789999999999999</v>
      </c>
      <c r="L108" s="2">
        <v>0.28000000000000003</v>
      </c>
      <c r="M108" s="2">
        <v>0.19400000000000001</v>
      </c>
      <c r="N108" s="1">
        <v>7</v>
      </c>
      <c r="O108" s="1">
        <v>55</v>
      </c>
      <c r="P108" s="1">
        <v>62</v>
      </c>
      <c r="Q108" s="1" t="str">
        <f>IF(WEEKDAY(Bike_Sharing_Master6[[#This Row],[Dteday]],2)&gt;=6,"Weekend","Weekday")</f>
        <v>Weekday</v>
      </c>
      <c r="R108" s="1" t="str">
        <f xml:space="preserve"> IF(Bike_Sharing_Master6[[#This Row],[Hr]]&lt;6,"Late Night", IF(Bike_Sharing_Master6[[#This Row],[Hr]]&lt;10,"Morning Peak", IF(Bike_Sharing_Master6[[#This Row],[Hr]]&lt;17,"Daytime", IF(Bike_Sharing_Master6[[#This Row],[Hr]]&lt;21,"Evening Peak","Night"))))</f>
        <v>Daytime</v>
      </c>
      <c r="S108" s="1" t="str">
        <f>IF(Bike_Sharing_Master6[[#This Row],[Holiday]]=1,"Holiday","Non-Holiday")</f>
        <v>Non-Holiday</v>
      </c>
      <c r="T108" s="1" t="str">
        <f>IF(Bike_Sharing_Master6[[#This Row],[Cnt]]&lt;80,"Low",IF(Bike_Sharing_Master6[[#This Row],[Cnt]]&lt;160,"Medium","High"))</f>
        <v>Low</v>
      </c>
      <c r="U108" s="1" t="str">
        <f>VLOOKUP(Bike_Sharing_Master6[[#This Row],[Weathersit]],[1]Lookup_Weather!A:B,2,FALSE)</f>
        <v>Clear</v>
      </c>
    </row>
    <row r="109" spans="1:21" x14ac:dyDescent="0.3">
      <c r="A109">
        <v>108</v>
      </c>
      <c r="B109" s="3">
        <v>40548</v>
      </c>
      <c r="C109" s="1">
        <v>1</v>
      </c>
      <c r="D109" s="1">
        <v>0</v>
      </c>
      <c r="E109" s="1">
        <v>1</v>
      </c>
      <c r="F109" s="1">
        <v>16</v>
      </c>
      <c r="G109" t="b">
        <v>0</v>
      </c>
      <c r="H109" s="1">
        <v>3</v>
      </c>
      <c r="I109" s="1">
        <v>1</v>
      </c>
      <c r="J109" s="2">
        <v>0.3</v>
      </c>
      <c r="K109" s="2">
        <v>0.31819999999999998</v>
      </c>
      <c r="L109" s="2">
        <v>0.28000000000000003</v>
      </c>
      <c r="M109" s="2">
        <v>8.9599999999999999E-2</v>
      </c>
      <c r="N109" s="1">
        <v>4</v>
      </c>
      <c r="O109" s="1">
        <v>85</v>
      </c>
      <c r="P109" s="1">
        <v>89</v>
      </c>
      <c r="Q109" s="1" t="str">
        <f>IF(WEEKDAY(Bike_Sharing_Master6[[#This Row],[Dteday]],2)&gt;=6,"Weekend","Weekday")</f>
        <v>Weekday</v>
      </c>
      <c r="R109" s="1" t="str">
        <f xml:space="preserve"> IF(Bike_Sharing_Master6[[#This Row],[Hr]]&lt;6,"Late Night", IF(Bike_Sharing_Master6[[#This Row],[Hr]]&lt;10,"Morning Peak", IF(Bike_Sharing_Master6[[#This Row],[Hr]]&lt;17,"Daytime", IF(Bike_Sharing_Master6[[#This Row],[Hr]]&lt;21,"Evening Peak","Night"))))</f>
        <v>Daytime</v>
      </c>
      <c r="S109" s="1" t="str">
        <f>IF(Bike_Sharing_Master6[[#This Row],[Holiday]]=1,"Holiday","Non-Holiday")</f>
        <v>Non-Holiday</v>
      </c>
      <c r="T109" s="1" t="str">
        <f>IF(Bike_Sharing_Master6[[#This Row],[Cnt]]&lt;80,"Low",IF(Bike_Sharing_Master6[[#This Row],[Cnt]]&lt;160,"Medium","High"))</f>
        <v>Medium</v>
      </c>
      <c r="U109" s="1" t="str">
        <f>VLOOKUP(Bike_Sharing_Master6[[#This Row],[Weathersit]],[1]Lookup_Weather!A:B,2,FALSE)</f>
        <v>Clear</v>
      </c>
    </row>
    <row r="110" spans="1:21" x14ac:dyDescent="0.3">
      <c r="A110">
        <v>109</v>
      </c>
      <c r="B110" s="3">
        <v>40548</v>
      </c>
      <c r="C110" s="1">
        <v>1</v>
      </c>
      <c r="D110" s="1">
        <v>0</v>
      </c>
      <c r="E110" s="1">
        <v>1</v>
      </c>
      <c r="F110" s="1">
        <v>17</v>
      </c>
      <c r="G110" t="b">
        <v>0</v>
      </c>
      <c r="H110" s="1">
        <v>3</v>
      </c>
      <c r="I110" s="1">
        <v>1</v>
      </c>
      <c r="J110" s="2">
        <v>0.24</v>
      </c>
      <c r="K110" s="2">
        <v>0.2273</v>
      </c>
      <c r="L110" s="2">
        <v>0.38</v>
      </c>
      <c r="M110" s="2">
        <v>0.19400000000000001</v>
      </c>
      <c r="N110" s="1">
        <v>4</v>
      </c>
      <c r="O110" s="1">
        <v>186</v>
      </c>
      <c r="P110" s="1">
        <v>190</v>
      </c>
      <c r="Q110" s="1" t="str">
        <f>IF(WEEKDAY(Bike_Sharing_Master6[[#This Row],[Dteday]],2)&gt;=6,"Weekend","Weekday")</f>
        <v>Weekday</v>
      </c>
      <c r="R110" s="1" t="str">
        <f xml:space="preserve"> IF(Bike_Sharing_Master6[[#This Row],[Hr]]&lt;6,"Late Night", IF(Bike_Sharing_Master6[[#This Row],[Hr]]&lt;10,"Morning Peak", IF(Bike_Sharing_Master6[[#This Row],[Hr]]&lt;17,"Daytime", IF(Bike_Sharing_Master6[[#This Row],[Hr]]&lt;21,"Evening Peak","Night"))))</f>
        <v>Evening Peak</v>
      </c>
      <c r="S110" s="1" t="str">
        <f>IF(Bike_Sharing_Master6[[#This Row],[Holiday]]=1,"Holiday","Non-Holiday")</f>
        <v>Non-Holiday</v>
      </c>
      <c r="T110" s="1" t="str">
        <f>IF(Bike_Sharing_Master6[[#This Row],[Cnt]]&lt;80,"Low",IF(Bike_Sharing_Master6[[#This Row],[Cnt]]&lt;160,"Medium","High"))</f>
        <v>High</v>
      </c>
      <c r="U110" s="1" t="str">
        <f>VLOOKUP(Bike_Sharing_Master6[[#This Row],[Weathersit]],[1]Lookup_Weather!A:B,2,FALSE)</f>
        <v>Clear</v>
      </c>
    </row>
    <row r="111" spans="1:21" x14ac:dyDescent="0.3">
      <c r="A111">
        <v>110</v>
      </c>
      <c r="B111" s="3">
        <v>40548</v>
      </c>
      <c r="C111" s="1">
        <v>1</v>
      </c>
      <c r="D111" s="1">
        <v>0</v>
      </c>
      <c r="E111" s="1">
        <v>1</v>
      </c>
      <c r="F111" s="1">
        <v>18</v>
      </c>
      <c r="G111" t="b">
        <v>0</v>
      </c>
      <c r="H111" s="1">
        <v>3</v>
      </c>
      <c r="I111" s="1">
        <v>1</v>
      </c>
      <c r="J111" s="2">
        <v>0.24</v>
      </c>
      <c r="K111" s="2">
        <v>0.2424</v>
      </c>
      <c r="L111" s="2">
        <v>0.38</v>
      </c>
      <c r="M111" s="2">
        <v>0.1343</v>
      </c>
      <c r="N111" s="1">
        <v>3</v>
      </c>
      <c r="O111" s="1">
        <v>166</v>
      </c>
      <c r="P111" s="1">
        <v>169</v>
      </c>
      <c r="Q111" s="1" t="str">
        <f>IF(WEEKDAY(Bike_Sharing_Master6[[#This Row],[Dteday]],2)&gt;=6,"Weekend","Weekday")</f>
        <v>Weekday</v>
      </c>
      <c r="R111" s="1" t="str">
        <f xml:space="preserve"> IF(Bike_Sharing_Master6[[#This Row],[Hr]]&lt;6,"Late Night", IF(Bike_Sharing_Master6[[#This Row],[Hr]]&lt;10,"Morning Peak", IF(Bike_Sharing_Master6[[#This Row],[Hr]]&lt;17,"Daytime", IF(Bike_Sharing_Master6[[#This Row],[Hr]]&lt;21,"Evening Peak","Night"))))</f>
        <v>Evening Peak</v>
      </c>
      <c r="S111" s="1" t="str">
        <f>IF(Bike_Sharing_Master6[[#This Row],[Holiday]]=1,"Holiday","Non-Holiday")</f>
        <v>Non-Holiday</v>
      </c>
      <c r="T111" s="1" t="str">
        <f>IF(Bike_Sharing_Master6[[#This Row],[Cnt]]&lt;80,"Low",IF(Bike_Sharing_Master6[[#This Row],[Cnt]]&lt;160,"Medium","High"))</f>
        <v>High</v>
      </c>
      <c r="U111" s="1" t="str">
        <f>VLOOKUP(Bike_Sharing_Master6[[#This Row],[Weathersit]],[1]Lookup_Weather!A:B,2,FALSE)</f>
        <v>Clear</v>
      </c>
    </row>
    <row r="112" spans="1:21" x14ac:dyDescent="0.3">
      <c r="A112">
        <v>111</v>
      </c>
      <c r="B112" s="3">
        <v>40548</v>
      </c>
      <c r="C112" s="1">
        <v>1</v>
      </c>
      <c r="D112" s="1">
        <v>0</v>
      </c>
      <c r="E112" s="1">
        <v>1</v>
      </c>
      <c r="F112" s="1">
        <v>19</v>
      </c>
      <c r="G112" t="b">
        <v>0</v>
      </c>
      <c r="H112" s="1">
        <v>3</v>
      </c>
      <c r="I112" s="1">
        <v>1</v>
      </c>
      <c r="J112" s="2">
        <v>0.24</v>
      </c>
      <c r="K112" s="2">
        <v>0.2576</v>
      </c>
      <c r="L112" s="2">
        <v>0.38</v>
      </c>
      <c r="M112" s="2">
        <v>0.1045</v>
      </c>
      <c r="N112" s="1">
        <v>5</v>
      </c>
      <c r="O112" s="1">
        <v>127</v>
      </c>
      <c r="P112" s="1">
        <v>132</v>
      </c>
      <c r="Q112" s="1" t="str">
        <f>IF(WEEKDAY(Bike_Sharing_Master6[[#This Row],[Dteday]],2)&gt;=6,"Weekend","Weekday")</f>
        <v>Weekday</v>
      </c>
      <c r="R112" s="1" t="str">
        <f xml:space="preserve"> IF(Bike_Sharing_Master6[[#This Row],[Hr]]&lt;6,"Late Night", IF(Bike_Sharing_Master6[[#This Row],[Hr]]&lt;10,"Morning Peak", IF(Bike_Sharing_Master6[[#This Row],[Hr]]&lt;17,"Daytime", IF(Bike_Sharing_Master6[[#This Row],[Hr]]&lt;21,"Evening Peak","Night"))))</f>
        <v>Evening Peak</v>
      </c>
      <c r="S112" s="1" t="str">
        <f>IF(Bike_Sharing_Master6[[#This Row],[Holiday]]=1,"Holiday","Non-Holiday")</f>
        <v>Non-Holiday</v>
      </c>
      <c r="T112" s="1" t="str">
        <f>IF(Bike_Sharing_Master6[[#This Row],[Cnt]]&lt;80,"Low",IF(Bike_Sharing_Master6[[#This Row],[Cnt]]&lt;160,"Medium","High"))</f>
        <v>Medium</v>
      </c>
      <c r="U112" s="1" t="str">
        <f>VLOOKUP(Bike_Sharing_Master6[[#This Row],[Weathersit]],[1]Lookup_Weather!A:B,2,FALSE)</f>
        <v>Clear</v>
      </c>
    </row>
    <row r="113" spans="1:21" x14ac:dyDescent="0.3">
      <c r="A113">
        <v>112</v>
      </c>
      <c r="B113" s="3">
        <v>40548</v>
      </c>
      <c r="C113" s="1">
        <v>1</v>
      </c>
      <c r="D113" s="1">
        <v>0</v>
      </c>
      <c r="E113" s="1">
        <v>1</v>
      </c>
      <c r="F113" s="1">
        <v>20</v>
      </c>
      <c r="G113" t="b">
        <v>0</v>
      </c>
      <c r="H113" s="1">
        <v>3</v>
      </c>
      <c r="I113" s="1">
        <v>1</v>
      </c>
      <c r="J113" s="2">
        <v>0.22</v>
      </c>
      <c r="K113" s="2">
        <v>0.2273</v>
      </c>
      <c r="L113" s="2">
        <v>0.47</v>
      </c>
      <c r="M113" s="2">
        <v>0.16420000000000001</v>
      </c>
      <c r="N113" s="1">
        <v>7</v>
      </c>
      <c r="O113" s="1">
        <v>82</v>
      </c>
      <c r="P113" s="1">
        <v>89</v>
      </c>
      <c r="Q113" s="1" t="str">
        <f>IF(WEEKDAY(Bike_Sharing_Master6[[#This Row],[Dteday]],2)&gt;=6,"Weekend","Weekday")</f>
        <v>Weekday</v>
      </c>
      <c r="R113" s="1" t="str">
        <f xml:space="preserve"> IF(Bike_Sharing_Master6[[#This Row],[Hr]]&lt;6,"Late Night", IF(Bike_Sharing_Master6[[#This Row],[Hr]]&lt;10,"Morning Peak", IF(Bike_Sharing_Master6[[#This Row],[Hr]]&lt;17,"Daytime", IF(Bike_Sharing_Master6[[#This Row],[Hr]]&lt;21,"Evening Peak","Night"))))</f>
        <v>Evening Peak</v>
      </c>
      <c r="S113" s="1" t="str">
        <f>IF(Bike_Sharing_Master6[[#This Row],[Holiday]]=1,"Holiday","Non-Holiday")</f>
        <v>Non-Holiday</v>
      </c>
      <c r="T113" s="1" t="str">
        <f>IF(Bike_Sharing_Master6[[#This Row],[Cnt]]&lt;80,"Low",IF(Bike_Sharing_Master6[[#This Row],[Cnt]]&lt;160,"Medium","High"))</f>
        <v>Medium</v>
      </c>
      <c r="U113" s="1" t="str">
        <f>VLOOKUP(Bike_Sharing_Master6[[#This Row],[Weathersit]],[1]Lookup_Weather!A:B,2,FALSE)</f>
        <v>Clear</v>
      </c>
    </row>
    <row r="114" spans="1:21" x14ac:dyDescent="0.3">
      <c r="A114">
        <v>113</v>
      </c>
      <c r="B114" s="3">
        <v>40548</v>
      </c>
      <c r="C114" s="1">
        <v>1</v>
      </c>
      <c r="D114" s="1">
        <v>0</v>
      </c>
      <c r="E114" s="1">
        <v>1</v>
      </c>
      <c r="F114" s="1">
        <v>21</v>
      </c>
      <c r="G114" t="b">
        <v>0</v>
      </c>
      <c r="H114" s="1">
        <v>3</v>
      </c>
      <c r="I114" s="1">
        <v>1</v>
      </c>
      <c r="J114" s="2">
        <v>0.2</v>
      </c>
      <c r="K114" s="2">
        <v>0.19700000000000001</v>
      </c>
      <c r="L114" s="2">
        <v>0.51</v>
      </c>
      <c r="M114" s="2">
        <v>0.19400000000000001</v>
      </c>
      <c r="N114" s="1">
        <v>3</v>
      </c>
      <c r="O114" s="1">
        <v>40</v>
      </c>
      <c r="P114" s="1">
        <v>43</v>
      </c>
      <c r="Q114" s="1" t="str">
        <f>IF(WEEKDAY(Bike_Sharing_Master6[[#This Row],[Dteday]],2)&gt;=6,"Weekend","Weekday")</f>
        <v>Weekday</v>
      </c>
      <c r="R114" s="1" t="str">
        <f xml:space="preserve"> IF(Bike_Sharing_Master6[[#This Row],[Hr]]&lt;6,"Late Night", IF(Bike_Sharing_Master6[[#This Row],[Hr]]&lt;10,"Morning Peak", IF(Bike_Sharing_Master6[[#This Row],[Hr]]&lt;17,"Daytime", IF(Bike_Sharing_Master6[[#This Row],[Hr]]&lt;21,"Evening Peak","Night"))))</f>
        <v>Night</v>
      </c>
      <c r="S114" s="1" t="str">
        <f>IF(Bike_Sharing_Master6[[#This Row],[Holiday]]=1,"Holiday","Non-Holiday")</f>
        <v>Non-Holiday</v>
      </c>
      <c r="T114" s="1" t="str">
        <f>IF(Bike_Sharing_Master6[[#This Row],[Cnt]]&lt;80,"Low",IF(Bike_Sharing_Master6[[#This Row],[Cnt]]&lt;160,"Medium","High"))</f>
        <v>Low</v>
      </c>
      <c r="U114" s="1" t="str">
        <f>VLOOKUP(Bike_Sharing_Master6[[#This Row],[Weathersit]],[1]Lookup_Weather!A:B,2,FALSE)</f>
        <v>Clear</v>
      </c>
    </row>
    <row r="115" spans="1:21" x14ac:dyDescent="0.3">
      <c r="A115">
        <v>114</v>
      </c>
      <c r="B115" s="3">
        <v>40548</v>
      </c>
      <c r="C115" s="1">
        <v>1</v>
      </c>
      <c r="D115" s="1">
        <v>0</v>
      </c>
      <c r="E115" s="1">
        <v>1</v>
      </c>
      <c r="F115" s="1">
        <v>22</v>
      </c>
      <c r="G115" t="b">
        <v>0</v>
      </c>
      <c r="H115" s="1">
        <v>3</v>
      </c>
      <c r="I115" s="1">
        <v>1</v>
      </c>
      <c r="J115" s="2">
        <v>0.18</v>
      </c>
      <c r="K115" s="2">
        <v>0.19700000000000001</v>
      </c>
      <c r="L115" s="2">
        <v>0.55000000000000004</v>
      </c>
      <c r="M115" s="2">
        <v>0.1343</v>
      </c>
      <c r="N115" s="1">
        <v>1</v>
      </c>
      <c r="O115" s="1">
        <v>41</v>
      </c>
      <c r="P115" s="1">
        <v>42</v>
      </c>
      <c r="Q115" s="1" t="str">
        <f>IF(WEEKDAY(Bike_Sharing_Master6[[#This Row],[Dteday]],2)&gt;=6,"Weekend","Weekday")</f>
        <v>Weekday</v>
      </c>
      <c r="R115" s="1" t="str">
        <f xml:space="preserve"> IF(Bike_Sharing_Master6[[#This Row],[Hr]]&lt;6,"Late Night", IF(Bike_Sharing_Master6[[#This Row],[Hr]]&lt;10,"Morning Peak", IF(Bike_Sharing_Master6[[#This Row],[Hr]]&lt;17,"Daytime", IF(Bike_Sharing_Master6[[#This Row],[Hr]]&lt;21,"Evening Peak","Night"))))</f>
        <v>Night</v>
      </c>
      <c r="S115" s="1" t="str">
        <f>IF(Bike_Sharing_Master6[[#This Row],[Holiday]]=1,"Holiday","Non-Holiday")</f>
        <v>Non-Holiday</v>
      </c>
      <c r="T115" s="1" t="str">
        <f>IF(Bike_Sharing_Master6[[#This Row],[Cnt]]&lt;80,"Low",IF(Bike_Sharing_Master6[[#This Row],[Cnt]]&lt;160,"Medium","High"))</f>
        <v>Low</v>
      </c>
      <c r="U115" s="1" t="str">
        <f>VLOOKUP(Bike_Sharing_Master6[[#This Row],[Weathersit]],[1]Lookup_Weather!A:B,2,FALSE)</f>
        <v>Clear</v>
      </c>
    </row>
    <row r="116" spans="1:21" x14ac:dyDescent="0.3">
      <c r="A116">
        <v>115</v>
      </c>
      <c r="B116" s="3">
        <v>40548</v>
      </c>
      <c r="C116" s="1">
        <v>1</v>
      </c>
      <c r="D116" s="1">
        <v>0</v>
      </c>
      <c r="E116" s="1">
        <v>1</v>
      </c>
      <c r="F116" s="1">
        <v>23</v>
      </c>
      <c r="G116" t="b">
        <v>0</v>
      </c>
      <c r="H116" s="1">
        <v>3</v>
      </c>
      <c r="I116" s="1">
        <v>1</v>
      </c>
      <c r="J116" s="2">
        <v>0.2</v>
      </c>
      <c r="K116" s="2">
        <v>0.2576</v>
      </c>
      <c r="L116" s="2">
        <v>0.47</v>
      </c>
      <c r="M116" s="2">
        <v>0</v>
      </c>
      <c r="N116" s="1">
        <v>1</v>
      </c>
      <c r="O116" s="1">
        <v>18</v>
      </c>
      <c r="P116" s="1">
        <v>19</v>
      </c>
      <c r="Q116" s="1" t="str">
        <f>IF(WEEKDAY(Bike_Sharing_Master6[[#This Row],[Dteday]],2)&gt;=6,"Weekend","Weekday")</f>
        <v>Weekday</v>
      </c>
      <c r="R116" s="1" t="str">
        <f xml:space="preserve"> IF(Bike_Sharing_Master6[[#This Row],[Hr]]&lt;6,"Late Night", IF(Bike_Sharing_Master6[[#This Row],[Hr]]&lt;10,"Morning Peak", IF(Bike_Sharing_Master6[[#This Row],[Hr]]&lt;17,"Daytime", IF(Bike_Sharing_Master6[[#This Row],[Hr]]&lt;21,"Evening Peak","Night"))))</f>
        <v>Night</v>
      </c>
      <c r="S116" s="1" t="str">
        <f>IF(Bike_Sharing_Master6[[#This Row],[Holiday]]=1,"Holiday","Non-Holiday")</f>
        <v>Non-Holiday</v>
      </c>
      <c r="T116" s="1" t="str">
        <f>IF(Bike_Sharing_Master6[[#This Row],[Cnt]]&lt;80,"Low",IF(Bike_Sharing_Master6[[#This Row],[Cnt]]&lt;160,"Medium","High"))</f>
        <v>Low</v>
      </c>
      <c r="U116" s="1" t="str">
        <f>VLOOKUP(Bike_Sharing_Master6[[#This Row],[Weathersit]],[1]Lookup_Weather!A:B,2,FALSE)</f>
        <v>Clear</v>
      </c>
    </row>
    <row r="117" spans="1:21" x14ac:dyDescent="0.3">
      <c r="A117">
        <v>116</v>
      </c>
      <c r="B117" s="3">
        <v>40549</v>
      </c>
      <c r="C117" s="1">
        <v>1</v>
      </c>
      <c r="D117" s="1">
        <v>0</v>
      </c>
      <c r="E117" s="1">
        <v>1</v>
      </c>
      <c r="F117" s="1">
        <v>0</v>
      </c>
      <c r="G117" t="b">
        <v>0</v>
      </c>
      <c r="H117" s="1">
        <v>4</v>
      </c>
      <c r="I117" s="1">
        <v>1</v>
      </c>
      <c r="J117" s="2">
        <v>0.18</v>
      </c>
      <c r="K117" s="2">
        <v>0.2424</v>
      </c>
      <c r="L117" s="2">
        <v>0.55000000000000004</v>
      </c>
      <c r="M117" s="2">
        <v>0</v>
      </c>
      <c r="N117" s="1">
        <v>0</v>
      </c>
      <c r="O117" s="1">
        <v>11</v>
      </c>
      <c r="P117" s="1">
        <v>11</v>
      </c>
      <c r="Q117" s="1" t="str">
        <f>IF(WEEKDAY(Bike_Sharing_Master6[[#This Row],[Dteday]],2)&gt;=6,"Weekend","Weekday")</f>
        <v>Weekday</v>
      </c>
      <c r="R117" s="1" t="str">
        <f xml:space="preserve"> IF(Bike_Sharing_Master6[[#This Row],[Hr]]&lt;6,"Late Night", IF(Bike_Sharing_Master6[[#This Row],[Hr]]&lt;10,"Morning Peak", IF(Bike_Sharing_Master6[[#This Row],[Hr]]&lt;17,"Daytime", IF(Bike_Sharing_Master6[[#This Row],[Hr]]&lt;21,"Evening Peak","Night"))))</f>
        <v>Late Night</v>
      </c>
      <c r="S117" s="1" t="str">
        <f>IF(Bike_Sharing_Master6[[#This Row],[Holiday]]=1,"Holiday","Non-Holiday")</f>
        <v>Non-Holiday</v>
      </c>
      <c r="T117" s="1" t="str">
        <f>IF(Bike_Sharing_Master6[[#This Row],[Cnt]]&lt;80,"Low",IF(Bike_Sharing_Master6[[#This Row],[Cnt]]&lt;160,"Medium","High"))</f>
        <v>Low</v>
      </c>
      <c r="U117" s="1" t="str">
        <f>VLOOKUP(Bike_Sharing_Master6[[#This Row],[Weathersit]],[1]Lookup_Weather!A:B,2,FALSE)</f>
        <v>Clear</v>
      </c>
    </row>
    <row r="118" spans="1:21" x14ac:dyDescent="0.3">
      <c r="A118">
        <v>117</v>
      </c>
      <c r="B118" s="3">
        <v>40549</v>
      </c>
      <c r="C118" s="1">
        <v>1</v>
      </c>
      <c r="D118" s="1">
        <v>0</v>
      </c>
      <c r="E118" s="1">
        <v>1</v>
      </c>
      <c r="F118" s="1">
        <v>1</v>
      </c>
      <c r="G118" t="b">
        <v>0</v>
      </c>
      <c r="H118" s="1">
        <v>4</v>
      </c>
      <c r="I118" s="1">
        <v>1</v>
      </c>
      <c r="J118" s="2">
        <v>0.16</v>
      </c>
      <c r="K118" s="2">
        <v>0.2273</v>
      </c>
      <c r="L118" s="2">
        <v>0.64</v>
      </c>
      <c r="M118" s="2">
        <v>0</v>
      </c>
      <c r="N118" s="1">
        <v>0</v>
      </c>
      <c r="O118" s="1">
        <v>4</v>
      </c>
      <c r="P118" s="1">
        <v>4</v>
      </c>
      <c r="Q118" s="1" t="str">
        <f>IF(WEEKDAY(Bike_Sharing_Master6[[#This Row],[Dteday]],2)&gt;=6,"Weekend","Weekday")</f>
        <v>Weekday</v>
      </c>
      <c r="R118" s="1" t="str">
        <f xml:space="preserve"> IF(Bike_Sharing_Master6[[#This Row],[Hr]]&lt;6,"Late Night", IF(Bike_Sharing_Master6[[#This Row],[Hr]]&lt;10,"Morning Peak", IF(Bike_Sharing_Master6[[#This Row],[Hr]]&lt;17,"Daytime", IF(Bike_Sharing_Master6[[#This Row],[Hr]]&lt;21,"Evening Peak","Night"))))</f>
        <v>Late Night</v>
      </c>
      <c r="S118" s="1" t="str">
        <f>IF(Bike_Sharing_Master6[[#This Row],[Holiday]]=1,"Holiday","Non-Holiday")</f>
        <v>Non-Holiday</v>
      </c>
      <c r="T118" s="1" t="str">
        <f>IF(Bike_Sharing_Master6[[#This Row],[Cnt]]&lt;80,"Low",IF(Bike_Sharing_Master6[[#This Row],[Cnt]]&lt;160,"Medium","High"))</f>
        <v>Low</v>
      </c>
      <c r="U118" s="1" t="str">
        <f>VLOOKUP(Bike_Sharing_Master6[[#This Row],[Weathersit]],[1]Lookup_Weather!A:B,2,FALSE)</f>
        <v>Clear</v>
      </c>
    </row>
    <row r="119" spans="1:21" x14ac:dyDescent="0.3">
      <c r="A119">
        <v>118</v>
      </c>
      <c r="B119" s="3">
        <v>40549</v>
      </c>
      <c r="C119" s="1">
        <v>1</v>
      </c>
      <c r="D119" s="1">
        <v>0</v>
      </c>
      <c r="E119" s="1">
        <v>1</v>
      </c>
      <c r="F119" s="1">
        <v>2</v>
      </c>
      <c r="G119" t="b">
        <v>0</v>
      </c>
      <c r="H119" s="1">
        <v>4</v>
      </c>
      <c r="I119" s="1">
        <v>1</v>
      </c>
      <c r="J119" s="2">
        <v>0.16</v>
      </c>
      <c r="K119" s="2">
        <v>0.2273</v>
      </c>
      <c r="L119" s="2">
        <v>0.64</v>
      </c>
      <c r="M119" s="2">
        <v>0</v>
      </c>
      <c r="N119" s="1">
        <v>0</v>
      </c>
      <c r="O119" s="1">
        <v>2</v>
      </c>
      <c r="P119" s="1">
        <v>2</v>
      </c>
      <c r="Q119" s="1" t="str">
        <f>IF(WEEKDAY(Bike_Sharing_Master6[[#This Row],[Dteday]],2)&gt;=6,"Weekend","Weekday")</f>
        <v>Weekday</v>
      </c>
      <c r="R119" s="1" t="str">
        <f xml:space="preserve"> IF(Bike_Sharing_Master6[[#This Row],[Hr]]&lt;6,"Late Night", IF(Bike_Sharing_Master6[[#This Row],[Hr]]&lt;10,"Morning Peak", IF(Bike_Sharing_Master6[[#This Row],[Hr]]&lt;17,"Daytime", IF(Bike_Sharing_Master6[[#This Row],[Hr]]&lt;21,"Evening Peak","Night"))))</f>
        <v>Late Night</v>
      </c>
      <c r="S119" s="1" t="str">
        <f>IF(Bike_Sharing_Master6[[#This Row],[Holiday]]=1,"Holiday","Non-Holiday")</f>
        <v>Non-Holiday</v>
      </c>
      <c r="T119" s="1" t="str">
        <f>IF(Bike_Sharing_Master6[[#This Row],[Cnt]]&lt;80,"Low",IF(Bike_Sharing_Master6[[#This Row],[Cnt]]&lt;160,"Medium","High"))</f>
        <v>Low</v>
      </c>
      <c r="U119" s="1" t="str">
        <f>VLOOKUP(Bike_Sharing_Master6[[#This Row],[Weathersit]],[1]Lookup_Weather!A:B,2,FALSE)</f>
        <v>Clear</v>
      </c>
    </row>
    <row r="120" spans="1:21" x14ac:dyDescent="0.3">
      <c r="A120">
        <v>119</v>
      </c>
      <c r="B120" s="3">
        <v>40549</v>
      </c>
      <c r="C120" s="1">
        <v>1</v>
      </c>
      <c r="D120" s="1">
        <v>0</v>
      </c>
      <c r="E120" s="1">
        <v>1</v>
      </c>
      <c r="F120" s="1">
        <v>4</v>
      </c>
      <c r="G120" t="b">
        <v>0</v>
      </c>
      <c r="H120" s="1">
        <v>4</v>
      </c>
      <c r="I120" s="1">
        <v>2</v>
      </c>
      <c r="J120" s="2">
        <v>0.16</v>
      </c>
      <c r="K120" s="2">
        <v>0.19700000000000001</v>
      </c>
      <c r="L120" s="2">
        <v>0.64</v>
      </c>
      <c r="M120" s="2">
        <v>8.9599999999999999E-2</v>
      </c>
      <c r="N120" s="1">
        <v>0</v>
      </c>
      <c r="O120" s="1">
        <v>1</v>
      </c>
      <c r="P120" s="1">
        <v>1</v>
      </c>
      <c r="Q120" s="1" t="str">
        <f>IF(WEEKDAY(Bike_Sharing_Master6[[#This Row],[Dteday]],2)&gt;=6,"Weekend","Weekday")</f>
        <v>Weekday</v>
      </c>
      <c r="R120" s="1" t="str">
        <f xml:space="preserve"> IF(Bike_Sharing_Master6[[#This Row],[Hr]]&lt;6,"Late Night", IF(Bike_Sharing_Master6[[#This Row],[Hr]]&lt;10,"Morning Peak", IF(Bike_Sharing_Master6[[#This Row],[Hr]]&lt;17,"Daytime", IF(Bike_Sharing_Master6[[#This Row],[Hr]]&lt;21,"Evening Peak","Night"))))</f>
        <v>Late Night</v>
      </c>
      <c r="S120" s="1" t="str">
        <f>IF(Bike_Sharing_Master6[[#This Row],[Holiday]]=1,"Holiday","Non-Holiday")</f>
        <v>Non-Holiday</v>
      </c>
      <c r="T120" s="1" t="str">
        <f>IF(Bike_Sharing_Master6[[#This Row],[Cnt]]&lt;80,"Low",IF(Bike_Sharing_Master6[[#This Row],[Cnt]]&lt;160,"Medium","High"))</f>
        <v>Low</v>
      </c>
      <c r="U120" s="1" t="str">
        <f>VLOOKUP(Bike_Sharing_Master6[[#This Row],[Weathersit]],[1]Lookup_Weather!A:B,2,FALSE)</f>
        <v>Mist</v>
      </c>
    </row>
    <row r="121" spans="1:21" x14ac:dyDescent="0.3">
      <c r="A121">
        <v>120</v>
      </c>
      <c r="B121" s="3">
        <v>40549</v>
      </c>
      <c r="C121" s="1">
        <v>1</v>
      </c>
      <c r="D121" s="1">
        <v>0</v>
      </c>
      <c r="E121" s="1">
        <v>1</v>
      </c>
      <c r="F121" s="1">
        <v>5</v>
      </c>
      <c r="G121" t="b">
        <v>0</v>
      </c>
      <c r="H121" s="1">
        <v>4</v>
      </c>
      <c r="I121" s="1">
        <v>2</v>
      </c>
      <c r="J121" s="2">
        <v>0.14000000000000001</v>
      </c>
      <c r="K121" s="2">
        <v>0.18179999999999999</v>
      </c>
      <c r="L121" s="2">
        <v>0.69</v>
      </c>
      <c r="M121" s="2">
        <v>8.9599999999999999E-2</v>
      </c>
      <c r="N121" s="1">
        <v>0</v>
      </c>
      <c r="O121" s="1">
        <v>4</v>
      </c>
      <c r="P121" s="1">
        <v>4</v>
      </c>
      <c r="Q121" s="1" t="str">
        <f>IF(WEEKDAY(Bike_Sharing_Master6[[#This Row],[Dteday]],2)&gt;=6,"Weekend","Weekday")</f>
        <v>Weekday</v>
      </c>
      <c r="R121" s="1" t="str">
        <f xml:space="preserve"> IF(Bike_Sharing_Master6[[#This Row],[Hr]]&lt;6,"Late Night", IF(Bike_Sharing_Master6[[#This Row],[Hr]]&lt;10,"Morning Peak", IF(Bike_Sharing_Master6[[#This Row],[Hr]]&lt;17,"Daytime", IF(Bike_Sharing_Master6[[#This Row],[Hr]]&lt;21,"Evening Peak","Night"))))</f>
        <v>Late Night</v>
      </c>
      <c r="S121" s="1" t="str">
        <f>IF(Bike_Sharing_Master6[[#This Row],[Holiday]]=1,"Holiday","Non-Holiday")</f>
        <v>Non-Holiday</v>
      </c>
      <c r="T121" s="1" t="str">
        <f>IF(Bike_Sharing_Master6[[#This Row],[Cnt]]&lt;80,"Low",IF(Bike_Sharing_Master6[[#This Row],[Cnt]]&lt;160,"Medium","High"))</f>
        <v>Low</v>
      </c>
      <c r="U121" s="1" t="str">
        <f>VLOOKUP(Bike_Sharing_Master6[[#This Row],[Weathersit]],[1]Lookup_Weather!A:B,2,FALSE)</f>
        <v>Mist</v>
      </c>
    </row>
    <row r="122" spans="1:21" x14ac:dyDescent="0.3">
      <c r="A122">
        <v>121</v>
      </c>
      <c r="B122" s="3">
        <v>40549</v>
      </c>
      <c r="C122" s="1">
        <v>1</v>
      </c>
      <c r="D122" s="1">
        <v>0</v>
      </c>
      <c r="E122" s="1">
        <v>1</v>
      </c>
      <c r="F122" s="1">
        <v>6</v>
      </c>
      <c r="G122" t="b">
        <v>0</v>
      </c>
      <c r="H122" s="1">
        <v>4</v>
      </c>
      <c r="I122" s="1">
        <v>2</v>
      </c>
      <c r="J122" s="2">
        <v>0.14000000000000001</v>
      </c>
      <c r="K122" s="2">
        <v>0.16669999999999999</v>
      </c>
      <c r="L122" s="2">
        <v>0.63</v>
      </c>
      <c r="M122" s="2">
        <v>0.1045</v>
      </c>
      <c r="N122" s="1">
        <v>0</v>
      </c>
      <c r="O122" s="1">
        <v>36</v>
      </c>
      <c r="P122" s="1">
        <v>36</v>
      </c>
      <c r="Q122" s="1" t="str">
        <f>IF(WEEKDAY(Bike_Sharing_Master6[[#This Row],[Dteday]],2)&gt;=6,"Weekend","Weekday")</f>
        <v>Weekday</v>
      </c>
      <c r="R122" s="1" t="str">
        <f xml:space="preserve"> IF(Bike_Sharing_Master6[[#This Row],[Hr]]&lt;6,"Late Night", IF(Bike_Sharing_Master6[[#This Row],[Hr]]&lt;10,"Morning Peak", IF(Bike_Sharing_Master6[[#This Row],[Hr]]&lt;17,"Daytime", IF(Bike_Sharing_Master6[[#This Row],[Hr]]&lt;21,"Evening Peak","Night"))))</f>
        <v>Morning Peak</v>
      </c>
      <c r="S122" s="1" t="str">
        <f>IF(Bike_Sharing_Master6[[#This Row],[Holiday]]=1,"Holiday","Non-Holiday")</f>
        <v>Non-Holiday</v>
      </c>
      <c r="T122" s="1" t="str">
        <f>IF(Bike_Sharing_Master6[[#This Row],[Cnt]]&lt;80,"Low",IF(Bike_Sharing_Master6[[#This Row],[Cnt]]&lt;160,"Medium","High"))</f>
        <v>Low</v>
      </c>
      <c r="U122" s="1" t="str">
        <f>VLOOKUP(Bike_Sharing_Master6[[#This Row],[Weathersit]],[1]Lookup_Weather!A:B,2,FALSE)</f>
        <v>Mist</v>
      </c>
    </row>
    <row r="123" spans="1:21" x14ac:dyDescent="0.3">
      <c r="A123">
        <v>122</v>
      </c>
      <c r="B123" s="3">
        <v>40549</v>
      </c>
      <c r="C123" s="1">
        <v>1</v>
      </c>
      <c r="D123" s="1">
        <v>0</v>
      </c>
      <c r="E123" s="1">
        <v>1</v>
      </c>
      <c r="F123" s="1">
        <v>7</v>
      </c>
      <c r="G123" t="b">
        <v>0</v>
      </c>
      <c r="H123" s="1">
        <v>4</v>
      </c>
      <c r="I123" s="1">
        <v>2</v>
      </c>
      <c r="J123" s="2">
        <v>0.16</v>
      </c>
      <c r="K123" s="2">
        <v>0.2273</v>
      </c>
      <c r="L123" s="2">
        <v>0.59</v>
      </c>
      <c r="M123" s="2">
        <v>0</v>
      </c>
      <c r="N123" s="1">
        <v>0</v>
      </c>
      <c r="O123" s="1">
        <v>95</v>
      </c>
      <c r="P123" s="1">
        <v>95</v>
      </c>
      <c r="Q123" s="1" t="str">
        <f>IF(WEEKDAY(Bike_Sharing_Master6[[#This Row],[Dteday]],2)&gt;=6,"Weekend","Weekday")</f>
        <v>Weekday</v>
      </c>
      <c r="R123" s="1" t="str">
        <f xml:space="preserve"> IF(Bike_Sharing_Master6[[#This Row],[Hr]]&lt;6,"Late Night", IF(Bike_Sharing_Master6[[#This Row],[Hr]]&lt;10,"Morning Peak", IF(Bike_Sharing_Master6[[#This Row],[Hr]]&lt;17,"Daytime", IF(Bike_Sharing_Master6[[#This Row],[Hr]]&lt;21,"Evening Peak","Night"))))</f>
        <v>Morning Peak</v>
      </c>
      <c r="S123" s="1" t="str">
        <f>IF(Bike_Sharing_Master6[[#This Row],[Holiday]]=1,"Holiday","Non-Holiday")</f>
        <v>Non-Holiday</v>
      </c>
      <c r="T123" s="1" t="str">
        <f>IF(Bike_Sharing_Master6[[#This Row],[Cnt]]&lt;80,"Low",IF(Bike_Sharing_Master6[[#This Row],[Cnt]]&lt;160,"Medium","High"))</f>
        <v>Medium</v>
      </c>
      <c r="U123" s="1" t="str">
        <f>VLOOKUP(Bike_Sharing_Master6[[#This Row],[Weathersit]],[1]Lookup_Weather!A:B,2,FALSE)</f>
        <v>Mist</v>
      </c>
    </row>
    <row r="124" spans="1:21" x14ac:dyDescent="0.3">
      <c r="A124">
        <v>123</v>
      </c>
      <c r="B124" s="3">
        <v>40549</v>
      </c>
      <c r="C124" s="1">
        <v>1</v>
      </c>
      <c r="D124" s="1">
        <v>0</v>
      </c>
      <c r="E124" s="1">
        <v>1</v>
      </c>
      <c r="F124" s="1">
        <v>8</v>
      </c>
      <c r="G124" t="b">
        <v>0</v>
      </c>
      <c r="H124" s="1">
        <v>4</v>
      </c>
      <c r="I124" s="1">
        <v>1</v>
      </c>
      <c r="J124" s="2">
        <v>0.16</v>
      </c>
      <c r="K124" s="2">
        <v>0.2273</v>
      </c>
      <c r="L124" s="2">
        <v>0.59</v>
      </c>
      <c r="M124" s="2">
        <v>0</v>
      </c>
      <c r="N124" s="1">
        <v>3</v>
      </c>
      <c r="O124" s="1">
        <v>216</v>
      </c>
      <c r="P124" s="1">
        <v>219</v>
      </c>
      <c r="Q124" s="1" t="str">
        <f>IF(WEEKDAY(Bike_Sharing_Master6[[#This Row],[Dteday]],2)&gt;=6,"Weekend","Weekday")</f>
        <v>Weekday</v>
      </c>
      <c r="R124" s="1" t="str">
        <f xml:space="preserve"> IF(Bike_Sharing_Master6[[#This Row],[Hr]]&lt;6,"Late Night", IF(Bike_Sharing_Master6[[#This Row],[Hr]]&lt;10,"Morning Peak", IF(Bike_Sharing_Master6[[#This Row],[Hr]]&lt;17,"Daytime", IF(Bike_Sharing_Master6[[#This Row],[Hr]]&lt;21,"Evening Peak","Night"))))</f>
        <v>Morning Peak</v>
      </c>
      <c r="S124" s="1" t="str">
        <f>IF(Bike_Sharing_Master6[[#This Row],[Holiday]]=1,"Holiday","Non-Holiday")</f>
        <v>Non-Holiday</v>
      </c>
      <c r="T124" s="1" t="str">
        <f>IF(Bike_Sharing_Master6[[#This Row],[Cnt]]&lt;80,"Low",IF(Bike_Sharing_Master6[[#This Row],[Cnt]]&lt;160,"Medium","High"))</f>
        <v>High</v>
      </c>
      <c r="U124" s="1" t="str">
        <f>VLOOKUP(Bike_Sharing_Master6[[#This Row],[Weathersit]],[1]Lookup_Weather!A:B,2,FALSE)</f>
        <v>Clear</v>
      </c>
    </row>
    <row r="125" spans="1:21" x14ac:dyDescent="0.3">
      <c r="A125">
        <v>124</v>
      </c>
      <c r="B125" s="3">
        <v>40549</v>
      </c>
      <c r="C125" s="1">
        <v>1</v>
      </c>
      <c r="D125" s="1">
        <v>0</v>
      </c>
      <c r="E125" s="1">
        <v>1</v>
      </c>
      <c r="F125" s="1">
        <v>9</v>
      </c>
      <c r="G125" t="b">
        <v>0</v>
      </c>
      <c r="H125" s="1">
        <v>4</v>
      </c>
      <c r="I125" s="1">
        <v>2</v>
      </c>
      <c r="J125" s="2">
        <v>0.18</v>
      </c>
      <c r="K125" s="2">
        <v>0.2424</v>
      </c>
      <c r="L125" s="2">
        <v>0.51</v>
      </c>
      <c r="M125" s="2">
        <v>0</v>
      </c>
      <c r="N125" s="1">
        <v>6</v>
      </c>
      <c r="O125" s="1">
        <v>116</v>
      </c>
      <c r="P125" s="1">
        <v>122</v>
      </c>
      <c r="Q125" s="1" t="str">
        <f>IF(WEEKDAY(Bike_Sharing_Master6[[#This Row],[Dteday]],2)&gt;=6,"Weekend","Weekday")</f>
        <v>Weekday</v>
      </c>
      <c r="R125" s="1" t="str">
        <f xml:space="preserve"> IF(Bike_Sharing_Master6[[#This Row],[Hr]]&lt;6,"Late Night", IF(Bike_Sharing_Master6[[#This Row],[Hr]]&lt;10,"Morning Peak", IF(Bike_Sharing_Master6[[#This Row],[Hr]]&lt;17,"Daytime", IF(Bike_Sharing_Master6[[#This Row],[Hr]]&lt;21,"Evening Peak","Night"))))</f>
        <v>Morning Peak</v>
      </c>
      <c r="S125" s="1" t="str">
        <f>IF(Bike_Sharing_Master6[[#This Row],[Holiday]]=1,"Holiday","Non-Holiday")</f>
        <v>Non-Holiday</v>
      </c>
      <c r="T125" s="1" t="str">
        <f>IF(Bike_Sharing_Master6[[#This Row],[Cnt]]&lt;80,"Low",IF(Bike_Sharing_Master6[[#This Row],[Cnt]]&lt;160,"Medium","High"))</f>
        <v>Medium</v>
      </c>
      <c r="U125" s="1" t="str">
        <f>VLOOKUP(Bike_Sharing_Master6[[#This Row],[Weathersit]],[1]Lookup_Weather!A:B,2,FALSE)</f>
        <v>Mist</v>
      </c>
    </row>
    <row r="126" spans="1:21" x14ac:dyDescent="0.3">
      <c r="A126">
        <v>125</v>
      </c>
      <c r="B126" s="3">
        <v>40549</v>
      </c>
      <c r="C126" s="1">
        <v>1</v>
      </c>
      <c r="D126" s="1">
        <v>0</v>
      </c>
      <c r="E126" s="1">
        <v>1</v>
      </c>
      <c r="F126" s="1">
        <v>10</v>
      </c>
      <c r="G126" t="b">
        <v>0</v>
      </c>
      <c r="H126" s="1">
        <v>4</v>
      </c>
      <c r="I126" s="1">
        <v>1</v>
      </c>
      <c r="J126" s="2">
        <v>0.2</v>
      </c>
      <c r="K126" s="2">
        <v>0.2576</v>
      </c>
      <c r="L126" s="2">
        <v>0.47</v>
      </c>
      <c r="M126" s="2">
        <v>0</v>
      </c>
      <c r="N126" s="1">
        <v>3</v>
      </c>
      <c r="O126" s="1">
        <v>42</v>
      </c>
      <c r="P126" s="1">
        <v>45</v>
      </c>
      <c r="Q126" s="1" t="str">
        <f>IF(WEEKDAY(Bike_Sharing_Master6[[#This Row],[Dteday]],2)&gt;=6,"Weekend","Weekday")</f>
        <v>Weekday</v>
      </c>
      <c r="R126" s="1" t="str">
        <f xml:space="preserve"> IF(Bike_Sharing_Master6[[#This Row],[Hr]]&lt;6,"Late Night", IF(Bike_Sharing_Master6[[#This Row],[Hr]]&lt;10,"Morning Peak", IF(Bike_Sharing_Master6[[#This Row],[Hr]]&lt;17,"Daytime", IF(Bike_Sharing_Master6[[#This Row],[Hr]]&lt;21,"Evening Peak","Night"))))</f>
        <v>Daytime</v>
      </c>
      <c r="S126" s="1" t="str">
        <f>IF(Bike_Sharing_Master6[[#This Row],[Holiday]]=1,"Holiday","Non-Holiday")</f>
        <v>Non-Holiday</v>
      </c>
      <c r="T126" s="1" t="str">
        <f>IF(Bike_Sharing_Master6[[#This Row],[Cnt]]&lt;80,"Low",IF(Bike_Sharing_Master6[[#This Row],[Cnt]]&lt;160,"Medium","High"))</f>
        <v>Low</v>
      </c>
      <c r="U126" s="1" t="str">
        <f>VLOOKUP(Bike_Sharing_Master6[[#This Row],[Weathersit]],[1]Lookup_Weather!A:B,2,FALSE)</f>
        <v>Clear</v>
      </c>
    </row>
    <row r="127" spans="1:21" x14ac:dyDescent="0.3">
      <c r="A127">
        <v>126</v>
      </c>
      <c r="B127" s="3">
        <v>40549</v>
      </c>
      <c r="C127" s="1">
        <v>1</v>
      </c>
      <c r="D127" s="1">
        <v>0</v>
      </c>
      <c r="E127" s="1">
        <v>1</v>
      </c>
      <c r="F127" s="1">
        <v>11</v>
      </c>
      <c r="G127" t="b">
        <v>0</v>
      </c>
      <c r="H127" s="1">
        <v>4</v>
      </c>
      <c r="I127" s="1">
        <v>1</v>
      </c>
      <c r="J127" s="2">
        <v>0.22</v>
      </c>
      <c r="K127" s="2">
        <v>0.2576</v>
      </c>
      <c r="L127" s="2">
        <v>0.44</v>
      </c>
      <c r="M127" s="2">
        <v>8.9599999999999999E-2</v>
      </c>
      <c r="N127" s="1">
        <v>2</v>
      </c>
      <c r="O127" s="1">
        <v>57</v>
      </c>
      <c r="P127" s="1">
        <v>59</v>
      </c>
      <c r="Q127" s="1" t="str">
        <f>IF(WEEKDAY(Bike_Sharing_Master6[[#This Row],[Dteday]],2)&gt;=6,"Weekend","Weekday")</f>
        <v>Weekday</v>
      </c>
      <c r="R127" s="1" t="str">
        <f xml:space="preserve"> IF(Bike_Sharing_Master6[[#This Row],[Hr]]&lt;6,"Late Night", IF(Bike_Sharing_Master6[[#This Row],[Hr]]&lt;10,"Morning Peak", IF(Bike_Sharing_Master6[[#This Row],[Hr]]&lt;17,"Daytime", IF(Bike_Sharing_Master6[[#This Row],[Hr]]&lt;21,"Evening Peak","Night"))))</f>
        <v>Daytime</v>
      </c>
      <c r="S127" s="1" t="str">
        <f>IF(Bike_Sharing_Master6[[#This Row],[Holiday]]=1,"Holiday","Non-Holiday")</f>
        <v>Non-Holiday</v>
      </c>
      <c r="T127" s="1" t="str">
        <f>IF(Bike_Sharing_Master6[[#This Row],[Cnt]]&lt;80,"Low",IF(Bike_Sharing_Master6[[#This Row],[Cnt]]&lt;160,"Medium","High"))</f>
        <v>Low</v>
      </c>
      <c r="U127" s="1" t="str">
        <f>VLOOKUP(Bike_Sharing_Master6[[#This Row],[Weathersit]],[1]Lookup_Weather!A:B,2,FALSE)</f>
        <v>Clear</v>
      </c>
    </row>
    <row r="128" spans="1:21" x14ac:dyDescent="0.3">
      <c r="A128">
        <v>127</v>
      </c>
      <c r="B128" s="3">
        <v>40549</v>
      </c>
      <c r="C128" s="1">
        <v>1</v>
      </c>
      <c r="D128" s="1">
        <v>0</v>
      </c>
      <c r="E128" s="1">
        <v>1</v>
      </c>
      <c r="F128" s="1">
        <v>12</v>
      </c>
      <c r="G128" t="b">
        <v>0</v>
      </c>
      <c r="H128" s="1">
        <v>4</v>
      </c>
      <c r="I128" s="1">
        <v>1</v>
      </c>
      <c r="J128" s="2">
        <v>0.26</v>
      </c>
      <c r="K128" s="2">
        <v>0.28789999999999999</v>
      </c>
      <c r="L128" s="2">
        <v>0.35</v>
      </c>
      <c r="M128" s="2">
        <v>0</v>
      </c>
      <c r="N128" s="1">
        <v>6</v>
      </c>
      <c r="O128" s="1">
        <v>78</v>
      </c>
      <c r="P128" s="1">
        <v>84</v>
      </c>
      <c r="Q128" s="1" t="str">
        <f>IF(WEEKDAY(Bike_Sharing_Master6[[#This Row],[Dteday]],2)&gt;=6,"Weekend","Weekday")</f>
        <v>Weekday</v>
      </c>
      <c r="R128" s="1" t="str">
        <f xml:space="preserve"> IF(Bike_Sharing_Master6[[#This Row],[Hr]]&lt;6,"Late Night", IF(Bike_Sharing_Master6[[#This Row],[Hr]]&lt;10,"Morning Peak", IF(Bike_Sharing_Master6[[#This Row],[Hr]]&lt;17,"Daytime", IF(Bike_Sharing_Master6[[#This Row],[Hr]]&lt;21,"Evening Peak","Night"))))</f>
        <v>Daytime</v>
      </c>
      <c r="S128" s="1" t="str">
        <f>IF(Bike_Sharing_Master6[[#This Row],[Holiday]]=1,"Holiday","Non-Holiday")</f>
        <v>Non-Holiday</v>
      </c>
      <c r="T128" s="1" t="str">
        <f>IF(Bike_Sharing_Master6[[#This Row],[Cnt]]&lt;80,"Low",IF(Bike_Sharing_Master6[[#This Row],[Cnt]]&lt;160,"Medium","High"))</f>
        <v>Medium</v>
      </c>
      <c r="U128" s="1" t="str">
        <f>VLOOKUP(Bike_Sharing_Master6[[#This Row],[Weathersit]],[1]Lookup_Weather!A:B,2,FALSE)</f>
        <v>Clear</v>
      </c>
    </row>
    <row r="129" spans="1:21" x14ac:dyDescent="0.3">
      <c r="A129">
        <v>128</v>
      </c>
      <c r="B129" s="3">
        <v>40549</v>
      </c>
      <c r="C129" s="1">
        <v>1</v>
      </c>
      <c r="D129" s="1">
        <v>0</v>
      </c>
      <c r="E129" s="1">
        <v>1</v>
      </c>
      <c r="F129" s="1">
        <v>13</v>
      </c>
      <c r="G129" t="b">
        <v>0</v>
      </c>
      <c r="H129" s="1">
        <v>4</v>
      </c>
      <c r="I129" s="1">
        <v>1</v>
      </c>
      <c r="J129" s="2">
        <v>0.26</v>
      </c>
      <c r="K129" s="2">
        <v>0.2727</v>
      </c>
      <c r="L129" s="2">
        <v>0.35</v>
      </c>
      <c r="M129" s="2">
        <v>0.1045</v>
      </c>
      <c r="N129" s="1">
        <v>12</v>
      </c>
      <c r="O129" s="1">
        <v>55</v>
      </c>
      <c r="P129" s="1">
        <v>67</v>
      </c>
      <c r="Q129" s="1" t="str">
        <f>IF(WEEKDAY(Bike_Sharing_Master6[[#This Row],[Dteday]],2)&gt;=6,"Weekend","Weekday")</f>
        <v>Weekday</v>
      </c>
      <c r="R129" s="1" t="str">
        <f xml:space="preserve"> IF(Bike_Sharing_Master6[[#This Row],[Hr]]&lt;6,"Late Night", IF(Bike_Sharing_Master6[[#This Row],[Hr]]&lt;10,"Morning Peak", IF(Bike_Sharing_Master6[[#This Row],[Hr]]&lt;17,"Daytime", IF(Bike_Sharing_Master6[[#This Row],[Hr]]&lt;21,"Evening Peak","Night"))))</f>
        <v>Daytime</v>
      </c>
      <c r="S129" s="1" t="str">
        <f>IF(Bike_Sharing_Master6[[#This Row],[Holiday]]=1,"Holiday","Non-Holiday")</f>
        <v>Non-Holiday</v>
      </c>
      <c r="T129" s="1" t="str">
        <f>IF(Bike_Sharing_Master6[[#This Row],[Cnt]]&lt;80,"Low",IF(Bike_Sharing_Master6[[#This Row],[Cnt]]&lt;160,"Medium","High"))</f>
        <v>Low</v>
      </c>
      <c r="U129" s="1" t="str">
        <f>VLOOKUP(Bike_Sharing_Master6[[#This Row],[Weathersit]],[1]Lookup_Weather!A:B,2,FALSE)</f>
        <v>Clear</v>
      </c>
    </row>
    <row r="130" spans="1:21" x14ac:dyDescent="0.3">
      <c r="A130">
        <v>129</v>
      </c>
      <c r="B130" s="3">
        <v>40549</v>
      </c>
      <c r="C130" s="1">
        <v>1</v>
      </c>
      <c r="D130" s="1">
        <v>0</v>
      </c>
      <c r="E130" s="1">
        <v>1</v>
      </c>
      <c r="F130" s="1">
        <v>14</v>
      </c>
      <c r="G130" t="b">
        <v>0</v>
      </c>
      <c r="H130" s="1">
        <v>4</v>
      </c>
      <c r="I130" s="1">
        <v>1</v>
      </c>
      <c r="J130" s="2">
        <v>0.28000000000000003</v>
      </c>
      <c r="K130" s="2">
        <v>0.2727</v>
      </c>
      <c r="L130" s="2">
        <v>0.36</v>
      </c>
      <c r="M130" s="2">
        <v>0.16420000000000001</v>
      </c>
      <c r="N130" s="1">
        <v>11</v>
      </c>
      <c r="O130" s="1">
        <v>59</v>
      </c>
      <c r="P130" s="1">
        <v>70</v>
      </c>
      <c r="Q130" s="1" t="str">
        <f>IF(WEEKDAY(Bike_Sharing_Master6[[#This Row],[Dteday]],2)&gt;=6,"Weekend","Weekday")</f>
        <v>Weekday</v>
      </c>
      <c r="R130" s="1" t="str">
        <f xml:space="preserve"> IF(Bike_Sharing_Master6[[#This Row],[Hr]]&lt;6,"Late Night", IF(Bike_Sharing_Master6[[#This Row],[Hr]]&lt;10,"Morning Peak", IF(Bike_Sharing_Master6[[#This Row],[Hr]]&lt;17,"Daytime", IF(Bike_Sharing_Master6[[#This Row],[Hr]]&lt;21,"Evening Peak","Night"))))</f>
        <v>Daytime</v>
      </c>
      <c r="S130" s="1" t="str">
        <f>IF(Bike_Sharing_Master6[[#This Row],[Holiday]]=1,"Holiday","Non-Holiday")</f>
        <v>Non-Holiday</v>
      </c>
      <c r="T130" s="1" t="str">
        <f>IF(Bike_Sharing_Master6[[#This Row],[Cnt]]&lt;80,"Low",IF(Bike_Sharing_Master6[[#This Row],[Cnt]]&lt;160,"Medium","High"))</f>
        <v>Low</v>
      </c>
      <c r="U130" s="1" t="str">
        <f>VLOOKUP(Bike_Sharing_Master6[[#This Row],[Weathersit]],[1]Lookup_Weather!A:B,2,FALSE)</f>
        <v>Clear</v>
      </c>
    </row>
    <row r="131" spans="1:21" x14ac:dyDescent="0.3">
      <c r="A131">
        <v>130</v>
      </c>
      <c r="B131" s="3">
        <v>40549</v>
      </c>
      <c r="C131" s="1">
        <v>1</v>
      </c>
      <c r="D131" s="1">
        <v>0</v>
      </c>
      <c r="E131" s="1">
        <v>1</v>
      </c>
      <c r="F131" s="1">
        <v>15</v>
      </c>
      <c r="G131" t="b">
        <v>0</v>
      </c>
      <c r="H131" s="1">
        <v>4</v>
      </c>
      <c r="I131" s="1">
        <v>1</v>
      </c>
      <c r="J131" s="2">
        <v>0.28000000000000003</v>
      </c>
      <c r="K131" s="2">
        <v>0.2727</v>
      </c>
      <c r="L131" s="2">
        <v>0.36</v>
      </c>
      <c r="M131" s="2">
        <v>0</v>
      </c>
      <c r="N131" s="1">
        <v>8</v>
      </c>
      <c r="O131" s="1">
        <v>54</v>
      </c>
      <c r="P131" s="1">
        <v>62</v>
      </c>
      <c r="Q131" s="1" t="str">
        <f>IF(WEEKDAY(Bike_Sharing_Master6[[#This Row],[Dteday]],2)&gt;=6,"Weekend","Weekday")</f>
        <v>Weekday</v>
      </c>
      <c r="R131" s="1" t="str">
        <f xml:space="preserve"> IF(Bike_Sharing_Master6[[#This Row],[Hr]]&lt;6,"Late Night", IF(Bike_Sharing_Master6[[#This Row],[Hr]]&lt;10,"Morning Peak", IF(Bike_Sharing_Master6[[#This Row],[Hr]]&lt;17,"Daytime", IF(Bike_Sharing_Master6[[#This Row],[Hr]]&lt;21,"Evening Peak","Night"))))</f>
        <v>Daytime</v>
      </c>
      <c r="S131" s="1" t="str">
        <f>IF(Bike_Sharing_Master6[[#This Row],[Holiday]]=1,"Holiday","Non-Holiday")</f>
        <v>Non-Holiday</v>
      </c>
      <c r="T131" s="1" t="str">
        <f>IF(Bike_Sharing_Master6[[#This Row],[Cnt]]&lt;80,"Low",IF(Bike_Sharing_Master6[[#This Row],[Cnt]]&lt;160,"Medium","High"))</f>
        <v>Low</v>
      </c>
      <c r="U131" s="1" t="str">
        <f>VLOOKUP(Bike_Sharing_Master6[[#This Row],[Weathersit]],[1]Lookup_Weather!A:B,2,FALSE)</f>
        <v>Clear</v>
      </c>
    </row>
    <row r="132" spans="1:21" x14ac:dyDescent="0.3">
      <c r="A132">
        <v>131</v>
      </c>
      <c r="B132" s="3">
        <v>40549</v>
      </c>
      <c r="C132" s="1">
        <v>1</v>
      </c>
      <c r="D132" s="1">
        <v>0</v>
      </c>
      <c r="E132" s="1">
        <v>1</v>
      </c>
      <c r="F132" s="1">
        <v>16</v>
      </c>
      <c r="G132" t="b">
        <v>0</v>
      </c>
      <c r="H132" s="1">
        <v>4</v>
      </c>
      <c r="I132" s="1">
        <v>1</v>
      </c>
      <c r="J132" s="2">
        <v>0.26</v>
      </c>
      <c r="K132" s="2">
        <v>0.2576</v>
      </c>
      <c r="L132" s="2">
        <v>0.38</v>
      </c>
      <c r="M132" s="2">
        <v>0.16420000000000001</v>
      </c>
      <c r="N132" s="1">
        <v>12</v>
      </c>
      <c r="O132" s="1">
        <v>74</v>
      </c>
      <c r="P132" s="1">
        <v>86</v>
      </c>
      <c r="Q132" s="1" t="str">
        <f>IF(WEEKDAY(Bike_Sharing_Master6[[#This Row],[Dteday]],2)&gt;=6,"Weekend","Weekday")</f>
        <v>Weekday</v>
      </c>
      <c r="R132" s="1" t="str">
        <f xml:space="preserve"> IF(Bike_Sharing_Master6[[#This Row],[Hr]]&lt;6,"Late Night", IF(Bike_Sharing_Master6[[#This Row],[Hr]]&lt;10,"Morning Peak", IF(Bike_Sharing_Master6[[#This Row],[Hr]]&lt;17,"Daytime", IF(Bike_Sharing_Master6[[#This Row],[Hr]]&lt;21,"Evening Peak","Night"))))</f>
        <v>Daytime</v>
      </c>
      <c r="S132" s="1" t="str">
        <f>IF(Bike_Sharing_Master6[[#This Row],[Holiday]]=1,"Holiday","Non-Holiday")</f>
        <v>Non-Holiday</v>
      </c>
      <c r="T132" s="1" t="str">
        <f>IF(Bike_Sharing_Master6[[#This Row],[Cnt]]&lt;80,"Low",IF(Bike_Sharing_Master6[[#This Row],[Cnt]]&lt;160,"Medium","High"))</f>
        <v>Medium</v>
      </c>
      <c r="U132" s="1" t="str">
        <f>VLOOKUP(Bike_Sharing_Master6[[#This Row],[Weathersit]],[1]Lookup_Weather!A:B,2,FALSE)</f>
        <v>Clear</v>
      </c>
    </row>
    <row r="133" spans="1:21" x14ac:dyDescent="0.3">
      <c r="A133">
        <v>132</v>
      </c>
      <c r="B133" s="3">
        <v>40549</v>
      </c>
      <c r="C133" s="1">
        <v>1</v>
      </c>
      <c r="D133" s="1">
        <v>0</v>
      </c>
      <c r="E133" s="1">
        <v>1</v>
      </c>
      <c r="F133" s="1">
        <v>17</v>
      </c>
      <c r="G133" t="b">
        <v>0</v>
      </c>
      <c r="H133" s="1">
        <v>4</v>
      </c>
      <c r="I133" s="1">
        <v>1</v>
      </c>
      <c r="J133" s="2">
        <v>0.22</v>
      </c>
      <c r="K133" s="2">
        <v>0.2273</v>
      </c>
      <c r="L133" s="2">
        <v>0.51</v>
      </c>
      <c r="M133" s="2">
        <v>0.16420000000000001</v>
      </c>
      <c r="N133" s="1">
        <v>9</v>
      </c>
      <c r="O133" s="1">
        <v>163</v>
      </c>
      <c r="P133" s="1">
        <v>172</v>
      </c>
      <c r="Q133" s="1" t="str">
        <f>IF(WEEKDAY(Bike_Sharing_Master6[[#This Row],[Dteday]],2)&gt;=6,"Weekend","Weekday")</f>
        <v>Weekday</v>
      </c>
      <c r="R133" s="1" t="str">
        <f xml:space="preserve"> IF(Bike_Sharing_Master6[[#This Row],[Hr]]&lt;6,"Late Night", IF(Bike_Sharing_Master6[[#This Row],[Hr]]&lt;10,"Morning Peak", IF(Bike_Sharing_Master6[[#This Row],[Hr]]&lt;17,"Daytime", IF(Bike_Sharing_Master6[[#This Row],[Hr]]&lt;21,"Evening Peak","Night"))))</f>
        <v>Evening Peak</v>
      </c>
      <c r="S133" s="1" t="str">
        <f>IF(Bike_Sharing_Master6[[#This Row],[Holiday]]=1,"Holiday","Non-Holiday")</f>
        <v>Non-Holiday</v>
      </c>
      <c r="T133" s="1" t="str">
        <f>IF(Bike_Sharing_Master6[[#This Row],[Cnt]]&lt;80,"Low",IF(Bike_Sharing_Master6[[#This Row],[Cnt]]&lt;160,"Medium","High"))</f>
        <v>High</v>
      </c>
      <c r="U133" s="1" t="str">
        <f>VLOOKUP(Bike_Sharing_Master6[[#This Row],[Weathersit]],[1]Lookup_Weather!A:B,2,FALSE)</f>
        <v>Clear</v>
      </c>
    </row>
    <row r="134" spans="1:21" x14ac:dyDescent="0.3">
      <c r="A134">
        <v>133</v>
      </c>
      <c r="B134" s="3">
        <v>40549</v>
      </c>
      <c r="C134" s="1">
        <v>1</v>
      </c>
      <c r="D134" s="1">
        <v>0</v>
      </c>
      <c r="E134" s="1">
        <v>1</v>
      </c>
      <c r="F134" s="1">
        <v>18</v>
      </c>
      <c r="G134" t="b">
        <v>0</v>
      </c>
      <c r="H134" s="1">
        <v>4</v>
      </c>
      <c r="I134" s="1">
        <v>1</v>
      </c>
      <c r="J134" s="2">
        <v>0.22</v>
      </c>
      <c r="K134" s="2">
        <v>0.2273</v>
      </c>
      <c r="L134" s="2">
        <v>0.51</v>
      </c>
      <c r="M134" s="2">
        <v>0.1343</v>
      </c>
      <c r="N134" s="1">
        <v>5</v>
      </c>
      <c r="O134" s="1">
        <v>158</v>
      </c>
      <c r="P134" s="1">
        <v>163</v>
      </c>
      <c r="Q134" s="1" t="str">
        <f>IF(WEEKDAY(Bike_Sharing_Master6[[#This Row],[Dteday]],2)&gt;=6,"Weekend","Weekday")</f>
        <v>Weekday</v>
      </c>
      <c r="R134" s="1" t="str">
        <f xml:space="preserve"> IF(Bike_Sharing_Master6[[#This Row],[Hr]]&lt;6,"Late Night", IF(Bike_Sharing_Master6[[#This Row],[Hr]]&lt;10,"Morning Peak", IF(Bike_Sharing_Master6[[#This Row],[Hr]]&lt;17,"Daytime", IF(Bike_Sharing_Master6[[#This Row],[Hr]]&lt;21,"Evening Peak","Night"))))</f>
        <v>Evening Peak</v>
      </c>
      <c r="S134" s="1" t="str">
        <f>IF(Bike_Sharing_Master6[[#This Row],[Holiday]]=1,"Holiday","Non-Holiday")</f>
        <v>Non-Holiday</v>
      </c>
      <c r="T134" s="1" t="str">
        <f>IF(Bike_Sharing_Master6[[#This Row],[Cnt]]&lt;80,"Low",IF(Bike_Sharing_Master6[[#This Row],[Cnt]]&lt;160,"Medium","High"))</f>
        <v>High</v>
      </c>
      <c r="U134" s="1" t="str">
        <f>VLOOKUP(Bike_Sharing_Master6[[#This Row],[Weathersit]],[1]Lookup_Weather!A:B,2,FALSE)</f>
        <v>Clear</v>
      </c>
    </row>
    <row r="135" spans="1:21" x14ac:dyDescent="0.3">
      <c r="A135">
        <v>134</v>
      </c>
      <c r="B135" s="3">
        <v>40549</v>
      </c>
      <c r="C135" s="1">
        <v>1</v>
      </c>
      <c r="D135" s="1">
        <v>0</v>
      </c>
      <c r="E135" s="1">
        <v>1</v>
      </c>
      <c r="F135" s="1">
        <v>19</v>
      </c>
      <c r="G135" t="b">
        <v>0</v>
      </c>
      <c r="H135" s="1">
        <v>4</v>
      </c>
      <c r="I135" s="1">
        <v>1</v>
      </c>
      <c r="J135" s="2">
        <v>0.22</v>
      </c>
      <c r="K135" s="2">
        <v>0.2576</v>
      </c>
      <c r="L135" s="2">
        <v>0.55000000000000004</v>
      </c>
      <c r="M135" s="2">
        <v>8.9599999999999999E-2</v>
      </c>
      <c r="N135" s="1">
        <v>3</v>
      </c>
      <c r="O135" s="1">
        <v>109</v>
      </c>
      <c r="P135" s="1">
        <v>112</v>
      </c>
      <c r="Q135" s="1" t="str">
        <f>IF(WEEKDAY(Bike_Sharing_Master6[[#This Row],[Dteday]],2)&gt;=6,"Weekend","Weekday")</f>
        <v>Weekday</v>
      </c>
      <c r="R135" s="1" t="str">
        <f xml:space="preserve"> IF(Bike_Sharing_Master6[[#This Row],[Hr]]&lt;6,"Late Night", IF(Bike_Sharing_Master6[[#This Row],[Hr]]&lt;10,"Morning Peak", IF(Bike_Sharing_Master6[[#This Row],[Hr]]&lt;17,"Daytime", IF(Bike_Sharing_Master6[[#This Row],[Hr]]&lt;21,"Evening Peak","Night"))))</f>
        <v>Evening Peak</v>
      </c>
      <c r="S135" s="1" t="str">
        <f>IF(Bike_Sharing_Master6[[#This Row],[Holiday]]=1,"Holiday","Non-Holiday")</f>
        <v>Non-Holiday</v>
      </c>
      <c r="T135" s="1" t="str">
        <f>IF(Bike_Sharing_Master6[[#This Row],[Cnt]]&lt;80,"Low",IF(Bike_Sharing_Master6[[#This Row],[Cnt]]&lt;160,"Medium","High"))</f>
        <v>Medium</v>
      </c>
      <c r="U135" s="1" t="str">
        <f>VLOOKUP(Bike_Sharing_Master6[[#This Row],[Weathersit]],[1]Lookup_Weather!A:B,2,FALSE)</f>
        <v>Clear</v>
      </c>
    </row>
    <row r="136" spans="1:21" x14ac:dyDescent="0.3">
      <c r="A136">
        <v>135</v>
      </c>
      <c r="B136" s="3">
        <v>40549</v>
      </c>
      <c r="C136" s="1">
        <v>1</v>
      </c>
      <c r="D136" s="1">
        <v>0</v>
      </c>
      <c r="E136" s="1">
        <v>1</v>
      </c>
      <c r="F136" s="1">
        <v>20</v>
      </c>
      <c r="G136" t="b">
        <v>0</v>
      </c>
      <c r="H136" s="1">
        <v>4</v>
      </c>
      <c r="I136" s="1">
        <v>1</v>
      </c>
      <c r="J136" s="2">
        <v>0.2</v>
      </c>
      <c r="K136" s="2">
        <v>0.21210000000000001</v>
      </c>
      <c r="L136" s="2">
        <v>0.51</v>
      </c>
      <c r="M136" s="2">
        <v>0.16420000000000001</v>
      </c>
      <c r="N136" s="1">
        <v>3</v>
      </c>
      <c r="O136" s="1">
        <v>66</v>
      </c>
      <c r="P136" s="1">
        <v>69</v>
      </c>
      <c r="Q136" s="1" t="str">
        <f>IF(WEEKDAY(Bike_Sharing_Master6[[#This Row],[Dteday]],2)&gt;=6,"Weekend","Weekday")</f>
        <v>Weekday</v>
      </c>
      <c r="R136" s="1" t="str">
        <f xml:space="preserve"> IF(Bike_Sharing_Master6[[#This Row],[Hr]]&lt;6,"Late Night", IF(Bike_Sharing_Master6[[#This Row],[Hr]]&lt;10,"Morning Peak", IF(Bike_Sharing_Master6[[#This Row],[Hr]]&lt;17,"Daytime", IF(Bike_Sharing_Master6[[#This Row],[Hr]]&lt;21,"Evening Peak","Night"))))</f>
        <v>Evening Peak</v>
      </c>
      <c r="S136" s="1" t="str">
        <f>IF(Bike_Sharing_Master6[[#This Row],[Holiday]]=1,"Holiday","Non-Holiday")</f>
        <v>Non-Holiday</v>
      </c>
      <c r="T136" s="1" t="str">
        <f>IF(Bike_Sharing_Master6[[#This Row],[Cnt]]&lt;80,"Low",IF(Bike_Sharing_Master6[[#This Row],[Cnt]]&lt;160,"Medium","High"))</f>
        <v>Low</v>
      </c>
      <c r="U136" s="1" t="str">
        <f>VLOOKUP(Bike_Sharing_Master6[[#This Row],[Weathersit]],[1]Lookup_Weather!A:B,2,FALSE)</f>
        <v>Clear</v>
      </c>
    </row>
    <row r="137" spans="1:21" x14ac:dyDescent="0.3">
      <c r="A137">
        <v>136</v>
      </c>
      <c r="B137" s="3">
        <v>40549</v>
      </c>
      <c r="C137" s="1">
        <v>1</v>
      </c>
      <c r="D137" s="1">
        <v>0</v>
      </c>
      <c r="E137" s="1">
        <v>1</v>
      </c>
      <c r="F137" s="1">
        <v>21</v>
      </c>
      <c r="G137" t="b">
        <v>0</v>
      </c>
      <c r="H137" s="1">
        <v>4</v>
      </c>
      <c r="I137" s="1">
        <v>2</v>
      </c>
      <c r="J137" s="2">
        <v>0.22</v>
      </c>
      <c r="K137" s="2">
        <v>0.21210000000000001</v>
      </c>
      <c r="L137" s="2">
        <v>0.55000000000000004</v>
      </c>
      <c r="M137" s="2">
        <v>0.22389999999999999</v>
      </c>
      <c r="N137" s="1">
        <v>0</v>
      </c>
      <c r="O137" s="1">
        <v>48</v>
      </c>
      <c r="P137" s="1">
        <v>48</v>
      </c>
      <c r="Q137" s="1" t="str">
        <f>IF(WEEKDAY(Bike_Sharing_Master6[[#This Row],[Dteday]],2)&gt;=6,"Weekend","Weekday")</f>
        <v>Weekday</v>
      </c>
      <c r="R137" s="1" t="str">
        <f xml:space="preserve"> IF(Bike_Sharing_Master6[[#This Row],[Hr]]&lt;6,"Late Night", IF(Bike_Sharing_Master6[[#This Row],[Hr]]&lt;10,"Morning Peak", IF(Bike_Sharing_Master6[[#This Row],[Hr]]&lt;17,"Daytime", IF(Bike_Sharing_Master6[[#This Row],[Hr]]&lt;21,"Evening Peak","Night"))))</f>
        <v>Night</v>
      </c>
      <c r="S137" s="1" t="str">
        <f>IF(Bike_Sharing_Master6[[#This Row],[Holiday]]=1,"Holiday","Non-Holiday")</f>
        <v>Non-Holiday</v>
      </c>
      <c r="T137" s="1" t="str">
        <f>IF(Bike_Sharing_Master6[[#This Row],[Cnt]]&lt;80,"Low",IF(Bike_Sharing_Master6[[#This Row],[Cnt]]&lt;160,"Medium","High"))</f>
        <v>Low</v>
      </c>
      <c r="U137" s="1" t="str">
        <f>VLOOKUP(Bike_Sharing_Master6[[#This Row],[Weathersit]],[1]Lookup_Weather!A:B,2,FALSE)</f>
        <v>Mist</v>
      </c>
    </row>
    <row r="138" spans="1:21" x14ac:dyDescent="0.3">
      <c r="A138">
        <v>137</v>
      </c>
      <c r="B138" s="3">
        <v>40549</v>
      </c>
      <c r="C138" s="1">
        <v>1</v>
      </c>
      <c r="D138" s="1">
        <v>0</v>
      </c>
      <c r="E138" s="1">
        <v>1</v>
      </c>
      <c r="F138" s="1">
        <v>22</v>
      </c>
      <c r="G138" t="b">
        <v>0</v>
      </c>
      <c r="H138" s="1">
        <v>4</v>
      </c>
      <c r="I138" s="1">
        <v>2</v>
      </c>
      <c r="J138" s="2">
        <v>0.22</v>
      </c>
      <c r="K138" s="2">
        <v>0.21210000000000001</v>
      </c>
      <c r="L138" s="2">
        <v>0.51</v>
      </c>
      <c r="M138" s="2">
        <v>0.28360000000000002</v>
      </c>
      <c r="N138" s="1">
        <v>1</v>
      </c>
      <c r="O138" s="1">
        <v>51</v>
      </c>
      <c r="P138" s="1">
        <v>52</v>
      </c>
      <c r="Q138" s="1" t="str">
        <f>IF(WEEKDAY(Bike_Sharing_Master6[[#This Row],[Dteday]],2)&gt;=6,"Weekend","Weekday")</f>
        <v>Weekday</v>
      </c>
      <c r="R138" s="1" t="str">
        <f xml:space="preserve"> IF(Bike_Sharing_Master6[[#This Row],[Hr]]&lt;6,"Late Night", IF(Bike_Sharing_Master6[[#This Row],[Hr]]&lt;10,"Morning Peak", IF(Bike_Sharing_Master6[[#This Row],[Hr]]&lt;17,"Daytime", IF(Bike_Sharing_Master6[[#This Row],[Hr]]&lt;21,"Evening Peak","Night"))))</f>
        <v>Night</v>
      </c>
      <c r="S138" s="1" t="str">
        <f>IF(Bike_Sharing_Master6[[#This Row],[Holiday]]=1,"Holiday","Non-Holiday")</f>
        <v>Non-Holiday</v>
      </c>
      <c r="T138" s="1" t="str">
        <f>IF(Bike_Sharing_Master6[[#This Row],[Cnt]]&lt;80,"Low",IF(Bike_Sharing_Master6[[#This Row],[Cnt]]&lt;160,"Medium","High"))</f>
        <v>Low</v>
      </c>
      <c r="U138" s="1" t="str">
        <f>VLOOKUP(Bike_Sharing_Master6[[#This Row],[Weathersit]],[1]Lookup_Weather!A:B,2,FALSE)</f>
        <v>Mist</v>
      </c>
    </row>
    <row r="139" spans="1:21" x14ac:dyDescent="0.3">
      <c r="A139">
        <v>138</v>
      </c>
      <c r="B139" s="3">
        <v>40549</v>
      </c>
      <c r="C139" s="1">
        <v>1</v>
      </c>
      <c r="D139" s="1">
        <v>0</v>
      </c>
      <c r="E139" s="1">
        <v>1</v>
      </c>
      <c r="F139" s="1">
        <v>23</v>
      </c>
      <c r="G139" t="b">
        <v>0</v>
      </c>
      <c r="H139" s="1">
        <v>4</v>
      </c>
      <c r="I139" s="1">
        <v>2</v>
      </c>
      <c r="J139" s="2">
        <v>0.2</v>
      </c>
      <c r="K139" s="2">
        <v>0.19700000000000001</v>
      </c>
      <c r="L139" s="2">
        <v>0.59</v>
      </c>
      <c r="M139" s="2">
        <v>0.19400000000000001</v>
      </c>
      <c r="N139" s="1">
        <v>4</v>
      </c>
      <c r="O139" s="1">
        <v>19</v>
      </c>
      <c r="P139" s="1">
        <v>23</v>
      </c>
      <c r="Q139" s="1" t="str">
        <f>IF(WEEKDAY(Bike_Sharing_Master6[[#This Row],[Dteday]],2)&gt;=6,"Weekend","Weekday")</f>
        <v>Weekday</v>
      </c>
      <c r="R139" s="1" t="str">
        <f xml:space="preserve"> IF(Bike_Sharing_Master6[[#This Row],[Hr]]&lt;6,"Late Night", IF(Bike_Sharing_Master6[[#This Row],[Hr]]&lt;10,"Morning Peak", IF(Bike_Sharing_Master6[[#This Row],[Hr]]&lt;17,"Daytime", IF(Bike_Sharing_Master6[[#This Row],[Hr]]&lt;21,"Evening Peak","Night"))))</f>
        <v>Night</v>
      </c>
      <c r="S139" s="1" t="str">
        <f>IF(Bike_Sharing_Master6[[#This Row],[Holiday]]=1,"Holiday","Non-Holiday")</f>
        <v>Non-Holiday</v>
      </c>
      <c r="T139" s="1" t="str">
        <f>IF(Bike_Sharing_Master6[[#This Row],[Cnt]]&lt;80,"Low",IF(Bike_Sharing_Master6[[#This Row],[Cnt]]&lt;160,"Medium","High"))</f>
        <v>Low</v>
      </c>
      <c r="U139" s="1" t="str">
        <f>VLOOKUP(Bike_Sharing_Master6[[#This Row],[Weathersit]],[1]Lookup_Weather!A:B,2,FALSE)</f>
        <v>Mist</v>
      </c>
    </row>
    <row r="140" spans="1:21" x14ac:dyDescent="0.3">
      <c r="A140">
        <v>139</v>
      </c>
      <c r="B140" s="3">
        <v>40550</v>
      </c>
      <c r="C140" s="1">
        <v>1</v>
      </c>
      <c r="D140" s="1">
        <v>0</v>
      </c>
      <c r="E140" s="1">
        <v>1</v>
      </c>
      <c r="F140" s="1">
        <v>0</v>
      </c>
      <c r="G140" t="b">
        <v>0</v>
      </c>
      <c r="H140" s="1">
        <v>5</v>
      </c>
      <c r="I140" s="1">
        <v>2</v>
      </c>
      <c r="J140" s="2">
        <v>0.2</v>
      </c>
      <c r="K140" s="2">
        <v>0.19700000000000001</v>
      </c>
      <c r="L140" s="2">
        <v>0.64</v>
      </c>
      <c r="M140" s="2">
        <v>0.19400000000000001</v>
      </c>
      <c r="N140" s="1">
        <v>4</v>
      </c>
      <c r="O140" s="1">
        <v>13</v>
      </c>
      <c r="P140" s="1">
        <v>17</v>
      </c>
      <c r="Q140" s="1" t="str">
        <f>IF(WEEKDAY(Bike_Sharing_Master6[[#This Row],[Dteday]],2)&gt;=6,"Weekend","Weekday")</f>
        <v>Weekday</v>
      </c>
      <c r="R140" s="1" t="str">
        <f xml:space="preserve"> IF(Bike_Sharing_Master6[[#This Row],[Hr]]&lt;6,"Late Night", IF(Bike_Sharing_Master6[[#This Row],[Hr]]&lt;10,"Morning Peak", IF(Bike_Sharing_Master6[[#This Row],[Hr]]&lt;17,"Daytime", IF(Bike_Sharing_Master6[[#This Row],[Hr]]&lt;21,"Evening Peak","Night"))))</f>
        <v>Late Night</v>
      </c>
      <c r="S140" s="1" t="str">
        <f>IF(Bike_Sharing_Master6[[#This Row],[Holiday]]=1,"Holiday","Non-Holiday")</f>
        <v>Non-Holiday</v>
      </c>
      <c r="T140" s="1" t="str">
        <f>IF(Bike_Sharing_Master6[[#This Row],[Cnt]]&lt;80,"Low",IF(Bike_Sharing_Master6[[#This Row],[Cnt]]&lt;160,"Medium","High"))</f>
        <v>Low</v>
      </c>
      <c r="U140" s="1" t="str">
        <f>VLOOKUP(Bike_Sharing_Master6[[#This Row],[Weathersit]],[1]Lookup_Weather!A:B,2,FALSE)</f>
        <v>Mist</v>
      </c>
    </row>
    <row r="141" spans="1:21" x14ac:dyDescent="0.3">
      <c r="A141">
        <v>140</v>
      </c>
      <c r="B141" s="3">
        <v>40550</v>
      </c>
      <c r="C141" s="1">
        <v>1</v>
      </c>
      <c r="D141" s="1">
        <v>0</v>
      </c>
      <c r="E141" s="1">
        <v>1</v>
      </c>
      <c r="F141" s="1">
        <v>1</v>
      </c>
      <c r="G141" t="b">
        <v>0</v>
      </c>
      <c r="H141" s="1">
        <v>5</v>
      </c>
      <c r="I141" s="1">
        <v>2</v>
      </c>
      <c r="J141" s="2">
        <v>0.2</v>
      </c>
      <c r="K141" s="2">
        <v>0.19700000000000001</v>
      </c>
      <c r="L141" s="2">
        <v>0.69</v>
      </c>
      <c r="M141" s="2">
        <v>0.22389999999999999</v>
      </c>
      <c r="N141" s="1">
        <v>2</v>
      </c>
      <c r="O141" s="1">
        <v>5</v>
      </c>
      <c r="P141" s="1">
        <v>7</v>
      </c>
      <c r="Q141" s="1" t="str">
        <f>IF(WEEKDAY(Bike_Sharing_Master6[[#This Row],[Dteday]],2)&gt;=6,"Weekend","Weekday")</f>
        <v>Weekday</v>
      </c>
      <c r="R141" s="1" t="str">
        <f xml:space="preserve"> IF(Bike_Sharing_Master6[[#This Row],[Hr]]&lt;6,"Late Night", IF(Bike_Sharing_Master6[[#This Row],[Hr]]&lt;10,"Morning Peak", IF(Bike_Sharing_Master6[[#This Row],[Hr]]&lt;17,"Daytime", IF(Bike_Sharing_Master6[[#This Row],[Hr]]&lt;21,"Evening Peak","Night"))))</f>
        <v>Late Night</v>
      </c>
      <c r="S141" s="1" t="str">
        <f>IF(Bike_Sharing_Master6[[#This Row],[Holiday]]=1,"Holiday","Non-Holiday")</f>
        <v>Non-Holiday</v>
      </c>
      <c r="T141" s="1" t="str">
        <f>IF(Bike_Sharing_Master6[[#This Row],[Cnt]]&lt;80,"Low",IF(Bike_Sharing_Master6[[#This Row],[Cnt]]&lt;160,"Medium","High"))</f>
        <v>Low</v>
      </c>
      <c r="U141" s="1" t="str">
        <f>VLOOKUP(Bike_Sharing_Master6[[#This Row],[Weathersit]],[1]Lookup_Weather!A:B,2,FALSE)</f>
        <v>Mist</v>
      </c>
    </row>
    <row r="142" spans="1:21" x14ac:dyDescent="0.3">
      <c r="A142">
        <v>141</v>
      </c>
      <c r="B142" s="3">
        <v>40550</v>
      </c>
      <c r="C142" s="1">
        <v>1</v>
      </c>
      <c r="D142" s="1">
        <v>0</v>
      </c>
      <c r="E142" s="1">
        <v>1</v>
      </c>
      <c r="F142" s="1">
        <v>2</v>
      </c>
      <c r="G142" t="b">
        <v>0</v>
      </c>
      <c r="H142" s="1">
        <v>5</v>
      </c>
      <c r="I142" s="1">
        <v>2</v>
      </c>
      <c r="J142" s="2">
        <v>0.2</v>
      </c>
      <c r="K142" s="2">
        <v>0.19700000000000001</v>
      </c>
      <c r="L142" s="2">
        <v>0.69</v>
      </c>
      <c r="M142" s="2">
        <v>0.22389999999999999</v>
      </c>
      <c r="N142" s="1">
        <v>0</v>
      </c>
      <c r="O142" s="1">
        <v>1</v>
      </c>
      <c r="P142" s="1">
        <v>1</v>
      </c>
      <c r="Q142" s="1" t="str">
        <f>IF(WEEKDAY(Bike_Sharing_Master6[[#This Row],[Dteday]],2)&gt;=6,"Weekend","Weekday")</f>
        <v>Weekday</v>
      </c>
      <c r="R142" s="1" t="str">
        <f xml:space="preserve"> IF(Bike_Sharing_Master6[[#This Row],[Hr]]&lt;6,"Late Night", IF(Bike_Sharing_Master6[[#This Row],[Hr]]&lt;10,"Morning Peak", IF(Bike_Sharing_Master6[[#This Row],[Hr]]&lt;17,"Daytime", IF(Bike_Sharing_Master6[[#This Row],[Hr]]&lt;21,"Evening Peak","Night"))))</f>
        <v>Late Night</v>
      </c>
      <c r="S142" s="1" t="str">
        <f>IF(Bike_Sharing_Master6[[#This Row],[Holiday]]=1,"Holiday","Non-Holiday")</f>
        <v>Non-Holiday</v>
      </c>
      <c r="T142" s="1" t="str">
        <f>IF(Bike_Sharing_Master6[[#This Row],[Cnt]]&lt;80,"Low",IF(Bike_Sharing_Master6[[#This Row],[Cnt]]&lt;160,"Medium","High"))</f>
        <v>Low</v>
      </c>
      <c r="U142" s="1" t="str">
        <f>VLOOKUP(Bike_Sharing_Master6[[#This Row],[Weathersit]],[1]Lookup_Weather!A:B,2,FALSE)</f>
        <v>Mist</v>
      </c>
    </row>
    <row r="143" spans="1:21" x14ac:dyDescent="0.3">
      <c r="A143">
        <v>142</v>
      </c>
      <c r="B143" s="3">
        <v>40550</v>
      </c>
      <c r="C143" s="1">
        <v>1</v>
      </c>
      <c r="D143" s="1">
        <v>0</v>
      </c>
      <c r="E143" s="1">
        <v>1</v>
      </c>
      <c r="F143" s="1">
        <v>4</v>
      </c>
      <c r="G143" t="b">
        <v>0</v>
      </c>
      <c r="H143" s="1">
        <v>5</v>
      </c>
      <c r="I143" s="1">
        <v>2</v>
      </c>
      <c r="J143" s="2">
        <v>0.2</v>
      </c>
      <c r="K143" s="2">
        <v>0.21210000000000001</v>
      </c>
      <c r="L143" s="2">
        <v>0.69</v>
      </c>
      <c r="M143" s="2">
        <v>0.1343</v>
      </c>
      <c r="N143" s="1">
        <v>0</v>
      </c>
      <c r="O143" s="1">
        <v>1</v>
      </c>
      <c r="P143" s="1">
        <v>1</v>
      </c>
      <c r="Q143" s="1" t="str">
        <f>IF(WEEKDAY(Bike_Sharing_Master6[[#This Row],[Dteday]],2)&gt;=6,"Weekend","Weekday")</f>
        <v>Weekday</v>
      </c>
      <c r="R143" s="1" t="str">
        <f xml:space="preserve"> IF(Bike_Sharing_Master6[[#This Row],[Hr]]&lt;6,"Late Night", IF(Bike_Sharing_Master6[[#This Row],[Hr]]&lt;10,"Morning Peak", IF(Bike_Sharing_Master6[[#This Row],[Hr]]&lt;17,"Daytime", IF(Bike_Sharing_Master6[[#This Row],[Hr]]&lt;21,"Evening Peak","Night"))))</f>
        <v>Late Night</v>
      </c>
      <c r="S143" s="1" t="str">
        <f>IF(Bike_Sharing_Master6[[#This Row],[Holiday]]=1,"Holiday","Non-Holiday")</f>
        <v>Non-Holiday</v>
      </c>
      <c r="T143" s="1" t="str">
        <f>IF(Bike_Sharing_Master6[[#This Row],[Cnt]]&lt;80,"Low",IF(Bike_Sharing_Master6[[#This Row],[Cnt]]&lt;160,"Medium","High"))</f>
        <v>Low</v>
      </c>
      <c r="U143" s="1" t="str">
        <f>VLOOKUP(Bike_Sharing_Master6[[#This Row],[Weathersit]],[1]Lookup_Weather!A:B,2,FALSE)</f>
        <v>Mist</v>
      </c>
    </row>
    <row r="144" spans="1:21" x14ac:dyDescent="0.3">
      <c r="A144">
        <v>143</v>
      </c>
      <c r="B144" s="3">
        <v>40550</v>
      </c>
      <c r="C144" s="1">
        <v>1</v>
      </c>
      <c r="D144" s="1">
        <v>0</v>
      </c>
      <c r="E144" s="1">
        <v>1</v>
      </c>
      <c r="F144" s="1">
        <v>5</v>
      </c>
      <c r="G144" t="b">
        <v>0</v>
      </c>
      <c r="H144" s="1">
        <v>5</v>
      </c>
      <c r="I144" s="1">
        <v>3</v>
      </c>
      <c r="J144" s="2">
        <v>0.22</v>
      </c>
      <c r="K144" s="2">
        <v>0.2727</v>
      </c>
      <c r="L144" s="2">
        <v>0.55000000000000004</v>
      </c>
      <c r="M144" s="2">
        <v>0</v>
      </c>
      <c r="N144" s="1">
        <v>0</v>
      </c>
      <c r="O144" s="1">
        <v>5</v>
      </c>
      <c r="P144" s="1">
        <v>5</v>
      </c>
      <c r="Q144" s="1" t="str">
        <f>IF(WEEKDAY(Bike_Sharing_Master6[[#This Row],[Dteday]],2)&gt;=6,"Weekend","Weekday")</f>
        <v>Weekday</v>
      </c>
      <c r="R144" s="1" t="str">
        <f xml:space="preserve"> IF(Bike_Sharing_Master6[[#This Row],[Hr]]&lt;6,"Late Night", IF(Bike_Sharing_Master6[[#This Row],[Hr]]&lt;10,"Morning Peak", IF(Bike_Sharing_Master6[[#This Row],[Hr]]&lt;17,"Daytime", IF(Bike_Sharing_Master6[[#This Row],[Hr]]&lt;21,"Evening Peak","Night"))))</f>
        <v>Late Night</v>
      </c>
      <c r="S144" s="1" t="str">
        <f>IF(Bike_Sharing_Master6[[#This Row],[Holiday]]=1,"Holiday","Non-Holiday")</f>
        <v>Non-Holiday</v>
      </c>
      <c r="T144" s="1" t="str">
        <f>IF(Bike_Sharing_Master6[[#This Row],[Cnt]]&lt;80,"Low",IF(Bike_Sharing_Master6[[#This Row],[Cnt]]&lt;160,"Medium","High"))</f>
        <v>Low</v>
      </c>
      <c r="U144" s="1" t="str">
        <f>VLOOKUP(Bike_Sharing_Master6[[#This Row],[Weathersit]],[1]Lookup_Weather!A:B,2,FALSE)</f>
        <v>Light Rain</v>
      </c>
    </row>
    <row r="145" spans="1:21" x14ac:dyDescent="0.3">
      <c r="A145">
        <v>144</v>
      </c>
      <c r="B145" s="3">
        <v>40550</v>
      </c>
      <c r="C145" s="1">
        <v>1</v>
      </c>
      <c r="D145" s="1">
        <v>0</v>
      </c>
      <c r="E145" s="1">
        <v>1</v>
      </c>
      <c r="F145" s="1">
        <v>6</v>
      </c>
      <c r="G145" t="b">
        <v>0</v>
      </c>
      <c r="H145" s="1">
        <v>5</v>
      </c>
      <c r="I145" s="1">
        <v>2</v>
      </c>
      <c r="J145" s="2">
        <v>0.2</v>
      </c>
      <c r="K145" s="2">
        <v>0.2576</v>
      </c>
      <c r="L145" s="2">
        <v>0.69</v>
      </c>
      <c r="M145" s="2">
        <v>0</v>
      </c>
      <c r="N145" s="1">
        <v>8</v>
      </c>
      <c r="O145" s="1">
        <v>26</v>
      </c>
      <c r="P145" s="1">
        <v>34</v>
      </c>
      <c r="Q145" s="1" t="str">
        <f>IF(WEEKDAY(Bike_Sharing_Master6[[#This Row],[Dteday]],2)&gt;=6,"Weekend","Weekday")</f>
        <v>Weekday</v>
      </c>
      <c r="R145" s="1" t="str">
        <f xml:space="preserve"> IF(Bike_Sharing_Master6[[#This Row],[Hr]]&lt;6,"Late Night", IF(Bike_Sharing_Master6[[#This Row],[Hr]]&lt;10,"Morning Peak", IF(Bike_Sharing_Master6[[#This Row],[Hr]]&lt;17,"Daytime", IF(Bike_Sharing_Master6[[#This Row],[Hr]]&lt;21,"Evening Peak","Night"))))</f>
        <v>Morning Peak</v>
      </c>
      <c r="S145" s="1" t="str">
        <f>IF(Bike_Sharing_Master6[[#This Row],[Holiday]]=1,"Holiday","Non-Holiday")</f>
        <v>Non-Holiday</v>
      </c>
      <c r="T145" s="1" t="str">
        <f>IF(Bike_Sharing_Master6[[#This Row],[Cnt]]&lt;80,"Low",IF(Bike_Sharing_Master6[[#This Row],[Cnt]]&lt;160,"Medium","High"))</f>
        <v>Low</v>
      </c>
      <c r="U145" s="1" t="str">
        <f>VLOOKUP(Bike_Sharing_Master6[[#This Row],[Weathersit]],[1]Lookup_Weather!A:B,2,FALSE)</f>
        <v>Mist</v>
      </c>
    </row>
    <row r="146" spans="1:21" x14ac:dyDescent="0.3">
      <c r="A146">
        <v>145</v>
      </c>
      <c r="B146" s="3">
        <v>40550</v>
      </c>
      <c r="C146" s="1">
        <v>1</v>
      </c>
      <c r="D146" s="1">
        <v>0</v>
      </c>
      <c r="E146" s="1">
        <v>1</v>
      </c>
      <c r="F146" s="1">
        <v>7</v>
      </c>
      <c r="G146" t="b">
        <v>0</v>
      </c>
      <c r="H146" s="1">
        <v>5</v>
      </c>
      <c r="I146" s="1">
        <v>1</v>
      </c>
      <c r="J146" s="2">
        <v>0.2</v>
      </c>
      <c r="K146" s="2">
        <v>0.21210000000000001</v>
      </c>
      <c r="L146" s="2">
        <v>0.69</v>
      </c>
      <c r="M146" s="2">
        <v>0.1343</v>
      </c>
      <c r="N146" s="1">
        <v>8</v>
      </c>
      <c r="O146" s="1">
        <v>76</v>
      </c>
      <c r="P146" s="1">
        <v>84</v>
      </c>
      <c r="Q146" s="1" t="str">
        <f>IF(WEEKDAY(Bike_Sharing_Master6[[#This Row],[Dteday]],2)&gt;=6,"Weekend","Weekday")</f>
        <v>Weekday</v>
      </c>
      <c r="R146" s="1" t="str">
        <f xml:space="preserve"> IF(Bike_Sharing_Master6[[#This Row],[Hr]]&lt;6,"Late Night", IF(Bike_Sharing_Master6[[#This Row],[Hr]]&lt;10,"Morning Peak", IF(Bike_Sharing_Master6[[#This Row],[Hr]]&lt;17,"Daytime", IF(Bike_Sharing_Master6[[#This Row],[Hr]]&lt;21,"Evening Peak","Night"))))</f>
        <v>Morning Peak</v>
      </c>
      <c r="S146" s="1" t="str">
        <f>IF(Bike_Sharing_Master6[[#This Row],[Holiday]]=1,"Holiday","Non-Holiday")</f>
        <v>Non-Holiday</v>
      </c>
      <c r="T146" s="1" t="str">
        <f>IF(Bike_Sharing_Master6[[#This Row],[Cnt]]&lt;80,"Low",IF(Bike_Sharing_Master6[[#This Row],[Cnt]]&lt;160,"Medium","High"))</f>
        <v>Medium</v>
      </c>
      <c r="U146" s="1" t="str">
        <f>VLOOKUP(Bike_Sharing_Master6[[#This Row],[Weathersit]],[1]Lookup_Weather!A:B,2,FALSE)</f>
        <v>Clear</v>
      </c>
    </row>
    <row r="147" spans="1:21" x14ac:dyDescent="0.3">
      <c r="A147">
        <v>146</v>
      </c>
      <c r="B147" s="3">
        <v>40550</v>
      </c>
      <c r="C147" s="1">
        <v>1</v>
      </c>
      <c r="D147" s="1">
        <v>0</v>
      </c>
      <c r="E147" s="1">
        <v>1</v>
      </c>
      <c r="F147" s="1">
        <v>8</v>
      </c>
      <c r="G147" t="b">
        <v>0</v>
      </c>
      <c r="H147" s="1">
        <v>5</v>
      </c>
      <c r="I147" s="1">
        <v>1</v>
      </c>
      <c r="J147" s="2">
        <v>0.2</v>
      </c>
      <c r="K147" s="2">
        <v>0.19700000000000001</v>
      </c>
      <c r="L147" s="2">
        <v>0.51</v>
      </c>
      <c r="M147" s="2">
        <v>0.25369999999999998</v>
      </c>
      <c r="N147" s="1">
        <v>20</v>
      </c>
      <c r="O147" s="1">
        <v>190</v>
      </c>
      <c r="P147" s="1">
        <v>210</v>
      </c>
      <c r="Q147" s="1" t="str">
        <f>IF(WEEKDAY(Bike_Sharing_Master6[[#This Row],[Dteday]],2)&gt;=6,"Weekend","Weekday")</f>
        <v>Weekday</v>
      </c>
      <c r="R147" s="1" t="str">
        <f xml:space="preserve"> IF(Bike_Sharing_Master6[[#This Row],[Hr]]&lt;6,"Late Night", IF(Bike_Sharing_Master6[[#This Row],[Hr]]&lt;10,"Morning Peak", IF(Bike_Sharing_Master6[[#This Row],[Hr]]&lt;17,"Daytime", IF(Bike_Sharing_Master6[[#This Row],[Hr]]&lt;21,"Evening Peak","Night"))))</f>
        <v>Morning Peak</v>
      </c>
      <c r="S147" s="1" t="str">
        <f>IF(Bike_Sharing_Master6[[#This Row],[Holiday]]=1,"Holiday","Non-Holiday")</f>
        <v>Non-Holiday</v>
      </c>
      <c r="T147" s="1" t="str">
        <f>IF(Bike_Sharing_Master6[[#This Row],[Cnt]]&lt;80,"Low",IF(Bike_Sharing_Master6[[#This Row],[Cnt]]&lt;160,"Medium","High"))</f>
        <v>High</v>
      </c>
      <c r="U147" s="1" t="str">
        <f>VLOOKUP(Bike_Sharing_Master6[[#This Row],[Weathersit]],[1]Lookup_Weather!A:B,2,FALSE)</f>
        <v>Clear</v>
      </c>
    </row>
    <row r="148" spans="1:21" x14ac:dyDescent="0.3">
      <c r="A148">
        <v>147</v>
      </c>
      <c r="B148" s="3">
        <v>40550</v>
      </c>
      <c r="C148" s="1">
        <v>1</v>
      </c>
      <c r="D148" s="1">
        <v>0</v>
      </c>
      <c r="E148" s="1">
        <v>1</v>
      </c>
      <c r="F148" s="1">
        <v>9</v>
      </c>
      <c r="G148" t="b">
        <v>0</v>
      </c>
      <c r="H148" s="1">
        <v>5</v>
      </c>
      <c r="I148" s="1">
        <v>1</v>
      </c>
      <c r="J148" s="2">
        <v>0.2</v>
      </c>
      <c r="K148" s="2">
        <v>0.18179999999999999</v>
      </c>
      <c r="L148" s="2">
        <v>0.47</v>
      </c>
      <c r="M148" s="2">
        <v>0.29849999999999999</v>
      </c>
      <c r="N148" s="1">
        <v>9</v>
      </c>
      <c r="O148" s="1">
        <v>125</v>
      </c>
      <c r="P148" s="1">
        <v>134</v>
      </c>
      <c r="Q148" s="1" t="str">
        <f>IF(WEEKDAY(Bike_Sharing_Master6[[#This Row],[Dteday]],2)&gt;=6,"Weekend","Weekday")</f>
        <v>Weekday</v>
      </c>
      <c r="R148" s="1" t="str">
        <f xml:space="preserve"> IF(Bike_Sharing_Master6[[#This Row],[Hr]]&lt;6,"Late Night", IF(Bike_Sharing_Master6[[#This Row],[Hr]]&lt;10,"Morning Peak", IF(Bike_Sharing_Master6[[#This Row],[Hr]]&lt;17,"Daytime", IF(Bike_Sharing_Master6[[#This Row],[Hr]]&lt;21,"Evening Peak","Night"))))</f>
        <v>Morning Peak</v>
      </c>
      <c r="S148" s="1" t="str">
        <f>IF(Bike_Sharing_Master6[[#This Row],[Holiday]]=1,"Holiday","Non-Holiday")</f>
        <v>Non-Holiday</v>
      </c>
      <c r="T148" s="1" t="str">
        <f>IF(Bike_Sharing_Master6[[#This Row],[Cnt]]&lt;80,"Low",IF(Bike_Sharing_Master6[[#This Row],[Cnt]]&lt;160,"Medium","High"))</f>
        <v>Medium</v>
      </c>
      <c r="U148" s="1" t="str">
        <f>VLOOKUP(Bike_Sharing_Master6[[#This Row],[Weathersit]],[1]Lookup_Weather!A:B,2,FALSE)</f>
        <v>Clear</v>
      </c>
    </row>
    <row r="149" spans="1:21" x14ac:dyDescent="0.3">
      <c r="A149">
        <v>148</v>
      </c>
      <c r="B149" s="3">
        <v>40550</v>
      </c>
      <c r="C149" s="1">
        <v>1</v>
      </c>
      <c r="D149" s="1">
        <v>0</v>
      </c>
      <c r="E149" s="1">
        <v>1</v>
      </c>
      <c r="F149" s="1">
        <v>10</v>
      </c>
      <c r="G149" t="b">
        <v>0</v>
      </c>
      <c r="H149" s="1">
        <v>5</v>
      </c>
      <c r="I149" s="1">
        <v>1</v>
      </c>
      <c r="J149" s="2">
        <v>0.22</v>
      </c>
      <c r="K149" s="2">
        <v>0.19700000000000001</v>
      </c>
      <c r="L149" s="2">
        <v>0.37</v>
      </c>
      <c r="M149" s="2">
        <v>0.32840000000000003</v>
      </c>
      <c r="N149" s="1">
        <v>16</v>
      </c>
      <c r="O149" s="1">
        <v>47</v>
      </c>
      <c r="P149" s="1">
        <v>63</v>
      </c>
      <c r="Q149" s="1" t="str">
        <f>IF(WEEKDAY(Bike_Sharing_Master6[[#This Row],[Dteday]],2)&gt;=6,"Weekend","Weekday")</f>
        <v>Weekday</v>
      </c>
      <c r="R149" s="1" t="str">
        <f xml:space="preserve"> IF(Bike_Sharing_Master6[[#This Row],[Hr]]&lt;6,"Late Night", IF(Bike_Sharing_Master6[[#This Row],[Hr]]&lt;10,"Morning Peak", IF(Bike_Sharing_Master6[[#This Row],[Hr]]&lt;17,"Daytime", IF(Bike_Sharing_Master6[[#This Row],[Hr]]&lt;21,"Evening Peak","Night"))))</f>
        <v>Daytime</v>
      </c>
      <c r="S149" s="1" t="str">
        <f>IF(Bike_Sharing_Master6[[#This Row],[Holiday]]=1,"Holiday","Non-Holiday")</f>
        <v>Non-Holiday</v>
      </c>
      <c r="T149" s="1" t="str">
        <f>IF(Bike_Sharing_Master6[[#This Row],[Cnt]]&lt;80,"Low",IF(Bike_Sharing_Master6[[#This Row],[Cnt]]&lt;160,"Medium","High"))</f>
        <v>Low</v>
      </c>
      <c r="U149" s="1" t="str">
        <f>VLOOKUP(Bike_Sharing_Master6[[#This Row],[Weathersit]],[1]Lookup_Weather!A:B,2,FALSE)</f>
        <v>Clear</v>
      </c>
    </row>
    <row r="150" spans="1:21" x14ac:dyDescent="0.3">
      <c r="A150">
        <v>149</v>
      </c>
      <c r="B150" s="3">
        <v>40550</v>
      </c>
      <c r="C150" s="1">
        <v>1</v>
      </c>
      <c r="D150" s="1">
        <v>0</v>
      </c>
      <c r="E150" s="1">
        <v>1</v>
      </c>
      <c r="F150" s="1">
        <v>11</v>
      </c>
      <c r="G150" t="b">
        <v>0</v>
      </c>
      <c r="H150" s="1">
        <v>5</v>
      </c>
      <c r="I150" s="1">
        <v>2</v>
      </c>
      <c r="J150" s="2">
        <v>0.2</v>
      </c>
      <c r="K150" s="2">
        <v>0.19700000000000001</v>
      </c>
      <c r="L150" s="2">
        <v>0.4</v>
      </c>
      <c r="M150" s="2">
        <v>0.22389999999999999</v>
      </c>
      <c r="N150" s="1">
        <v>19</v>
      </c>
      <c r="O150" s="1">
        <v>48</v>
      </c>
      <c r="P150" s="1">
        <v>67</v>
      </c>
      <c r="Q150" s="1" t="str">
        <f>IF(WEEKDAY(Bike_Sharing_Master6[[#This Row],[Dteday]],2)&gt;=6,"Weekend","Weekday")</f>
        <v>Weekday</v>
      </c>
      <c r="R150" s="1" t="str">
        <f xml:space="preserve"> IF(Bike_Sharing_Master6[[#This Row],[Hr]]&lt;6,"Late Night", IF(Bike_Sharing_Master6[[#This Row],[Hr]]&lt;10,"Morning Peak", IF(Bike_Sharing_Master6[[#This Row],[Hr]]&lt;17,"Daytime", IF(Bike_Sharing_Master6[[#This Row],[Hr]]&lt;21,"Evening Peak","Night"))))</f>
        <v>Daytime</v>
      </c>
      <c r="S150" s="1" t="str">
        <f>IF(Bike_Sharing_Master6[[#This Row],[Holiday]]=1,"Holiday","Non-Holiday")</f>
        <v>Non-Holiday</v>
      </c>
      <c r="T150" s="1" t="str">
        <f>IF(Bike_Sharing_Master6[[#This Row],[Cnt]]&lt;80,"Low",IF(Bike_Sharing_Master6[[#This Row],[Cnt]]&lt;160,"Medium","High"))</f>
        <v>Low</v>
      </c>
      <c r="U150" s="1" t="str">
        <f>VLOOKUP(Bike_Sharing_Master6[[#This Row],[Weathersit]],[1]Lookup_Weather!A:B,2,FALSE)</f>
        <v>Mist</v>
      </c>
    </row>
    <row r="151" spans="1:21" x14ac:dyDescent="0.3">
      <c r="A151">
        <v>150</v>
      </c>
      <c r="B151" s="3">
        <v>40550</v>
      </c>
      <c r="C151" s="1">
        <v>1</v>
      </c>
      <c r="D151" s="1">
        <v>0</v>
      </c>
      <c r="E151" s="1">
        <v>1</v>
      </c>
      <c r="F151" s="1">
        <v>12</v>
      </c>
      <c r="G151" t="b">
        <v>0</v>
      </c>
      <c r="H151" s="1">
        <v>5</v>
      </c>
      <c r="I151" s="1">
        <v>2</v>
      </c>
      <c r="J151" s="2">
        <v>0.2</v>
      </c>
      <c r="K151" s="2">
        <v>0.19700000000000001</v>
      </c>
      <c r="L151" s="2">
        <v>0.37</v>
      </c>
      <c r="M151" s="2">
        <v>0.25369999999999998</v>
      </c>
      <c r="N151" s="1">
        <v>9</v>
      </c>
      <c r="O151" s="1">
        <v>50</v>
      </c>
      <c r="P151" s="1">
        <v>59</v>
      </c>
      <c r="Q151" s="1" t="str">
        <f>IF(WEEKDAY(Bike_Sharing_Master6[[#This Row],[Dteday]],2)&gt;=6,"Weekend","Weekday")</f>
        <v>Weekday</v>
      </c>
      <c r="R151" s="1" t="str">
        <f xml:space="preserve"> IF(Bike_Sharing_Master6[[#This Row],[Hr]]&lt;6,"Late Night", IF(Bike_Sharing_Master6[[#This Row],[Hr]]&lt;10,"Morning Peak", IF(Bike_Sharing_Master6[[#This Row],[Hr]]&lt;17,"Daytime", IF(Bike_Sharing_Master6[[#This Row],[Hr]]&lt;21,"Evening Peak","Night"))))</f>
        <v>Daytime</v>
      </c>
      <c r="S151" s="1" t="str">
        <f>IF(Bike_Sharing_Master6[[#This Row],[Holiday]]=1,"Holiday","Non-Holiday")</f>
        <v>Non-Holiday</v>
      </c>
      <c r="T151" s="1" t="str">
        <f>IF(Bike_Sharing_Master6[[#This Row],[Cnt]]&lt;80,"Low",IF(Bike_Sharing_Master6[[#This Row],[Cnt]]&lt;160,"Medium","High"))</f>
        <v>Low</v>
      </c>
      <c r="U151" s="1" t="str">
        <f>VLOOKUP(Bike_Sharing_Master6[[#This Row],[Weathersit]],[1]Lookup_Weather!A:B,2,FALSE)</f>
        <v>Mist</v>
      </c>
    </row>
    <row r="152" spans="1:21" x14ac:dyDescent="0.3">
      <c r="A152">
        <v>151</v>
      </c>
      <c r="B152" s="3">
        <v>40550</v>
      </c>
      <c r="C152" s="1">
        <v>1</v>
      </c>
      <c r="D152" s="1">
        <v>0</v>
      </c>
      <c r="E152" s="1">
        <v>1</v>
      </c>
      <c r="F152" s="1">
        <v>13</v>
      </c>
      <c r="G152" t="b">
        <v>0</v>
      </c>
      <c r="H152" s="1">
        <v>5</v>
      </c>
      <c r="I152" s="1">
        <v>2</v>
      </c>
      <c r="J152" s="2">
        <v>0.2</v>
      </c>
      <c r="K152" s="2">
        <v>0.18179999999999999</v>
      </c>
      <c r="L152" s="2">
        <v>0.37</v>
      </c>
      <c r="M152" s="2">
        <v>0.28360000000000002</v>
      </c>
      <c r="N152" s="1">
        <v>9</v>
      </c>
      <c r="O152" s="1">
        <v>64</v>
      </c>
      <c r="P152" s="1">
        <v>73</v>
      </c>
      <c r="Q152" s="1" t="str">
        <f>IF(WEEKDAY(Bike_Sharing_Master6[[#This Row],[Dteday]],2)&gt;=6,"Weekend","Weekday")</f>
        <v>Weekday</v>
      </c>
      <c r="R152" s="1" t="str">
        <f xml:space="preserve"> IF(Bike_Sharing_Master6[[#This Row],[Hr]]&lt;6,"Late Night", IF(Bike_Sharing_Master6[[#This Row],[Hr]]&lt;10,"Morning Peak", IF(Bike_Sharing_Master6[[#This Row],[Hr]]&lt;17,"Daytime", IF(Bike_Sharing_Master6[[#This Row],[Hr]]&lt;21,"Evening Peak","Night"))))</f>
        <v>Daytime</v>
      </c>
      <c r="S152" s="1" t="str">
        <f>IF(Bike_Sharing_Master6[[#This Row],[Holiday]]=1,"Holiday","Non-Holiday")</f>
        <v>Non-Holiday</v>
      </c>
      <c r="T152" s="1" t="str">
        <f>IF(Bike_Sharing_Master6[[#This Row],[Cnt]]&lt;80,"Low",IF(Bike_Sharing_Master6[[#This Row],[Cnt]]&lt;160,"Medium","High"))</f>
        <v>Low</v>
      </c>
      <c r="U152" s="1" t="str">
        <f>VLOOKUP(Bike_Sharing_Master6[[#This Row],[Weathersit]],[1]Lookup_Weather!A:B,2,FALSE)</f>
        <v>Mist</v>
      </c>
    </row>
    <row r="153" spans="1:21" x14ac:dyDescent="0.3">
      <c r="A153">
        <v>152</v>
      </c>
      <c r="B153" s="3">
        <v>40550</v>
      </c>
      <c r="C153" s="1">
        <v>1</v>
      </c>
      <c r="D153" s="1">
        <v>0</v>
      </c>
      <c r="E153" s="1">
        <v>1</v>
      </c>
      <c r="F153" s="1">
        <v>14</v>
      </c>
      <c r="G153" t="b">
        <v>0</v>
      </c>
      <c r="H153" s="1">
        <v>5</v>
      </c>
      <c r="I153" s="1">
        <v>2</v>
      </c>
      <c r="J153" s="2">
        <v>0.2</v>
      </c>
      <c r="K153" s="2">
        <v>0.19700000000000001</v>
      </c>
      <c r="L153" s="2">
        <v>0.4</v>
      </c>
      <c r="M153" s="2">
        <v>0.25369999999999998</v>
      </c>
      <c r="N153" s="1">
        <v>7</v>
      </c>
      <c r="O153" s="1">
        <v>43</v>
      </c>
      <c r="P153" s="1">
        <v>50</v>
      </c>
      <c r="Q153" s="1" t="str">
        <f>IF(WEEKDAY(Bike_Sharing_Master6[[#This Row],[Dteday]],2)&gt;=6,"Weekend","Weekday")</f>
        <v>Weekday</v>
      </c>
      <c r="R153" s="1" t="str">
        <f xml:space="preserve"> IF(Bike_Sharing_Master6[[#This Row],[Hr]]&lt;6,"Late Night", IF(Bike_Sharing_Master6[[#This Row],[Hr]]&lt;10,"Morning Peak", IF(Bike_Sharing_Master6[[#This Row],[Hr]]&lt;17,"Daytime", IF(Bike_Sharing_Master6[[#This Row],[Hr]]&lt;21,"Evening Peak","Night"))))</f>
        <v>Daytime</v>
      </c>
      <c r="S153" s="1" t="str">
        <f>IF(Bike_Sharing_Master6[[#This Row],[Holiday]]=1,"Holiday","Non-Holiday")</f>
        <v>Non-Holiday</v>
      </c>
      <c r="T153" s="1" t="str">
        <f>IF(Bike_Sharing_Master6[[#This Row],[Cnt]]&lt;80,"Low",IF(Bike_Sharing_Master6[[#This Row],[Cnt]]&lt;160,"Medium","High"))</f>
        <v>Low</v>
      </c>
      <c r="U153" s="1" t="str">
        <f>VLOOKUP(Bike_Sharing_Master6[[#This Row],[Weathersit]],[1]Lookup_Weather!A:B,2,FALSE)</f>
        <v>Mist</v>
      </c>
    </row>
    <row r="154" spans="1:21" x14ac:dyDescent="0.3">
      <c r="A154">
        <v>153</v>
      </c>
      <c r="B154" s="3">
        <v>40550</v>
      </c>
      <c r="C154" s="1">
        <v>1</v>
      </c>
      <c r="D154" s="1">
        <v>0</v>
      </c>
      <c r="E154" s="1">
        <v>1</v>
      </c>
      <c r="F154" s="1">
        <v>15</v>
      </c>
      <c r="G154" t="b">
        <v>0</v>
      </c>
      <c r="H154" s="1">
        <v>5</v>
      </c>
      <c r="I154" s="1">
        <v>2</v>
      </c>
      <c r="J154" s="2">
        <v>0.2</v>
      </c>
      <c r="K154" s="2">
        <v>0.21210000000000001</v>
      </c>
      <c r="L154" s="2">
        <v>0.37</v>
      </c>
      <c r="M154" s="2">
        <v>0.16420000000000001</v>
      </c>
      <c r="N154" s="1">
        <v>9</v>
      </c>
      <c r="O154" s="1">
        <v>63</v>
      </c>
      <c r="P154" s="1">
        <v>72</v>
      </c>
      <c r="Q154" s="1" t="str">
        <f>IF(WEEKDAY(Bike_Sharing_Master6[[#This Row],[Dteday]],2)&gt;=6,"Weekend","Weekday")</f>
        <v>Weekday</v>
      </c>
      <c r="R154" s="1" t="str">
        <f xml:space="preserve"> IF(Bike_Sharing_Master6[[#This Row],[Hr]]&lt;6,"Late Night", IF(Bike_Sharing_Master6[[#This Row],[Hr]]&lt;10,"Morning Peak", IF(Bike_Sharing_Master6[[#This Row],[Hr]]&lt;17,"Daytime", IF(Bike_Sharing_Master6[[#This Row],[Hr]]&lt;21,"Evening Peak","Night"))))</f>
        <v>Daytime</v>
      </c>
      <c r="S154" s="1" t="str">
        <f>IF(Bike_Sharing_Master6[[#This Row],[Holiday]]=1,"Holiday","Non-Holiday")</f>
        <v>Non-Holiday</v>
      </c>
      <c r="T154" s="1" t="str">
        <f>IF(Bike_Sharing_Master6[[#This Row],[Cnt]]&lt;80,"Low",IF(Bike_Sharing_Master6[[#This Row],[Cnt]]&lt;160,"Medium","High"))</f>
        <v>Low</v>
      </c>
      <c r="U154" s="1" t="str">
        <f>VLOOKUP(Bike_Sharing_Master6[[#This Row],[Weathersit]],[1]Lookup_Weather!A:B,2,FALSE)</f>
        <v>Mist</v>
      </c>
    </row>
    <row r="155" spans="1:21" x14ac:dyDescent="0.3">
      <c r="A155">
        <v>154</v>
      </c>
      <c r="B155" s="3">
        <v>40550</v>
      </c>
      <c r="C155" s="1">
        <v>1</v>
      </c>
      <c r="D155" s="1">
        <v>0</v>
      </c>
      <c r="E155" s="1">
        <v>1</v>
      </c>
      <c r="F155" s="1">
        <v>16</v>
      </c>
      <c r="G155" t="b">
        <v>0</v>
      </c>
      <c r="H155" s="1">
        <v>5</v>
      </c>
      <c r="I155" s="1">
        <v>2</v>
      </c>
      <c r="J155" s="2">
        <v>0.2</v>
      </c>
      <c r="K155" s="2">
        <v>0.21210000000000001</v>
      </c>
      <c r="L155" s="2">
        <v>0.37</v>
      </c>
      <c r="M155" s="2">
        <v>0.16420000000000001</v>
      </c>
      <c r="N155" s="1">
        <v>5</v>
      </c>
      <c r="O155" s="1">
        <v>82</v>
      </c>
      <c r="P155" s="1">
        <v>87</v>
      </c>
      <c r="Q155" s="1" t="str">
        <f>IF(WEEKDAY(Bike_Sharing_Master6[[#This Row],[Dteday]],2)&gt;=6,"Weekend","Weekday")</f>
        <v>Weekday</v>
      </c>
      <c r="R155" s="1" t="str">
        <f xml:space="preserve"> IF(Bike_Sharing_Master6[[#This Row],[Hr]]&lt;6,"Late Night", IF(Bike_Sharing_Master6[[#This Row],[Hr]]&lt;10,"Morning Peak", IF(Bike_Sharing_Master6[[#This Row],[Hr]]&lt;17,"Daytime", IF(Bike_Sharing_Master6[[#This Row],[Hr]]&lt;21,"Evening Peak","Night"))))</f>
        <v>Daytime</v>
      </c>
      <c r="S155" s="1" t="str">
        <f>IF(Bike_Sharing_Master6[[#This Row],[Holiday]]=1,"Holiday","Non-Holiday")</f>
        <v>Non-Holiday</v>
      </c>
      <c r="T155" s="1" t="str">
        <f>IF(Bike_Sharing_Master6[[#This Row],[Cnt]]&lt;80,"Low",IF(Bike_Sharing_Master6[[#This Row],[Cnt]]&lt;160,"Medium","High"))</f>
        <v>Medium</v>
      </c>
      <c r="U155" s="1" t="str">
        <f>VLOOKUP(Bike_Sharing_Master6[[#This Row],[Weathersit]],[1]Lookup_Weather!A:B,2,FALSE)</f>
        <v>Mist</v>
      </c>
    </row>
    <row r="156" spans="1:21" x14ac:dyDescent="0.3">
      <c r="A156">
        <v>155</v>
      </c>
      <c r="B156" s="3">
        <v>40550</v>
      </c>
      <c r="C156" s="1">
        <v>1</v>
      </c>
      <c r="D156" s="1">
        <v>0</v>
      </c>
      <c r="E156" s="1">
        <v>1</v>
      </c>
      <c r="F156" s="1">
        <v>17</v>
      </c>
      <c r="G156" t="b">
        <v>0</v>
      </c>
      <c r="H156" s="1">
        <v>5</v>
      </c>
      <c r="I156" s="1">
        <v>2</v>
      </c>
      <c r="J156" s="2">
        <v>0.2</v>
      </c>
      <c r="K156" s="2">
        <v>0.2576</v>
      </c>
      <c r="L156" s="2">
        <v>0.37</v>
      </c>
      <c r="M156" s="2">
        <v>0</v>
      </c>
      <c r="N156" s="1">
        <v>9</v>
      </c>
      <c r="O156" s="1">
        <v>178</v>
      </c>
      <c r="P156" s="1">
        <v>187</v>
      </c>
      <c r="Q156" s="1" t="str">
        <f>IF(WEEKDAY(Bike_Sharing_Master6[[#This Row],[Dteday]],2)&gt;=6,"Weekend","Weekday")</f>
        <v>Weekday</v>
      </c>
      <c r="R156" s="1" t="str">
        <f xml:space="preserve"> IF(Bike_Sharing_Master6[[#This Row],[Hr]]&lt;6,"Late Night", IF(Bike_Sharing_Master6[[#This Row],[Hr]]&lt;10,"Morning Peak", IF(Bike_Sharing_Master6[[#This Row],[Hr]]&lt;17,"Daytime", IF(Bike_Sharing_Master6[[#This Row],[Hr]]&lt;21,"Evening Peak","Night"))))</f>
        <v>Evening Peak</v>
      </c>
      <c r="S156" s="1" t="str">
        <f>IF(Bike_Sharing_Master6[[#This Row],[Holiday]]=1,"Holiday","Non-Holiday")</f>
        <v>Non-Holiday</v>
      </c>
      <c r="T156" s="1" t="str">
        <f>IF(Bike_Sharing_Master6[[#This Row],[Cnt]]&lt;80,"Low",IF(Bike_Sharing_Master6[[#This Row],[Cnt]]&lt;160,"Medium","High"))</f>
        <v>High</v>
      </c>
      <c r="U156" s="1" t="str">
        <f>VLOOKUP(Bike_Sharing_Master6[[#This Row],[Weathersit]],[1]Lookup_Weather!A:B,2,FALSE)</f>
        <v>Mist</v>
      </c>
    </row>
    <row r="157" spans="1:21" x14ac:dyDescent="0.3">
      <c r="A157">
        <v>156</v>
      </c>
      <c r="B157" s="3">
        <v>40550</v>
      </c>
      <c r="C157" s="1">
        <v>1</v>
      </c>
      <c r="D157" s="1">
        <v>0</v>
      </c>
      <c r="E157" s="1">
        <v>1</v>
      </c>
      <c r="F157" s="1">
        <v>18</v>
      </c>
      <c r="G157" t="b">
        <v>0</v>
      </c>
      <c r="H157" s="1">
        <v>5</v>
      </c>
      <c r="I157" s="1">
        <v>1</v>
      </c>
      <c r="J157" s="2">
        <v>0.2</v>
      </c>
      <c r="K157" s="2">
        <v>0.2273</v>
      </c>
      <c r="L157" s="2">
        <v>0.4</v>
      </c>
      <c r="M157" s="2">
        <v>8.9599999999999999E-2</v>
      </c>
      <c r="N157" s="1">
        <v>7</v>
      </c>
      <c r="O157" s="1">
        <v>116</v>
      </c>
      <c r="P157" s="1">
        <v>123</v>
      </c>
      <c r="Q157" s="1" t="str">
        <f>IF(WEEKDAY(Bike_Sharing_Master6[[#This Row],[Dteday]],2)&gt;=6,"Weekend","Weekday")</f>
        <v>Weekday</v>
      </c>
      <c r="R157" s="1" t="str">
        <f xml:space="preserve"> IF(Bike_Sharing_Master6[[#This Row],[Hr]]&lt;6,"Late Night", IF(Bike_Sharing_Master6[[#This Row],[Hr]]&lt;10,"Morning Peak", IF(Bike_Sharing_Master6[[#This Row],[Hr]]&lt;17,"Daytime", IF(Bike_Sharing_Master6[[#This Row],[Hr]]&lt;21,"Evening Peak","Night"))))</f>
        <v>Evening Peak</v>
      </c>
      <c r="S157" s="1" t="str">
        <f>IF(Bike_Sharing_Master6[[#This Row],[Holiday]]=1,"Holiday","Non-Holiday")</f>
        <v>Non-Holiday</v>
      </c>
      <c r="T157" s="1" t="str">
        <f>IF(Bike_Sharing_Master6[[#This Row],[Cnt]]&lt;80,"Low",IF(Bike_Sharing_Master6[[#This Row],[Cnt]]&lt;160,"Medium","High"))</f>
        <v>Medium</v>
      </c>
      <c r="U157" s="1" t="str">
        <f>VLOOKUP(Bike_Sharing_Master6[[#This Row],[Weathersit]],[1]Lookup_Weather!A:B,2,FALSE)</f>
        <v>Clear</v>
      </c>
    </row>
    <row r="158" spans="1:21" x14ac:dyDescent="0.3">
      <c r="A158">
        <v>157</v>
      </c>
      <c r="B158" s="3">
        <v>40550</v>
      </c>
      <c r="C158" s="1">
        <v>1</v>
      </c>
      <c r="D158" s="1">
        <v>0</v>
      </c>
      <c r="E158" s="1">
        <v>1</v>
      </c>
      <c r="F158" s="1">
        <v>19</v>
      </c>
      <c r="G158" t="b">
        <v>0</v>
      </c>
      <c r="H158" s="1">
        <v>5</v>
      </c>
      <c r="I158" s="1">
        <v>1</v>
      </c>
      <c r="J158" s="2">
        <v>0.16</v>
      </c>
      <c r="K158" s="2">
        <v>0.19700000000000001</v>
      </c>
      <c r="L158" s="2">
        <v>0.55000000000000004</v>
      </c>
      <c r="M158" s="2">
        <v>8.9599999999999999E-2</v>
      </c>
      <c r="N158" s="1">
        <v>3</v>
      </c>
      <c r="O158" s="1">
        <v>92</v>
      </c>
      <c r="P158" s="1">
        <v>95</v>
      </c>
      <c r="Q158" s="1" t="str">
        <f>IF(WEEKDAY(Bike_Sharing_Master6[[#This Row],[Dteday]],2)&gt;=6,"Weekend","Weekday")</f>
        <v>Weekday</v>
      </c>
      <c r="R158" s="1" t="str">
        <f xml:space="preserve"> IF(Bike_Sharing_Master6[[#This Row],[Hr]]&lt;6,"Late Night", IF(Bike_Sharing_Master6[[#This Row],[Hr]]&lt;10,"Morning Peak", IF(Bike_Sharing_Master6[[#This Row],[Hr]]&lt;17,"Daytime", IF(Bike_Sharing_Master6[[#This Row],[Hr]]&lt;21,"Evening Peak","Night"))))</f>
        <v>Evening Peak</v>
      </c>
      <c r="S158" s="1" t="str">
        <f>IF(Bike_Sharing_Master6[[#This Row],[Holiday]]=1,"Holiday","Non-Holiday")</f>
        <v>Non-Holiday</v>
      </c>
      <c r="T158" s="1" t="str">
        <f>IF(Bike_Sharing_Master6[[#This Row],[Cnt]]&lt;80,"Low",IF(Bike_Sharing_Master6[[#This Row],[Cnt]]&lt;160,"Medium","High"))</f>
        <v>Medium</v>
      </c>
      <c r="U158" s="1" t="str">
        <f>VLOOKUP(Bike_Sharing_Master6[[#This Row],[Weathersit]],[1]Lookup_Weather!A:B,2,FALSE)</f>
        <v>Clear</v>
      </c>
    </row>
    <row r="159" spans="1:21" x14ac:dyDescent="0.3">
      <c r="A159">
        <v>158</v>
      </c>
      <c r="B159" s="3">
        <v>40550</v>
      </c>
      <c r="C159" s="1">
        <v>1</v>
      </c>
      <c r="D159" s="1">
        <v>0</v>
      </c>
      <c r="E159" s="1">
        <v>1</v>
      </c>
      <c r="F159" s="1">
        <v>20</v>
      </c>
      <c r="G159" t="b">
        <v>0</v>
      </c>
      <c r="H159" s="1">
        <v>5</v>
      </c>
      <c r="I159" s="1">
        <v>1</v>
      </c>
      <c r="J159" s="2">
        <v>0.18</v>
      </c>
      <c r="K159" s="2">
        <v>0.21210000000000001</v>
      </c>
      <c r="L159" s="2">
        <v>0.47</v>
      </c>
      <c r="M159" s="2">
        <v>0.1045</v>
      </c>
      <c r="N159" s="1">
        <v>1</v>
      </c>
      <c r="O159" s="1">
        <v>50</v>
      </c>
      <c r="P159" s="1">
        <v>51</v>
      </c>
      <c r="Q159" s="1" t="str">
        <f>IF(WEEKDAY(Bike_Sharing_Master6[[#This Row],[Dteday]],2)&gt;=6,"Weekend","Weekday")</f>
        <v>Weekday</v>
      </c>
      <c r="R159" s="1" t="str">
        <f xml:space="preserve"> IF(Bike_Sharing_Master6[[#This Row],[Hr]]&lt;6,"Late Night", IF(Bike_Sharing_Master6[[#This Row],[Hr]]&lt;10,"Morning Peak", IF(Bike_Sharing_Master6[[#This Row],[Hr]]&lt;17,"Daytime", IF(Bike_Sharing_Master6[[#This Row],[Hr]]&lt;21,"Evening Peak","Night"))))</f>
        <v>Evening Peak</v>
      </c>
      <c r="S159" s="1" t="str">
        <f>IF(Bike_Sharing_Master6[[#This Row],[Holiday]]=1,"Holiday","Non-Holiday")</f>
        <v>Non-Holiday</v>
      </c>
      <c r="T159" s="1" t="str">
        <f>IF(Bike_Sharing_Master6[[#This Row],[Cnt]]&lt;80,"Low",IF(Bike_Sharing_Master6[[#This Row],[Cnt]]&lt;160,"Medium","High"))</f>
        <v>Low</v>
      </c>
      <c r="U159" s="1" t="str">
        <f>VLOOKUP(Bike_Sharing_Master6[[#This Row],[Weathersit]],[1]Lookup_Weather!A:B,2,FALSE)</f>
        <v>Clear</v>
      </c>
    </row>
    <row r="160" spans="1:21" x14ac:dyDescent="0.3">
      <c r="A160">
        <v>159</v>
      </c>
      <c r="B160" s="3">
        <v>40550</v>
      </c>
      <c r="C160" s="1">
        <v>1</v>
      </c>
      <c r="D160" s="1">
        <v>0</v>
      </c>
      <c r="E160" s="1">
        <v>1</v>
      </c>
      <c r="F160" s="1">
        <v>21</v>
      </c>
      <c r="G160" t="b">
        <v>0</v>
      </c>
      <c r="H160" s="1">
        <v>5</v>
      </c>
      <c r="I160" s="1">
        <v>1</v>
      </c>
      <c r="J160" s="2">
        <v>0.18</v>
      </c>
      <c r="K160" s="2">
        <v>0.19700000000000001</v>
      </c>
      <c r="L160" s="2">
        <v>0.47</v>
      </c>
      <c r="M160" s="2">
        <v>0.1343</v>
      </c>
      <c r="N160" s="1">
        <v>0</v>
      </c>
      <c r="O160" s="1">
        <v>39</v>
      </c>
      <c r="P160" s="1">
        <v>39</v>
      </c>
      <c r="Q160" s="1" t="str">
        <f>IF(WEEKDAY(Bike_Sharing_Master6[[#This Row],[Dteday]],2)&gt;=6,"Weekend","Weekday")</f>
        <v>Weekday</v>
      </c>
      <c r="R160" s="1" t="str">
        <f xml:space="preserve"> IF(Bike_Sharing_Master6[[#This Row],[Hr]]&lt;6,"Late Night", IF(Bike_Sharing_Master6[[#This Row],[Hr]]&lt;10,"Morning Peak", IF(Bike_Sharing_Master6[[#This Row],[Hr]]&lt;17,"Daytime", IF(Bike_Sharing_Master6[[#This Row],[Hr]]&lt;21,"Evening Peak","Night"))))</f>
        <v>Night</v>
      </c>
      <c r="S160" s="1" t="str">
        <f>IF(Bike_Sharing_Master6[[#This Row],[Holiday]]=1,"Holiday","Non-Holiday")</f>
        <v>Non-Holiday</v>
      </c>
      <c r="T160" s="1" t="str">
        <f>IF(Bike_Sharing_Master6[[#This Row],[Cnt]]&lt;80,"Low",IF(Bike_Sharing_Master6[[#This Row],[Cnt]]&lt;160,"Medium","High"))</f>
        <v>Low</v>
      </c>
      <c r="U160" s="1" t="str">
        <f>VLOOKUP(Bike_Sharing_Master6[[#This Row],[Weathersit]],[1]Lookup_Weather!A:B,2,FALSE)</f>
        <v>Clear</v>
      </c>
    </row>
    <row r="161" spans="1:21" x14ac:dyDescent="0.3">
      <c r="A161">
        <v>160</v>
      </c>
      <c r="B161" s="3">
        <v>40550</v>
      </c>
      <c r="C161" s="1">
        <v>1</v>
      </c>
      <c r="D161" s="1">
        <v>0</v>
      </c>
      <c r="E161" s="1">
        <v>1</v>
      </c>
      <c r="F161" s="1">
        <v>22</v>
      </c>
      <c r="G161" t="b">
        <v>0</v>
      </c>
      <c r="H161" s="1">
        <v>5</v>
      </c>
      <c r="I161" s="1">
        <v>2</v>
      </c>
      <c r="J161" s="2">
        <v>0.18</v>
      </c>
      <c r="K161" s="2">
        <v>0.19700000000000001</v>
      </c>
      <c r="L161" s="2">
        <v>0.43</v>
      </c>
      <c r="M161" s="2">
        <v>0.16420000000000001</v>
      </c>
      <c r="N161" s="1">
        <v>2</v>
      </c>
      <c r="O161" s="1">
        <v>34</v>
      </c>
      <c r="P161" s="1">
        <v>36</v>
      </c>
      <c r="Q161" s="1" t="str">
        <f>IF(WEEKDAY(Bike_Sharing_Master6[[#This Row],[Dteday]],2)&gt;=6,"Weekend","Weekday")</f>
        <v>Weekday</v>
      </c>
      <c r="R161" s="1" t="str">
        <f xml:space="preserve"> IF(Bike_Sharing_Master6[[#This Row],[Hr]]&lt;6,"Late Night", IF(Bike_Sharing_Master6[[#This Row],[Hr]]&lt;10,"Morning Peak", IF(Bike_Sharing_Master6[[#This Row],[Hr]]&lt;17,"Daytime", IF(Bike_Sharing_Master6[[#This Row],[Hr]]&lt;21,"Evening Peak","Night"))))</f>
        <v>Night</v>
      </c>
      <c r="S161" s="1" t="str">
        <f>IF(Bike_Sharing_Master6[[#This Row],[Holiday]]=1,"Holiday","Non-Holiday")</f>
        <v>Non-Holiday</v>
      </c>
      <c r="T161" s="1" t="str">
        <f>IF(Bike_Sharing_Master6[[#This Row],[Cnt]]&lt;80,"Low",IF(Bike_Sharing_Master6[[#This Row],[Cnt]]&lt;160,"Medium","High"))</f>
        <v>Low</v>
      </c>
      <c r="U161" s="1" t="str">
        <f>VLOOKUP(Bike_Sharing_Master6[[#This Row],[Weathersit]],[1]Lookup_Weather!A:B,2,FALSE)</f>
        <v>Mist</v>
      </c>
    </row>
    <row r="162" spans="1:21" x14ac:dyDescent="0.3">
      <c r="A162">
        <v>161</v>
      </c>
      <c r="B162" s="3">
        <v>40550</v>
      </c>
      <c r="C162" s="1">
        <v>1</v>
      </c>
      <c r="D162" s="1">
        <v>0</v>
      </c>
      <c r="E162" s="1">
        <v>1</v>
      </c>
      <c r="F162" s="1">
        <v>23</v>
      </c>
      <c r="G162" t="b">
        <v>0</v>
      </c>
      <c r="H162" s="1">
        <v>5</v>
      </c>
      <c r="I162" s="1">
        <v>2</v>
      </c>
      <c r="J162" s="2">
        <v>0.18</v>
      </c>
      <c r="K162" s="2">
        <v>0.19700000000000001</v>
      </c>
      <c r="L162" s="2">
        <v>0.51</v>
      </c>
      <c r="M162" s="2">
        <v>0.16420000000000001</v>
      </c>
      <c r="N162" s="1">
        <v>1</v>
      </c>
      <c r="O162" s="1">
        <v>14</v>
      </c>
      <c r="P162" s="1">
        <v>15</v>
      </c>
      <c r="Q162" s="1" t="str">
        <f>IF(WEEKDAY(Bike_Sharing_Master6[[#This Row],[Dteday]],2)&gt;=6,"Weekend","Weekday")</f>
        <v>Weekday</v>
      </c>
      <c r="R162" s="1" t="str">
        <f xml:space="preserve"> IF(Bike_Sharing_Master6[[#This Row],[Hr]]&lt;6,"Late Night", IF(Bike_Sharing_Master6[[#This Row],[Hr]]&lt;10,"Morning Peak", IF(Bike_Sharing_Master6[[#This Row],[Hr]]&lt;17,"Daytime", IF(Bike_Sharing_Master6[[#This Row],[Hr]]&lt;21,"Evening Peak","Night"))))</f>
        <v>Night</v>
      </c>
      <c r="S162" s="1" t="str">
        <f>IF(Bike_Sharing_Master6[[#This Row],[Holiday]]=1,"Holiday","Non-Holiday")</f>
        <v>Non-Holiday</v>
      </c>
      <c r="T162" s="1" t="str">
        <f>IF(Bike_Sharing_Master6[[#This Row],[Cnt]]&lt;80,"Low",IF(Bike_Sharing_Master6[[#This Row],[Cnt]]&lt;160,"Medium","High"))</f>
        <v>Low</v>
      </c>
      <c r="U162" s="1" t="str">
        <f>VLOOKUP(Bike_Sharing_Master6[[#This Row],[Weathersit]],[1]Lookup_Weather!A:B,2,FALSE)</f>
        <v>Mist</v>
      </c>
    </row>
    <row r="163" spans="1:21" x14ac:dyDescent="0.3">
      <c r="A163">
        <v>162</v>
      </c>
      <c r="B163" s="3">
        <v>40551</v>
      </c>
      <c r="C163" s="1">
        <v>1</v>
      </c>
      <c r="D163" s="1">
        <v>0</v>
      </c>
      <c r="E163" s="1">
        <v>1</v>
      </c>
      <c r="F163" s="1">
        <v>0</v>
      </c>
      <c r="G163" t="b">
        <v>0</v>
      </c>
      <c r="H163" s="1">
        <v>6</v>
      </c>
      <c r="I163" s="1">
        <v>2</v>
      </c>
      <c r="J163" s="2">
        <v>0.18</v>
      </c>
      <c r="K163" s="2">
        <v>0.19700000000000001</v>
      </c>
      <c r="L163" s="2">
        <v>0.51</v>
      </c>
      <c r="M163" s="2">
        <v>0.16420000000000001</v>
      </c>
      <c r="N163" s="1">
        <v>1</v>
      </c>
      <c r="O163" s="1">
        <v>24</v>
      </c>
      <c r="P163" s="1">
        <v>25</v>
      </c>
      <c r="Q163" s="1" t="str">
        <f>IF(WEEKDAY(Bike_Sharing_Master6[[#This Row],[Dteday]],2)&gt;=6,"Weekend","Weekday")</f>
        <v>Weekend</v>
      </c>
      <c r="R163" s="1" t="str">
        <f xml:space="preserve"> IF(Bike_Sharing_Master6[[#This Row],[Hr]]&lt;6,"Late Night", IF(Bike_Sharing_Master6[[#This Row],[Hr]]&lt;10,"Morning Peak", IF(Bike_Sharing_Master6[[#This Row],[Hr]]&lt;17,"Daytime", IF(Bike_Sharing_Master6[[#This Row],[Hr]]&lt;21,"Evening Peak","Night"))))</f>
        <v>Late Night</v>
      </c>
      <c r="S163" s="1" t="str">
        <f>IF(Bike_Sharing_Master6[[#This Row],[Holiday]]=1,"Holiday","Non-Holiday")</f>
        <v>Non-Holiday</v>
      </c>
      <c r="T163" s="1" t="str">
        <f>IF(Bike_Sharing_Master6[[#This Row],[Cnt]]&lt;80,"Low",IF(Bike_Sharing_Master6[[#This Row],[Cnt]]&lt;160,"Medium","High"))</f>
        <v>Low</v>
      </c>
      <c r="U163" s="1" t="str">
        <f>VLOOKUP(Bike_Sharing_Master6[[#This Row],[Weathersit]],[1]Lookup_Weather!A:B,2,FALSE)</f>
        <v>Mist</v>
      </c>
    </row>
    <row r="164" spans="1:21" x14ac:dyDescent="0.3">
      <c r="A164">
        <v>163</v>
      </c>
      <c r="B164" s="3">
        <v>40551</v>
      </c>
      <c r="C164" s="1">
        <v>1</v>
      </c>
      <c r="D164" s="1">
        <v>0</v>
      </c>
      <c r="E164" s="1">
        <v>1</v>
      </c>
      <c r="F164" s="1">
        <v>1</v>
      </c>
      <c r="G164" t="b">
        <v>0</v>
      </c>
      <c r="H164" s="1">
        <v>6</v>
      </c>
      <c r="I164" s="1">
        <v>2</v>
      </c>
      <c r="J164" s="2">
        <v>0.18</v>
      </c>
      <c r="K164" s="2">
        <v>0.21210000000000001</v>
      </c>
      <c r="L164" s="2">
        <v>0.55000000000000004</v>
      </c>
      <c r="M164" s="2">
        <v>8.9599999999999999E-2</v>
      </c>
      <c r="N164" s="1">
        <v>1</v>
      </c>
      <c r="O164" s="1">
        <v>15</v>
      </c>
      <c r="P164" s="1">
        <v>16</v>
      </c>
      <c r="Q164" s="1" t="str">
        <f>IF(WEEKDAY(Bike_Sharing_Master6[[#This Row],[Dteday]],2)&gt;=6,"Weekend","Weekday")</f>
        <v>Weekend</v>
      </c>
      <c r="R164" s="1" t="str">
        <f xml:space="preserve"> IF(Bike_Sharing_Master6[[#This Row],[Hr]]&lt;6,"Late Night", IF(Bike_Sharing_Master6[[#This Row],[Hr]]&lt;10,"Morning Peak", IF(Bike_Sharing_Master6[[#This Row],[Hr]]&lt;17,"Daytime", IF(Bike_Sharing_Master6[[#This Row],[Hr]]&lt;21,"Evening Peak","Night"))))</f>
        <v>Late Night</v>
      </c>
      <c r="S164" s="1" t="str">
        <f>IF(Bike_Sharing_Master6[[#This Row],[Holiday]]=1,"Holiday","Non-Holiday")</f>
        <v>Non-Holiday</v>
      </c>
      <c r="T164" s="1" t="str">
        <f>IF(Bike_Sharing_Master6[[#This Row],[Cnt]]&lt;80,"Low",IF(Bike_Sharing_Master6[[#This Row],[Cnt]]&lt;160,"Medium","High"))</f>
        <v>Low</v>
      </c>
      <c r="U164" s="1" t="str">
        <f>VLOOKUP(Bike_Sharing_Master6[[#This Row],[Weathersit]],[1]Lookup_Weather!A:B,2,FALSE)</f>
        <v>Mist</v>
      </c>
    </row>
    <row r="165" spans="1:21" x14ac:dyDescent="0.3">
      <c r="A165">
        <v>164</v>
      </c>
      <c r="B165" s="3">
        <v>40551</v>
      </c>
      <c r="C165" s="1">
        <v>1</v>
      </c>
      <c r="D165" s="1">
        <v>0</v>
      </c>
      <c r="E165" s="1">
        <v>1</v>
      </c>
      <c r="F165" s="1">
        <v>2</v>
      </c>
      <c r="G165" t="b">
        <v>0</v>
      </c>
      <c r="H165" s="1">
        <v>6</v>
      </c>
      <c r="I165" s="1">
        <v>2</v>
      </c>
      <c r="J165" s="2">
        <v>0.18</v>
      </c>
      <c r="K165" s="2">
        <v>0.2424</v>
      </c>
      <c r="L165" s="2">
        <v>0.55000000000000004</v>
      </c>
      <c r="M165" s="2">
        <v>0</v>
      </c>
      <c r="N165" s="1">
        <v>3</v>
      </c>
      <c r="O165" s="1">
        <v>13</v>
      </c>
      <c r="P165" s="1">
        <v>16</v>
      </c>
      <c r="Q165" s="1" t="str">
        <f>IF(WEEKDAY(Bike_Sharing_Master6[[#This Row],[Dteday]],2)&gt;=6,"Weekend","Weekday")</f>
        <v>Weekend</v>
      </c>
      <c r="R165" s="1" t="str">
        <f xml:space="preserve"> IF(Bike_Sharing_Master6[[#This Row],[Hr]]&lt;6,"Late Night", IF(Bike_Sharing_Master6[[#This Row],[Hr]]&lt;10,"Morning Peak", IF(Bike_Sharing_Master6[[#This Row],[Hr]]&lt;17,"Daytime", IF(Bike_Sharing_Master6[[#This Row],[Hr]]&lt;21,"Evening Peak","Night"))))</f>
        <v>Late Night</v>
      </c>
      <c r="S165" s="1" t="str">
        <f>IF(Bike_Sharing_Master6[[#This Row],[Holiday]]=1,"Holiday","Non-Holiday")</f>
        <v>Non-Holiday</v>
      </c>
      <c r="T165" s="1" t="str">
        <f>IF(Bike_Sharing_Master6[[#This Row],[Cnt]]&lt;80,"Low",IF(Bike_Sharing_Master6[[#This Row],[Cnt]]&lt;160,"Medium","High"))</f>
        <v>Low</v>
      </c>
      <c r="U165" s="1" t="str">
        <f>VLOOKUP(Bike_Sharing_Master6[[#This Row],[Weathersit]],[1]Lookup_Weather!A:B,2,FALSE)</f>
        <v>Mist</v>
      </c>
    </row>
    <row r="166" spans="1:21" x14ac:dyDescent="0.3">
      <c r="A166">
        <v>165</v>
      </c>
      <c r="B166" s="3">
        <v>40551</v>
      </c>
      <c r="C166" s="1">
        <v>1</v>
      </c>
      <c r="D166" s="1">
        <v>0</v>
      </c>
      <c r="E166" s="1">
        <v>1</v>
      </c>
      <c r="F166" s="1">
        <v>3</v>
      </c>
      <c r="G166" t="b">
        <v>0</v>
      </c>
      <c r="H166" s="1">
        <v>6</v>
      </c>
      <c r="I166" s="1">
        <v>3</v>
      </c>
      <c r="J166" s="2">
        <v>0.18</v>
      </c>
      <c r="K166" s="2">
        <v>0.19700000000000001</v>
      </c>
      <c r="L166" s="2">
        <v>0.55000000000000004</v>
      </c>
      <c r="M166" s="2">
        <v>0.16420000000000001</v>
      </c>
      <c r="N166" s="1">
        <v>0</v>
      </c>
      <c r="O166" s="1">
        <v>7</v>
      </c>
      <c r="P166" s="1">
        <v>7</v>
      </c>
      <c r="Q166" s="1" t="str">
        <f>IF(WEEKDAY(Bike_Sharing_Master6[[#This Row],[Dteday]],2)&gt;=6,"Weekend","Weekday")</f>
        <v>Weekend</v>
      </c>
      <c r="R166" s="1" t="str">
        <f xml:space="preserve"> IF(Bike_Sharing_Master6[[#This Row],[Hr]]&lt;6,"Late Night", IF(Bike_Sharing_Master6[[#This Row],[Hr]]&lt;10,"Morning Peak", IF(Bike_Sharing_Master6[[#This Row],[Hr]]&lt;17,"Daytime", IF(Bike_Sharing_Master6[[#This Row],[Hr]]&lt;21,"Evening Peak","Night"))))</f>
        <v>Late Night</v>
      </c>
      <c r="S166" s="1" t="str">
        <f>IF(Bike_Sharing_Master6[[#This Row],[Holiday]]=1,"Holiday","Non-Holiday")</f>
        <v>Non-Holiday</v>
      </c>
      <c r="T166" s="1" t="str">
        <f>IF(Bike_Sharing_Master6[[#This Row],[Cnt]]&lt;80,"Low",IF(Bike_Sharing_Master6[[#This Row],[Cnt]]&lt;160,"Medium","High"))</f>
        <v>Low</v>
      </c>
      <c r="U166" s="1" t="str">
        <f>VLOOKUP(Bike_Sharing_Master6[[#This Row],[Weathersit]],[1]Lookup_Weather!A:B,2,FALSE)</f>
        <v>Light Rain</v>
      </c>
    </row>
    <row r="167" spans="1:21" x14ac:dyDescent="0.3">
      <c r="A167">
        <v>166</v>
      </c>
      <c r="B167" s="3">
        <v>40551</v>
      </c>
      <c r="C167" s="1">
        <v>1</v>
      </c>
      <c r="D167" s="1">
        <v>0</v>
      </c>
      <c r="E167" s="1">
        <v>1</v>
      </c>
      <c r="F167" s="1">
        <v>4</v>
      </c>
      <c r="G167" t="b">
        <v>0</v>
      </c>
      <c r="H167" s="1">
        <v>6</v>
      </c>
      <c r="I167" s="1">
        <v>3</v>
      </c>
      <c r="J167" s="2">
        <v>0.18</v>
      </c>
      <c r="K167" s="2">
        <v>0.19700000000000001</v>
      </c>
      <c r="L167" s="2">
        <v>0.55000000000000004</v>
      </c>
      <c r="M167" s="2">
        <v>0.16420000000000001</v>
      </c>
      <c r="N167" s="1">
        <v>0</v>
      </c>
      <c r="O167" s="1">
        <v>1</v>
      </c>
      <c r="P167" s="1">
        <v>1</v>
      </c>
      <c r="Q167" s="1" t="str">
        <f>IF(WEEKDAY(Bike_Sharing_Master6[[#This Row],[Dteday]],2)&gt;=6,"Weekend","Weekday")</f>
        <v>Weekend</v>
      </c>
      <c r="R167" s="1" t="str">
        <f xml:space="preserve"> IF(Bike_Sharing_Master6[[#This Row],[Hr]]&lt;6,"Late Night", IF(Bike_Sharing_Master6[[#This Row],[Hr]]&lt;10,"Morning Peak", IF(Bike_Sharing_Master6[[#This Row],[Hr]]&lt;17,"Daytime", IF(Bike_Sharing_Master6[[#This Row],[Hr]]&lt;21,"Evening Peak","Night"))))</f>
        <v>Late Night</v>
      </c>
      <c r="S167" s="1" t="str">
        <f>IF(Bike_Sharing_Master6[[#This Row],[Holiday]]=1,"Holiday","Non-Holiday")</f>
        <v>Non-Holiday</v>
      </c>
      <c r="T167" s="1" t="str">
        <f>IF(Bike_Sharing_Master6[[#This Row],[Cnt]]&lt;80,"Low",IF(Bike_Sharing_Master6[[#This Row],[Cnt]]&lt;160,"Medium","High"))</f>
        <v>Low</v>
      </c>
      <c r="U167" s="1" t="str">
        <f>VLOOKUP(Bike_Sharing_Master6[[#This Row],[Weathersit]],[1]Lookup_Weather!A:B,2,FALSE)</f>
        <v>Light Rain</v>
      </c>
    </row>
    <row r="168" spans="1:21" x14ac:dyDescent="0.3">
      <c r="A168">
        <v>167</v>
      </c>
      <c r="B168" s="3">
        <v>40551</v>
      </c>
      <c r="C168" s="1">
        <v>1</v>
      </c>
      <c r="D168" s="1">
        <v>0</v>
      </c>
      <c r="E168" s="1">
        <v>1</v>
      </c>
      <c r="F168" s="1">
        <v>5</v>
      </c>
      <c r="G168" t="b">
        <v>0</v>
      </c>
      <c r="H168" s="1">
        <v>6</v>
      </c>
      <c r="I168" s="1">
        <v>2</v>
      </c>
      <c r="J168" s="2">
        <v>0.16</v>
      </c>
      <c r="K168" s="2">
        <v>0.16669999999999999</v>
      </c>
      <c r="L168" s="2">
        <v>0.74</v>
      </c>
      <c r="M168" s="2">
        <v>0.16420000000000001</v>
      </c>
      <c r="N168" s="1">
        <v>0</v>
      </c>
      <c r="O168" s="1">
        <v>5</v>
      </c>
      <c r="P168" s="1">
        <v>5</v>
      </c>
      <c r="Q168" s="1" t="str">
        <f>IF(WEEKDAY(Bike_Sharing_Master6[[#This Row],[Dteday]],2)&gt;=6,"Weekend","Weekday")</f>
        <v>Weekend</v>
      </c>
      <c r="R168" s="1" t="str">
        <f xml:space="preserve"> IF(Bike_Sharing_Master6[[#This Row],[Hr]]&lt;6,"Late Night", IF(Bike_Sharing_Master6[[#This Row],[Hr]]&lt;10,"Morning Peak", IF(Bike_Sharing_Master6[[#This Row],[Hr]]&lt;17,"Daytime", IF(Bike_Sharing_Master6[[#This Row],[Hr]]&lt;21,"Evening Peak","Night"))))</f>
        <v>Late Night</v>
      </c>
      <c r="S168" s="1" t="str">
        <f>IF(Bike_Sharing_Master6[[#This Row],[Holiday]]=1,"Holiday","Non-Holiday")</f>
        <v>Non-Holiday</v>
      </c>
      <c r="T168" s="1" t="str">
        <f>IF(Bike_Sharing_Master6[[#This Row],[Cnt]]&lt;80,"Low",IF(Bike_Sharing_Master6[[#This Row],[Cnt]]&lt;160,"Medium","High"))</f>
        <v>Low</v>
      </c>
      <c r="U168" s="1" t="str">
        <f>VLOOKUP(Bike_Sharing_Master6[[#This Row],[Weathersit]],[1]Lookup_Weather!A:B,2,FALSE)</f>
        <v>Mist</v>
      </c>
    </row>
    <row r="169" spans="1:21" x14ac:dyDescent="0.3">
      <c r="A169">
        <v>168</v>
      </c>
      <c r="B169" s="3">
        <v>40551</v>
      </c>
      <c r="C169" s="1">
        <v>1</v>
      </c>
      <c r="D169" s="1">
        <v>0</v>
      </c>
      <c r="E169" s="1">
        <v>1</v>
      </c>
      <c r="F169" s="1">
        <v>6</v>
      </c>
      <c r="G169" t="b">
        <v>0</v>
      </c>
      <c r="H169" s="1">
        <v>6</v>
      </c>
      <c r="I169" s="1">
        <v>2</v>
      </c>
      <c r="J169" s="2">
        <v>0.16</v>
      </c>
      <c r="K169" s="2">
        <v>0.16669999999999999</v>
      </c>
      <c r="L169" s="2">
        <v>0.74</v>
      </c>
      <c r="M169" s="2">
        <v>0.16420000000000001</v>
      </c>
      <c r="N169" s="1">
        <v>0</v>
      </c>
      <c r="O169" s="1">
        <v>2</v>
      </c>
      <c r="P169" s="1">
        <v>2</v>
      </c>
      <c r="Q169" s="1" t="str">
        <f>IF(WEEKDAY(Bike_Sharing_Master6[[#This Row],[Dteday]],2)&gt;=6,"Weekend","Weekday")</f>
        <v>Weekend</v>
      </c>
      <c r="R169" s="1" t="str">
        <f xml:space="preserve"> IF(Bike_Sharing_Master6[[#This Row],[Hr]]&lt;6,"Late Night", IF(Bike_Sharing_Master6[[#This Row],[Hr]]&lt;10,"Morning Peak", IF(Bike_Sharing_Master6[[#This Row],[Hr]]&lt;17,"Daytime", IF(Bike_Sharing_Master6[[#This Row],[Hr]]&lt;21,"Evening Peak","Night"))))</f>
        <v>Morning Peak</v>
      </c>
      <c r="S169" s="1" t="str">
        <f>IF(Bike_Sharing_Master6[[#This Row],[Holiday]]=1,"Holiday","Non-Holiday")</f>
        <v>Non-Holiday</v>
      </c>
      <c r="T169" s="1" t="str">
        <f>IF(Bike_Sharing_Master6[[#This Row],[Cnt]]&lt;80,"Low",IF(Bike_Sharing_Master6[[#This Row],[Cnt]]&lt;160,"Medium","High"))</f>
        <v>Low</v>
      </c>
      <c r="U169" s="1" t="str">
        <f>VLOOKUP(Bike_Sharing_Master6[[#This Row],[Weathersit]],[1]Lookup_Weather!A:B,2,FALSE)</f>
        <v>Mist</v>
      </c>
    </row>
    <row r="170" spans="1:21" x14ac:dyDescent="0.3">
      <c r="A170">
        <v>169</v>
      </c>
      <c r="B170" s="3">
        <v>40551</v>
      </c>
      <c r="C170" s="1">
        <v>1</v>
      </c>
      <c r="D170" s="1">
        <v>0</v>
      </c>
      <c r="E170" s="1">
        <v>1</v>
      </c>
      <c r="F170" s="1">
        <v>7</v>
      </c>
      <c r="G170" t="b">
        <v>0</v>
      </c>
      <c r="H170" s="1">
        <v>6</v>
      </c>
      <c r="I170" s="1">
        <v>2</v>
      </c>
      <c r="J170" s="2">
        <v>0.16</v>
      </c>
      <c r="K170" s="2">
        <v>0.18179999999999999</v>
      </c>
      <c r="L170" s="2">
        <v>0.74</v>
      </c>
      <c r="M170" s="2">
        <v>0.1045</v>
      </c>
      <c r="N170" s="1">
        <v>1</v>
      </c>
      <c r="O170" s="1">
        <v>8</v>
      </c>
      <c r="P170" s="1">
        <v>9</v>
      </c>
      <c r="Q170" s="1" t="str">
        <f>IF(WEEKDAY(Bike_Sharing_Master6[[#This Row],[Dteday]],2)&gt;=6,"Weekend","Weekday")</f>
        <v>Weekend</v>
      </c>
      <c r="R170" s="1" t="str">
        <f xml:space="preserve"> IF(Bike_Sharing_Master6[[#This Row],[Hr]]&lt;6,"Late Night", IF(Bike_Sharing_Master6[[#This Row],[Hr]]&lt;10,"Morning Peak", IF(Bike_Sharing_Master6[[#This Row],[Hr]]&lt;17,"Daytime", IF(Bike_Sharing_Master6[[#This Row],[Hr]]&lt;21,"Evening Peak","Night"))))</f>
        <v>Morning Peak</v>
      </c>
      <c r="S170" s="1" t="str">
        <f>IF(Bike_Sharing_Master6[[#This Row],[Holiday]]=1,"Holiday","Non-Holiday")</f>
        <v>Non-Holiday</v>
      </c>
      <c r="T170" s="1" t="str">
        <f>IF(Bike_Sharing_Master6[[#This Row],[Cnt]]&lt;80,"Low",IF(Bike_Sharing_Master6[[#This Row],[Cnt]]&lt;160,"Medium","High"))</f>
        <v>Low</v>
      </c>
      <c r="U170" s="1" t="str">
        <f>VLOOKUP(Bike_Sharing_Master6[[#This Row],[Weathersit]],[1]Lookup_Weather!A:B,2,FALSE)</f>
        <v>Mist</v>
      </c>
    </row>
    <row r="171" spans="1:21" x14ac:dyDescent="0.3">
      <c r="A171">
        <v>170</v>
      </c>
      <c r="B171" s="3">
        <v>40551</v>
      </c>
      <c r="C171" s="1">
        <v>1</v>
      </c>
      <c r="D171" s="1">
        <v>0</v>
      </c>
      <c r="E171" s="1">
        <v>1</v>
      </c>
      <c r="F171" s="1">
        <v>8</v>
      </c>
      <c r="G171" t="b">
        <v>0</v>
      </c>
      <c r="H171" s="1">
        <v>6</v>
      </c>
      <c r="I171" s="1">
        <v>3</v>
      </c>
      <c r="J171" s="2">
        <v>0.16</v>
      </c>
      <c r="K171" s="2">
        <v>0.18179999999999999</v>
      </c>
      <c r="L171" s="2">
        <v>0.93</v>
      </c>
      <c r="M171" s="2">
        <v>0.1045</v>
      </c>
      <c r="N171" s="1">
        <v>0</v>
      </c>
      <c r="O171" s="1">
        <v>15</v>
      </c>
      <c r="P171" s="1">
        <v>15</v>
      </c>
      <c r="Q171" s="1" t="str">
        <f>IF(WEEKDAY(Bike_Sharing_Master6[[#This Row],[Dteday]],2)&gt;=6,"Weekend","Weekday")</f>
        <v>Weekend</v>
      </c>
      <c r="R171" s="1" t="str">
        <f xml:space="preserve"> IF(Bike_Sharing_Master6[[#This Row],[Hr]]&lt;6,"Late Night", IF(Bike_Sharing_Master6[[#This Row],[Hr]]&lt;10,"Morning Peak", IF(Bike_Sharing_Master6[[#This Row],[Hr]]&lt;17,"Daytime", IF(Bike_Sharing_Master6[[#This Row],[Hr]]&lt;21,"Evening Peak","Night"))))</f>
        <v>Morning Peak</v>
      </c>
      <c r="S171" s="1" t="str">
        <f>IF(Bike_Sharing_Master6[[#This Row],[Holiday]]=1,"Holiday","Non-Holiday")</f>
        <v>Non-Holiday</v>
      </c>
      <c r="T171" s="1" t="str">
        <f>IF(Bike_Sharing_Master6[[#This Row],[Cnt]]&lt;80,"Low",IF(Bike_Sharing_Master6[[#This Row],[Cnt]]&lt;160,"Medium","High"))</f>
        <v>Low</v>
      </c>
      <c r="U171" s="1" t="str">
        <f>VLOOKUP(Bike_Sharing_Master6[[#This Row],[Weathersit]],[1]Lookup_Weather!A:B,2,FALSE)</f>
        <v>Light Rain</v>
      </c>
    </row>
    <row r="172" spans="1:21" x14ac:dyDescent="0.3">
      <c r="A172">
        <v>171</v>
      </c>
      <c r="B172" s="3">
        <v>40551</v>
      </c>
      <c r="C172" s="1">
        <v>1</v>
      </c>
      <c r="D172" s="1">
        <v>0</v>
      </c>
      <c r="E172" s="1">
        <v>1</v>
      </c>
      <c r="F172" s="1">
        <v>9</v>
      </c>
      <c r="G172" t="b">
        <v>0</v>
      </c>
      <c r="H172" s="1">
        <v>6</v>
      </c>
      <c r="I172" s="1">
        <v>3</v>
      </c>
      <c r="J172" s="2">
        <v>0.16</v>
      </c>
      <c r="K172" s="2">
        <v>0.18179999999999999</v>
      </c>
      <c r="L172" s="2">
        <v>0.93</v>
      </c>
      <c r="M172" s="2">
        <v>0.1045</v>
      </c>
      <c r="N172" s="1">
        <v>0</v>
      </c>
      <c r="O172" s="1">
        <v>20</v>
      </c>
      <c r="P172" s="1">
        <v>20</v>
      </c>
      <c r="Q172" s="1" t="str">
        <f>IF(WEEKDAY(Bike_Sharing_Master6[[#This Row],[Dteday]],2)&gt;=6,"Weekend","Weekday")</f>
        <v>Weekend</v>
      </c>
      <c r="R172" s="1" t="str">
        <f xml:space="preserve"> IF(Bike_Sharing_Master6[[#This Row],[Hr]]&lt;6,"Late Night", IF(Bike_Sharing_Master6[[#This Row],[Hr]]&lt;10,"Morning Peak", IF(Bike_Sharing_Master6[[#This Row],[Hr]]&lt;17,"Daytime", IF(Bike_Sharing_Master6[[#This Row],[Hr]]&lt;21,"Evening Peak","Night"))))</f>
        <v>Morning Peak</v>
      </c>
      <c r="S172" s="1" t="str">
        <f>IF(Bike_Sharing_Master6[[#This Row],[Holiday]]=1,"Holiday","Non-Holiday")</f>
        <v>Non-Holiday</v>
      </c>
      <c r="T172" s="1" t="str">
        <f>IF(Bike_Sharing_Master6[[#This Row],[Cnt]]&lt;80,"Low",IF(Bike_Sharing_Master6[[#This Row],[Cnt]]&lt;160,"Medium","High"))</f>
        <v>Low</v>
      </c>
      <c r="U172" s="1" t="str">
        <f>VLOOKUP(Bike_Sharing_Master6[[#This Row],[Weathersit]],[1]Lookup_Weather!A:B,2,FALSE)</f>
        <v>Light Rain</v>
      </c>
    </row>
    <row r="173" spans="1:21" x14ac:dyDescent="0.3">
      <c r="A173">
        <v>172</v>
      </c>
      <c r="B173" s="3">
        <v>40551</v>
      </c>
      <c r="C173" s="1">
        <v>1</v>
      </c>
      <c r="D173" s="1">
        <v>0</v>
      </c>
      <c r="E173" s="1">
        <v>1</v>
      </c>
      <c r="F173" s="1">
        <v>10</v>
      </c>
      <c r="G173" t="b">
        <v>0</v>
      </c>
      <c r="H173" s="1">
        <v>6</v>
      </c>
      <c r="I173" s="1">
        <v>2</v>
      </c>
      <c r="J173" s="2">
        <v>0.18</v>
      </c>
      <c r="K173" s="2">
        <v>0.19700000000000001</v>
      </c>
      <c r="L173" s="2">
        <v>0.8</v>
      </c>
      <c r="M173" s="2">
        <v>0.16420000000000001</v>
      </c>
      <c r="N173" s="1">
        <v>5</v>
      </c>
      <c r="O173" s="1">
        <v>56</v>
      </c>
      <c r="P173" s="1">
        <v>61</v>
      </c>
      <c r="Q173" s="1" t="str">
        <f>IF(WEEKDAY(Bike_Sharing_Master6[[#This Row],[Dteday]],2)&gt;=6,"Weekend","Weekday")</f>
        <v>Weekend</v>
      </c>
      <c r="R173" s="1" t="str">
        <f xml:space="preserve"> IF(Bike_Sharing_Master6[[#This Row],[Hr]]&lt;6,"Late Night", IF(Bike_Sharing_Master6[[#This Row],[Hr]]&lt;10,"Morning Peak", IF(Bike_Sharing_Master6[[#This Row],[Hr]]&lt;17,"Daytime", IF(Bike_Sharing_Master6[[#This Row],[Hr]]&lt;21,"Evening Peak","Night"))))</f>
        <v>Daytime</v>
      </c>
      <c r="S173" s="1" t="str">
        <f>IF(Bike_Sharing_Master6[[#This Row],[Holiday]]=1,"Holiday","Non-Holiday")</f>
        <v>Non-Holiday</v>
      </c>
      <c r="T173" s="1" t="str">
        <f>IF(Bike_Sharing_Master6[[#This Row],[Cnt]]&lt;80,"Low",IF(Bike_Sharing_Master6[[#This Row],[Cnt]]&lt;160,"Medium","High"))</f>
        <v>Low</v>
      </c>
      <c r="U173" s="1" t="str">
        <f>VLOOKUP(Bike_Sharing_Master6[[#This Row],[Weathersit]],[1]Lookup_Weather!A:B,2,FALSE)</f>
        <v>Mist</v>
      </c>
    </row>
    <row r="174" spans="1:21" x14ac:dyDescent="0.3">
      <c r="A174">
        <v>173</v>
      </c>
      <c r="B174" s="3">
        <v>40551</v>
      </c>
      <c r="C174" s="1">
        <v>1</v>
      </c>
      <c r="D174" s="1">
        <v>0</v>
      </c>
      <c r="E174" s="1">
        <v>1</v>
      </c>
      <c r="F174" s="1">
        <v>11</v>
      </c>
      <c r="G174" t="b">
        <v>0</v>
      </c>
      <c r="H174" s="1">
        <v>6</v>
      </c>
      <c r="I174" s="1">
        <v>2</v>
      </c>
      <c r="J174" s="2">
        <v>0.2</v>
      </c>
      <c r="K174" s="2">
        <v>0.18179999999999999</v>
      </c>
      <c r="L174" s="2">
        <v>0.69</v>
      </c>
      <c r="M174" s="2">
        <v>0.3881</v>
      </c>
      <c r="N174" s="1">
        <v>2</v>
      </c>
      <c r="O174" s="1">
        <v>60</v>
      </c>
      <c r="P174" s="1">
        <v>62</v>
      </c>
      <c r="Q174" s="1" t="str">
        <f>IF(WEEKDAY(Bike_Sharing_Master6[[#This Row],[Dteday]],2)&gt;=6,"Weekend","Weekday")</f>
        <v>Weekend</v>
      </c>
      <c r="R174" s="1" t="str">
        <f xml:space="preserve"> IF(Bike_Sharing_Master6[[#This Row],[Hr]]&lt;6,"Late Night", IF(Bike_Sharing_Master6[[#This Row],[Hr]]&lt;10,"Morning Peak", IF(Bike_Sharing_Master6[[#This Row],[Hr]]&lt;17,"Daytime", IF(Bike_Sharing_Master6[[#This Row],[Hr]]&lt;21,"Evening Peak","Night"))))</f>
        <v>Daytime</v>
      </c>
      <c r="S174" s="1" t="str">
        <f>IF(Bike_Sharing_Master6[[#This Row],[Holiday]]=1,"Holiday","Non-Holiday")</f>
        <v>Non-Holiday</v>
      </c>
      <c r="T174" s="1" t="str">
        <f>IF(Bike_Sharing_Master6[[#This Row],[Cnt]]&lt;80,"Low",IF(Bike_Sharing_Master6[[#This Row],[Cnt]]&lt;160,"Medium","High"))</f>
        <v>Low</v>
      </c>
      <c r="U174" s="1" t="str">
        <f>VLOOKUP(Bike_Sharing_Master6[[#This Row],[Weathersit]],[1]Lookup_Weather!A:B,2,FALSE)</f>
        <v>Mist</v>
      </c>
    </row>
    <row r="175" spans="1:21" x14ac:dyDescent="0.3">
      <c r="A175">
        <v>174</v>
      </c>
      <c r="B175" s="3">
        <v>40551</v>
      </c>
      <c r="C175" s="1">
        <v>1</v>
      </c>
      <c r="D175" s="1">
        <v>0</v>
      </c>
      <c r="E175" s="1">
        <v>1</v>
      </c>
      <c r="F175" s="1">
        <v>12</v>
      </c>
      <c r="G175" t="b">
        <v>0</v>
      </c>
      <c r="H175" s="1">
        <v>6</v>
      </c>
      <c r="I175" s="1">
        <v>2</v>
      </c>
      <c r="J175" s="2">
        <v>0.2</v>
      </c>
      <c r="K175" s="2">
        <v>0.18179999999999999</v>
      </c>
      <c r="L175" s="2">
        <v>0.59</v>
      </c>
      <c r="M175" s="2">
        <v>0.35820000000000002</v>
      </c>
      <c r="N175" s="1">
        <v>8</v>
      </c>
      <c r="O175" s="1">
        <v>90</v>
      </c>
      <c r="P175" s="1">
        <v>98</v>
      </c>
      <c r="Q175" s="1" t="str">
        <f>IF(WEEKDAY(Bike_Sharing_Master6[[#This Row],[Dteday]],2)&gt;=6,"Weekend","Weekday")</f>
        <v>Weekend</v>
      </c>
      <c r="R175" s="1" t="str">
        <f xml:space="preserve"> IF(Bike_Sharing_Master6[[#This Row],[Hr]]&lt;6,"Late Night", IF(Bike_Sharing_Master6[[#This Row],[Hr]]&lt;10,"Morning Peak", IF(Bike_Sharing_Master6[[#This Row],[Hr]]&lt;17,"Daytime", IF(Bike_Sharing_Master6[[#This Row],[Hr]]&lt;21,"Evening Peak","Night"))))</f>
        <v>Daytime</v>
      </c>
      <c r="S175" s="1" t="str">
        <f>IF(Bike_Sharing_Master6[[#This Row],[Holiday]]=1,"Holiday","Non-Holiday")</f>
        <v>Non-Holiday</v>
      </c>
      <c r="T175" s="1" t="str">
        <f>IF(Bike_Sharing_Master6[[#This Row],[Cnt]]&lt;80,"Low",IF(Bike_Sharing_Master6[[#This Row],[Cnt]]&lt;160,"Medium","High"))</f>
        <v>Medium</v>
      </c>
      <c r="U175" s="1" t="str">
        <f>VLOOKUP(Bike_Sharing_Master6[[#This Row],[Weathersit]],[1]Lookup_Weather!A:B,2,FALSE)</f>
        <v>Mist</v>
      </c>
    </row>
    <row r="176" spans="1:21" x14ac:dyDescent="0.3">
      <c r="A176">
        <v>175</v>
      </c>
      <c r="B176" s="3">
        <v>40551</v>
      </c>
      <c r="C176" s="1">
        <v>1</v>
      </c>
      <c r="D176" s="1">
        <v>0</v>
      </c>
      <c r="E176" s="1">
        <v>1</v>
      </c>
      <c r="F176" s="1">
        <v>13</v>
      </c>
      <c r="G176" t="b">
        <v>0</v>
      </c>
      <c r="H176" s="1">
        <v>6</v>
      </c>
      <c r="I176" s="1">
        <v>1</v>
      </c>
      <c r="J176" s="2">
        <v>0.2</v>
      </c>
      <c r="K176" s="2">
        <v>0.18179999999999999</v>
      </c>
      <c r="L176" s="2">
        <v>0.44</v>
      </c>
      <c r="M176" s="2">
        <v>0.32840000000000003</v>
      </c>
      <c r="N176" s="1">
        <v>7</v>
      </c>
      <c r="O176" s="1">
        <v>95</v>
      </c>
      <c r="P176" s="1">
        <v>102</v>
      </c>
      <c r="Q176" s="1" t="str">
        <f>IF(WEEKDAY(Bike_Sharing_Master6[[#This Row],[Dteday]],2)&gt;=6,"Weekend","Weekday")</f>
        <v>Weekend</v>
      </c>
      <c r="R176" s="1" t="str">
        <f xml:space="preserve"> IF(Bike_Sharing_Master6[[#This Row],[Hr]]&lt;6,"Late Night", IF(Bike_Sharing_Master6[[#This Row],[Hr]]&lt;10,"Morning Peak", IF(Bike_Sharing_Master6[[#This Row],[Hr]]&lt;17,"Daytime", IF(Bike_Sharing_Master6[[#This Row],[Hr]]&lt;21,"Evening Peak","Night"))))</f>
        <v>Daytime</v>
      </c>
      <c r="S176" s="1" t="str">
        <f>IF(Bike_Sharing_Master6[[#This Row],[Holiday]]=1,"Holiday","Non-Holiday")</f>
        <v>Non-Holiday</v>
      </c>
      <c r="T176" s="1" t="str">
        <f>IF(Bike_Sharing_Master6[[#This Row],[Cnt]]&lt;80,"Low",IF(Bike_Sharing_Master6[[#This Row],[Cnt]]&lt;160,"Medium","High"))</f>
        <v>Medium</v>
      </c>
      <c r="U176" s="1" t="str">
        <f>VLOOKUP(Bike_Sharing_Master6[[#This Row],[Weathersit]],[1]Lookup_Weather!A:B,2,FALSE)</f>
        <v>Clear</v>
      </c>
    </row>
    <row r="177" spans="1:21" x14ac:dyDescent="0.3">
      <c r="A177">
        <v>176</v>
      </c>
      <c r="B177" s="3">
        <v>40551</v>
      </c>
      <c r="C177" s="1">
        <v>1</v>
      </c>
      <c r="D177" s="1">
        <v>0</v>
      </c>
      <c r="E177" s="1">
        <v>1</v>
      </c>
      <c r="F177" s="1">
        <v>14</v>
      </c>
      <c r="G177" t="b">
        <v>0</v>
      </c>
      <c r="H177" s="1">
        <v>6</v>
      </c>
      <c r="I177" s="1">
        <v>1</v>
      </c>
      <c r="J177" s="2">
        <v>0.2</v>
      </c>
      <c r="K177" s="2">
        <v>0.16669999999999999</v>
      </c>
      <c r="L177" s="2">
        <v>0.32</v>
      </c>
      <c r="M177" s="2">
        <v>0.49249999999999999</v>
      </c>
      <c r="N177" s="1">
        <v>12</v>
      </c>
      <c r="O177" s="1">
        <v>83</v>
      </c>
      <c r="P177" s="1">
        <v>95</v>
      </c>
      <c r="Q177" s="1" t="str">
        <f>IF(WEEKDAY(Bike_Sharing_Master6[[#This Row],[Dteday]],2)&gt;=6,"Weekend","Weekday")</f>
        <v>Weekend</v>
      </c>
      <c r="R177" s="1" t="str">
        <f xml:space="preserve"> IF(Bike_Sharing_Master6[[#This Row],[Hr]]&lt;6,"Late Night", IF(Bike_Sharing_Master6[[#This Row],[Hr]]&lt;10,"Morning Peak", IF(Bike_Sharing_Master6[[#This Row],[Hr]]&lt;17,"Daytime", IF(Bike_Sharing_Master6[[#This Row],[Hr]]&lt;21,"Evening Peak","Night"))))</f>
        <v>Daytime</v>
      </c>
      <c r="S177" s="1" t="str">
        <f>IF(Bike_Sharing_Master6[[#This Row],[Holiday]]=1,"Holiday","Non-Holiday")</f>
        <v>Non-Holiday</v>
      </c>
      <c r="T177" s="1" t="str">
        <f>IF(Bike_Sharing_Master6[[#This Row],[Cnt]]&lt;80,"Low",IF(Bike_Sharing_Master6[[#This Row],[Cnt]]&lt;160,"Medium","High"))</f>
        <v>Medium</v>
      </c>
      <c r="U177" s="1" t="str">
        <f>VLOOKUP(Bike_Sharing_Master6[[#This Row],[Weathersit]],[1]Lookup_Weather!A:B,2,FALSE)</f>
        <v>Clear</v>
      </c>
    </row>
    <row r="178" spans="1:21" x14ac:dyDescent="0.3">
      <c r="A178">
        <v>177</v>
      </c>
      <c r="B178" s="3">
        <v>40551</v>
      </c>
      <c r="C178" s="1">
        <v>1</v>
      </c>
      <c r="D178" s="1">
        <v>0</v>
      </c>
      <c r="E178" s="1">
        <v>1</v>
      </c>
      <c r="F178" s="1">
        <v>15</v>
      </c>
      <c r="G178" t="b">
        <v>0</v>
      </c>
      <c r="H178" s="1">
        <v>6</v>
      </c>
      <c r="I178" s="1">
        <v>1</v>
      </c>
      <c r="J178" s="2">
        <v>0.2</v>
      </c>
      <c r="K178" s="2">
        <v>0.16669999999999999</v>
      </c>
      <c r="L178" s="2">
        <v>0.32</v>
      </c>
      <c r="M178" s="2">
        <v>0.44779999999999998</v>
      </c>
      <c r="N178" s="1">
        <v>5</v>
      </c>
      <c r="O178" s="1">
        <v>69</v>
      </c>
      <c r="P178" s="1">
        <v>74</v>
      </c>
      <c r="Q178" s="1" t="str">
        <f>IF(WEEKDAY(Bike_Sharing_Master6[[#This Row],[Dteday]],2)&gt;=6,"Weekend","Weekday")</f>
        <v>Weekend</v>
      </c>
      <c r="R178" s="1" t="str">
        <f xml:space="preserve"> IF(Bike_Sharing_Master6[[#This Row],[Hr]]&lt;6,"Late Night", IF(Bike_Sharing_Master6[[#This Row],[Hr]]&lt;10,"Morning Peak", IF(Bike_Sharing_Master6[[#This Row],[Hr]]&lt;17,"Daytime", IF(Bike_Sharing_Master6[[#This Row],[Hr]]&lt;21,"Evening Peak","Night"))))</f>
        <v>Daytime</v>
      </c>
      <c r="S178" s="1" t="str">
        <f>IF(Bike_Sharing_Master6[[#This Row],[Holiday]]=1,"Holiday","Non-Holiday")</f>
        <v>Non-Holiday</v>
      </c>
      <c r="T178" s="1" t="str">
        <f>IF(Bike_Sharing_Master6[[#This Row],[Cnt]]&lt;80,"Low",IF(Bike_Sharing_Master6[[#This Row],[Cnt]]&lt;160,"Medium","High"))</f>
        <v>Low</v>
      </c>
      <c r="U178" s="1" t="str">
        <f>VLOOKUP(Bike_Sharing_Master6[[#This Row],[Weathersit]],[1]Lookup_Weather!A:B,2,FALSE)</f>
        <v>Clear</v>
      </c>
    </row>
    <row r="179" spans="1:21" x14ac:dyDescent="0.3">
      <c r="A179">
        <v>178</v>
      </c>
      <c r="B179" s="3">
        <v>40551</v>
      </c>
      <c r="C179" s="1">
        <v>1</v>
      </c>
      <c r="D179" s="1">
        <v>0</v>
      </c>
      <c r="E179" s="1">
        <v>1</v>
      </c>
      <c r="F179" s="1">
        <v>16</v>
      </c>
      <c r="G179" t="b">
        <v>0</v>
      </c>
      <c r="H179" s="1">
        <v>6</v>
      </c>
      <c r="I179" s="1">
        <v>1</v>
      </c>
      <c r="J179" s="2">
        <v>0.18</v>
      </c>
      <c r="K179" s="2">
        <v>0.13639999999999999</v>
      </c>
      <c r="L179" s="2">
        <v>0.28999999999999998</v>
      </c>
      <c r="M179" s="2">
        <v>0.44779999999999998</v>
      </c>
      <c r="N179" s="1">
        <v>8</v>
      </c>
      <c r="O179" s="1">
        <v>68</v>
      </c>
      <c r="P179" s="1">
        <v>76</v>
      </c>
      <c r="Q179" s="1" t="str">
        <f>IF(WEEKDAY(Bike_Sharing_Master6[[#This Row],[Dteday]],2)&gt;=6,"Weekend","Weekday")</f>
        <v>Weekend</v>
      </c>
      <c r="R179" s="1" t="str">
        <f xml:space="preserve"> IF(Bike_Sharing_Master6[[#This Row],[Hr]]&lt;6,"Late Night", IF(Bike_Sharing_Master6[[#This Row],[Hr]]&lt;10,"Morning Peak", IF(Bike_Sharing_Master6[[#This Row],[Hr]]&lt;17,"Daytime", IF(Bike_Sharing_Master6[[#This Row],[Hr]]&lt;21,"Evening Peak","Night"))))</f>
        <v>Daytime</v>
      </c>
      <c r="S179" s="1" t="str">
        <f>IF(Bike_Sharing_Master6[[#This Row],[Holiday]]=1,"Holiday","Non-Holiday")</f>
        <v>Non-Holiday</v>
      </c>
      <c r="T179" s="1" t="str">
        <f>IF(Bike_Sharing_Master6[[#This Row],[Cnt]]&lt;80,"Low",IF(Bike_Sharing_Master6[[#This Row],[Cnt]]&lt;160,"Medium","High"))</f>
        <v>Low</v>
      </c>
      <c r="U179" s="1" t="str">
        <f>VLOOKUP(Bike_Sharing_Master6[[#This Row],[Weathersit]],[1]Lookup_Weather!A:B,2,FALSE)</f>
        <v>Clear</v>
      </c>
    </row>
    <row r="180" spans="1:21" x14ac:dyDescent="0.3">
      <c r="A180">
        <v>179</v>
      </c>
      <c r="B180" s="3">
        <v>40551</v>
      </c>
      <c r="C180" s="1">
        <v>1</v>
      </c>
      <c r="D180" s="1">
        <v>0</v>
      </c>
      <c r="E180" s="1">
        <v>1</v>
      </c>
      <c r="F180" s="1">
        <v>17</v>
      </c>
      <c r="G180" t="b">
        <v>0</v>
      </c>
      <c r="H180" s="1">
        <v>6</v>
      </c>
      <c r="I180" s="1">
        <v>1</v>
      </c>
      <c r="J180" s="2">
        <v>0.16</v>
      </c>
      <c r="K180" s="2">
        <v>0.1212</v>
      </c>
      <c r="L180" s="2">
        <v>0.37</v>
      </c>
      <c r="M180" s="2">
        <v>0.55220000000000002</v>
      </c>
      <c r="N180" s="1">
        <v>5</v>
      </c>
      <c r="O180" s="1">
        <v>64</v>
      </c>
      <c r="P180" s="1">
        <v>69</v>
      </c>
      <c r="Q180" s="1" t="str">
        <f>IF(WEEKDAY(Bike_Sharing_Master6[[#This Row],[Dteday]],2)&gt;=6,"Weekend","Weekday")</f>
        <v>Weekend</v>
      </c>
      <c r="R180" s="1" t="str">
        <f xml:space="preserve"> IF(Bike_Sharing_Master6[[#This Row],[Hr]]&lt;6,"Late Night", IF(Bike_Sharing_Master6[[#This Row],[Hr]]&lt;10,"Morning Peak", IF(Bike_Sharing_Master6[[#This Row],[Hr]]&lt;17,"Daytime", IF(Bike_Sharing_Master6[[#This Row],[Hr]]&lt;21,"Evening Peak","Night"))))</f>
        <v>Evening Peak</v>
      </c>
      <c r="S180" s="1" t="str">
        <f>IF(Bike_Sharing_Master6[[#This Row],[Holiday]]=1,"Holiday","Non-Holiday")</f>
        <v>Non-Holiday</v>
      </c>
      <c r="T180" s="1" t="str">
        <f>IF(Bike_Sharing_Master6[[#This Row],[Cnt]]&lt;80,"Low",IF(Bike_Sharing_Master6[[#This Row],[Cnt]]&lt;160,"Medium","High"))</f>
        <v>Low</v>
      </c>
      <c r="U180" s="1" t="str">
        <f>VLOOKUP(Bike_Sharing_Master6[[#This Row],[Weathersit]],[1]Lookup_Weather!A:B,2,FALSE)</f>
        <v>Clear</v>
      </c>
    </row>
    <row r="181" spans="1:21" x14ac:dyDescent="0.3">
      <c r="A181">
        <v>180</v>
      </c>
      <c r="B181" s="3">
        <v>40551</v>
      </c>
      <c r="C181" s="1">
        <v>1</v>
      </c>
      <c r="D181" s="1">
        <v>0</v>
      </c>
      <c r="E181" s="1">
        <v>1</v>
      </c>
      <c r="F181" s="1">
        <v>18</v>
      </c>
      <c r="G181" t="b">
        <v>0</v>
      </c>
      <c r="H181" s="1">
        <v>6</v>
      </c>
      <c r="I181" s="1">
        <v>1</v>
      </c>
      <c r="J181" s="2">
        <v>0.14000000000000001</v>
      </c>
      <c r="K181" s="2">
        <v>0.1212</v>
      </c>
      <c r="L181" s="2">
        <v>0.39</v>
      </c>
      <c r="M181" s="2">
        <v>0.29849999999999999</v>
      </c>
      <c r="N181" s="1">
        <v>3</v>
      </c>
      <c r="O181" s="1">
        <v>52</v>
      </c>
      <c r="P181" s="1">
        <v>55</v>
      </c>
      <c r="Q181" s="1" t="str">
        <f>IF(WEEKDAY(Bike_Sharing_Master6[[#This Row],[Dteday]],2)&gt;=6,"Weekend","Weekday")</f>
        <v>Weekend</v>
      </c>
      <c r="R181" s="1" t="str">
        <f xml:space="preserve"> IF(Bike_Sharing_Master6[[#This Row],[Hr]]&lt;6,"Late Night", IF(Bike_Sharing_Master6[[#This Row],[Hr]]&lt;10,"Morning Peak", IF(Bike_Sharing_Master6[[#This Row],[Hr]]&lt;17,"Daytime", IF(Bike_Sharing_Master6[[#This Row],[Hr]]&lt;21,"Evening Peak","Night"))))</f>
        <v>Evening Peak</v>
      </c>
      <c r="S181" s="1" t="str">
        <f>IF(Bike_Sharing_Master6[[#This Row],[Holiday]]=1,"Holiday","Non-Holiday")</f>
        <v>Non-Holiday</v>
      </c>
      <c r="T181" s="1" t="str">
        <f>IF(Bike_Sharing_Master6[[#This Row],[Cnt]]&lt;80,"Low",IF(Bike_Sharing_Master6[[#This Row],[Cnt]]&lt;160,"Medium","High"))</f>
        <v>Low</v>
      </c>
      <c r="U181" s="1" t="str">
        <f>VLOOKUP(Bike_Sharing_Master6[[#This Row],[Weathersit]],[1]Lookup_Weather!A:B,2,FALSE)</f>
        <v>Clear</v>
      </c>
    </row>
    <row r="182" spans="1:21" x14ac:dyDescent="0.3">
      <c r="A182">
        <v>181</v>
      </c>
      <c r="B182" s="3">
        <v>40551</v>
      </c>
      <c r="C182" s="1">
        <v>1</v>
      </c>
      <c r="D182" s="1">
        <v>0</v>
      </c>
      <c r="E182" s="1">
        <v>1</v>
      </c>
      <c r="F182" s="1">
        <v>19</v>
      </c>
      <c r="G182" t="b">
        <v>0</v>
      </c>
      <c r="H182" s="1">
        <v>6</v>
      </c>
      <c r="I182" s="1">
        <v>1</v>
      </c>
      <c r="J182" s="2">
        <v>0.14000000000000001</v>
      </c>
      <c r="K182" s="2">
        <v>0.1212</v>
      </c>
      <c r="L182" s="2">
        <v>0.36</v>
      </c>
      <c r="M182" s="2">
        <v>0.25369999999999998</v>
      </c>
      <c r="N182" s="1">
        <v>4</v>
      </c>
      <c r="O182" s="1">
        <v>26</v>
      </c>
      <c r="P182" s="1">
        <v>30</v>
      </c>
      <c r="Q182" s="1" t="str">
        <f>IF(WEEKDAY(Bike_Sharing_Master6[[#This Row],[Dteday]],2)&gt;=6,"Weekend","Weekday")</f>
        <v>Weekend</v>
      </c>
      <c r="R182" s="1" t="str">
        <f xml:space="preserve"> IF(Bike_Sharing_Master6[[#This Row],[Hr]]&lt;6,"Late Night", IF(Bike_Sharing_Master6[[#This Row],[Hr]]&lt;10,"Morning Peak", IF(Bike_Sharing_Master6[[#This Row],[Hr]]&lt;17,"Daytime", IF(Bike_Sharing_Master6[[#This Row],[Hr]]&lt;21,"Evening Peak","Night"))))</f>
        <v>Evening Peak</v>
      </c>
      <c r="S182" s="1" t="str">
        <f>IF(Bike_Sharing_Master6[[#This Row],[Holiday]]=1,"Holiday","Non-Holiday")</f>
        <v>Non-Holiday</v>
      </c>
      <c r="T182" s="1" t="str">
        <f>IF(Bike_Sharing_Master6[[#This Row],[Cnt]]&lt;80,"Low",IF(Bike_Sharing_Master6[[#This Row],[Cnt]]&lt;160,"Medium","High"))</f>
        <v>Low</v>
      </c>
      <c r="U182" s="1" t="str">
        <f>VLOOKUP(Bike_Sharing_Master6[[#This Row],[Weathersit]],[1]Lookup_Weather!A:B,2,FALSE)</f>
        <v>Clear</v>
      </c>
    </row>
    <row r="183" spans="1:21" x14ac:dyDescent="0.3">
      <c r="A183">
        <v>182</v>
      </c>
      <c r="B183" s="3">
        <v>40551</v>
      </c>
      <c r="C183" s="1">
        <v>1</v>
      </c>
      <c r="D183" s="1">
        <v>0</v>
      </c>
      <c r="E183" s="1">
        <v>1</v>
      </c>
      <c r="F183" s="1">
        <v>20</v>
      </c>
      <c r="G183" t="b">
        <v>0</v>
      </c>
      <c r="H183" s="1">
        <v>6</v>
      </c>
      <c r="I183" s="1">
        <v>1</v>
      </c>
      <c r="J183" s="2">
        <v>0.12</v>
      </c>
      <c r="K183" s="2">
        <v>0.1212</v>
      </c>
      <c r="L183" s="2">
        <v>0.36</v>
      </c>
      <c r="M183" s="2">
        <v>0.25369999999999998</v>
      </c>
      <c r="N183" s="1">
        <v>0</v>
      </c>
      <c r="O183" s="1">
        <v>28</v>
      </c>
      <c r="P183" s="1">
        <v>28</v>
      </c>
      <c r="Q183" s="1" t="str">
        <f>IF(WEEKDAY(Bike_Sharing_Master6[[#This Row],[Dteday]],2)&gt;=6,"Weekend","Weekday")</f>
        <v>Weekend</v>
      </c>
      <c r="R183" s="1" t="str">
        <f xml:space="preserve"> IF(Bike_Sharing_Master6[[#This Row],[Hr]]&lt;6,"Late Night", IF(Bike_Sharing_Master6[[#This Row],[Hr]]&lt;10,"Morning Peak", IF(Bike_Sharing_Master6[[#This Row],[Hr]]&lt;17,"Daytime", IF(Bike_Sharing_Master6[[#This Row],[Hr]]&lt;21,"Evening Peak","Night"))))</f>
        <v>Evening Peak</v>
      </c>
      <c r="S183" s="1" t="str">
        <f>IF(Bike_Sharing_Master6[[#This Row],[Holiday]]=1,"Holiday","Non-Holiday")</f>
        <v>Non-Holiday</v>
      </c>
      <c r="T183" s="1" t="str">
        <f>IF(Bike_Sharing_Master6[[#This Row],[Cnt]]&lt;80,"Low",IF(Bike_Sharing_Master6[[#This Row],[Cnt]]&lt;160,"Medium","High"))</f>
        <v>Low</v>
      </c>
      <c r="U183" s="1" t="str">
        <f>VLOOKUP(Bike_Sharing_Master6[[#This Row],[Weathersit]],[1]Lookup_Weather!A:B,2,FALSE)</f>
        <v>Clear</v>
      </c>
    </row>
    <row r="184" spans="1:21" x14ac:dyDescent="0.3">
      <c r="A184">
        <v>183</v>
      </c>
      <c r="B184" s="3">
        <v>40551</v>
      </c>
      <c r="C184" s="1">
        <v>1</v>
      </c>
      <c r="D184" s="1">
        <v>0</v>
      </c>
      <c r="E184" s="1">
        <v>1</v>
      </c>
      <c r="F184" s="1">
        <v>21</v>
      </c>
      <c r="G184" t="b">
        <v>0</v>
      </c>
      <c r="H184" s="1">
        <v>6</v>
      </c>
      <c r="I184" s="1">
        <v>1</v>
      </c>
      <c r="J184" s="2">
        <v>0.12</v>
      </c>
      <c r="K184" s="2">
        <v>0.1061</v>
      </c>
      <c r="L184" s="2">
        <v>0.39</v>
      </c>
      <c r="M184" s="2">
        <v>0.35820000000000002</v>
      </c>
      <c r="N184" s="1">
        <v>2</v>
      </c>
      <c r="O184" s="1">
        <v>35</v>
      </c>
      <c r="P184" s="1">
        <v>37</v>
      </c>
      <c r="Q184" s="1" t="str">
        <f>IF(WEEKDAY(Bike_Sharing_Master6[[#This Row],[Dteday]],2)&gt;=6,"Weekend","Weekday")</f>
        <v>Weekend</v>
      </c>
      <c r="R184" s="1" t="str">
        <f xml:space="preserve"> IF(Bike_Sharing_Master6[[#This Row],[Hr]]&lt;6,"Late Night", IF(Bike_Sharing_Master6[[#This Row],[Hr]]&lt;10,"Morning Peak", IF(Bike_Sharing_Master6[[#This Row],[Hr]]&lt;17,"Daytime", IF(Bike_Sharing_Master6[[#This Row],[Hr]]&lt;21,"Evening Peak","Night"))))</f>
        <v>Night</v>
      </c>
      <c r="S184" s="1" t="str">
        <f>IF(Bike_Sharing_Master6[[#This Row],[Holiday]]=1,"Holiday","Non-Holiday")</f>
        <v>Non-Holiday</v>
      </c>
      <c r="T184" s="1" t="str">
        <f>IF(Bike_Sharing_Master6[[#This Row],[Cnt]]&lt;80,"Low",IF(Bike_Sharing_Master6[[#This Row],[Cnt]]&lt;160,"Medium","High"))</f>
        <v>Low</v>
      </c>
      <c r="U184" s="1" t="str">
        <f>VLOOKUP(Bike_Sharing_Master6[[#This Row],[Weathersit]],[1]Lookup_Weather!A:B,2,FALSE)</f>
        <v>Clear</v>
      </c>
    </row>
    <row r="185" spans="1:21" x14ac:dyDescent="0.3">
      <c r="A185">
        <v>184</v>
      </c>
      <c r="B185" s="3">
        <v>40551</v>
      </c>
      <c r="C185" s="1">
        <v>1</v>
      </c>
      <c r="D185" s="1">
        <v>0</v>
      </c>
      <c r="E185" s="1">
        <v>1</v>
      </c>
      <c r="F185" s="1">
        <v>22</v>
      </c>
      <c r="G185" t="b">
        <v>0</v>
      </c>
      <c r="H185" s="1">
        <v>6</v>
      </c>
      <c r="I185" s="1">
        <v>1</v>
      </c>
      <c r="J185" s="2">
        <v>0.12</v>
      </c>
      <c r="K185" s="2">
        <v>0.1061</v>
      </c>
      <c r="L185" s="2">
        <v>0.36</v>
      </c>
      <c r="M185" s="2">
        <v>0.3881</v>
      </c>
      <c r="N185" s="1">
        <v>1</v>
      </c>
      <c r="O185" s="1">
        <v>33</v>
      </c>
      <c r="P185" s="1">
        <v>34</v>
      </c>
      <c r="Q185" s="1" t="str">
        <f>IF(WEEKDAY(Bike_Sharing_Master6[[#This Row],[Dteday]],2)&gt;=6,"Weekend","Weekday")</f>
        <v>Weekend</v>
      </c>
      <c r="R185" s="1" t="str">
        <f xml:space="preserve"> IF(Bike_Sharing_Master6[[#This Row],[Hr]]&lt;6,"Late Night", IF(Bike_Sharing_Master6[[#This Row],[Hr]]&lt;10,"Morning Peak", IF(Bike_Sharing_Master6[[#This Row],[Hr]]&lt;17,"Daytime", IF(Bike_Sharing_Master6[[#This Row],[Hr]]&lt;21,"Evening Peak","Night"))))</f>
        <v>Night</v>
      </c>
      <c r="S185" s="1" t="str">
        <f>IF(Bike_Sharing_Master6[[#This Row],[Holiday]]=1,"Holiday","Non-Holiday")</f>
        <v>Non-Holiday</v>
      </c>
      <c r="T185" s="1" t="str">
        <f>IF(Bike_Sharing_Master6[[#This Row],[Cnt]]&lt;80,"Low",IF(Bike_Sharing_Master6[[#This Row],[Cnt]]&lt;160,"Medium","High"))</f>
        <v>Low</v>
      </c>
      <c r="U185" s="1" t="str">
        <f>VLOOKUP(Bike_Sharing_Master6[[#This Row],[Weathersit]],[1]Lookup_Weather!A:B,2,FALSE)</f>
        <v>Clear</v>
      </c>
    </row>
    <row r="186" spans="1:21" x14ac:dyDescent="0.3">
      <c r="A186">
        <v>185</v>
      </c>
      <c r="B186" s="3">
        <v>40551</v>
      </c>
      <c r="C186" s="1">
        <v>1</v>
      </c>
      <c r="D186" s="1">
        <v>0</v>
      </c>
      <c r="E186" s="1">
        <v>1</v>
      </c>
      <c r="F186" s="1">
        <v>23</v>
      </c>
      <c r="G186" t="b">
        <v>0</v>
      </c>
      <c r="H186" s="1">
        <v>6</v>
      </c>
      <c r="I186" s="1">
        <v>1</v>
      </c>
      <c r="J186" s="2">
        <v>0.1</v>
      </c>
      <c r="K186" s="2">
        <v>6.0600000000000001E-2</v>
      </c>
      <c r="L186" s="2">
        <v>0.39</v>
      </c>
      <c r="M186" s="2">
        <v>0.44779999999999998</v>
      </c>
      <c r="N186" s="1">
        <v>0</v>
      </c>
      <c r="O186" s="1">
        <v>22</v>
      </c>
      <c r="P186" s="1">
        <v>22</v>
      </c>
      <c r="Q186" s="1" t="str">
        <f>IF(WEEKDAY(Bike_Sharing_Master6[[#This Row],[Dteday]],2)&gt;=6,"Weekend","Weekday")</f>
        <v>Weekend</v>
      </c>
      <c r="R186" s="1" t="str">
        <f xml:space="preserve"> IF(Bike_Sharing_Master6[[#This Row],[Hr]]&lt;6,"Late Night", IF(Bike_Sharing_Master6[[#This Row],[Hr]]&lt;10,"Morning Peak", IF(Bike_Sharing_Master6[[#This Row],[Hr]]&lt;17,"Daytime", IF(Bike_Sharing_Master6[[#This Row],[Hr]]&lt;21,"Evening Peak","Night"))))</f>
        <v>Night</v>
      </c>
      <c r="S186" s="1" t="str">
        <f>IF(Bike_Sharing_Master6[[#This Row],[Holiday]]=1,"Holiday","Non-Holiday")</f>
        <v>Non-Holiday</v>
      </c>
      <c r="T186" s="1" t="str">
        <f>IF(Bike_Sharing_Master6[[#This Row],[Cnt]]&lt;80,"Low",IF(Bike_Sharing_Master6[[#This Row],[Cnt]]&lt;160,"Medium","High"))</f>
        <v>Low</v>
      </c>
      <c r="U186" s="1" t="str">
        <f>VLOOKUP(Bike_Sharing_Master6[[#This Row],[Weathersit]],[1]Lookup_Weather!A:B,2,FALSE)</f>
        <v>Clear</v>
      </c>
    </row>
    <row r="187" spans="1:21" x14ac:dyDescent="0.3">
      <c r="A187">
        <v>186</v>
      </c>
      <c r="B187" s="3">
        <v>40552</v>
      </c>
      <c r="C187" s="1">
        <v>1</v>
      </c>
      <c r="D187" s="1">
        <v>0</v>
      </c>
      <c r="E187" s="1">
        <v>1</v>
      </c>
      <c r="F187" s="1">
        <v>0</v>
      </c>
      <c r="G187" t="b">
        <v>0</v>
      </c>
      <c r="H187" s="1">
        <v>0</v>
      </c>
      <c r="I187" s="1">
        <v>1</v>
      </c>
      <c r="J187" s="2">
        <v>0.1</v>
      </c>
      <c r="K187" s="2">
        <v>7.5800000000000006E-2</v>
      </c>
      <c r="L187" s="2">
        <v>0.42</v>
      </c>
      <c r="M187" s="2">
        <v>0.3881</v>
      </c>
      <c r="N187" s="1">
        <v>1</v>
      </c>
      <c r="O187" s="1">
        <v>24</v>
      </c>
      <c r="P187" s="1">
        <v>25</v>
      </c>
      <c r="Q187" s="1" t="str">
        <f>IF(WEEKDAY(Bike_Sharing_Master6[[#This Row],[Dteday]],2)&gt;=6,"Weekend","Weekday")</f>
        <v>Weekend</v>
      </c>
      <c r="R187" s="1" t="str">
        <f xml:space="preserve"> IF(Bike_Sharing_Master6[[#This Row],[Hr]]&lt;6,"Late Night", IF(Bike_Sharing_Master6[[#This Row],[Hr]]&lt;10,"Morning Peak", IF(Bike_Sharing_Master6[[#This Row],[Hr]]&lt;17,"Daytime", IF(Bike_Sharing_Master6[[#This Row],[Hr]]&lt;21,"Evening Peak","Night"))))</f>
        <v>Late Night</v>
      </c>
      <c r="S187" s="1" t="str">
        <f>IF(Bike_Sharing_Master6[[#This Row],[Holiday]]=1,"Holiday","Non-Holiday")</f>
        <v>Non-Holiday</v>
      </c>
      <c r="T187" s="1" t="str">
        <f>IF(Bike_Sharing_Master6[[#This Row],[Cnt]]&lt;80,"Low",IF(Bike_Sharing_Master6[[#This Row],[Cnt]]&lt;160,"Medium","High"))</f>
        <v>Low</v>
      </c>
      <c r="U187" s="1" t="str">
        <f>VLOOKUP(Bike_Sharing_Master6[[#This Row],[Weathersit]],[1]Lookup_Weather!A:B,2,FALSE)</f>
        <v>Clear</v>
      </c>
    </row>
    <row r="188" spans="1:21" x14ac:dyDescent="0.3">
      <c r="A188">
        <v>187</v>
      </c>
      <c r="B188" s="3">
        <v>40552</v>
      </c>
      <c r="C188" s="1">
        <v>1</v>
      </c>
      <c r="D188" s="1">
        <v>0</v>
      </c>
      <c r="E188" s="1">
        <v>1</v>
      </c>
      <c r="F188" s="1">
        <v>1</v>
      </c>
      <c r="G188" t="b">
        <v>0</v>
      </c>
      <c r="H188" s="1">
        <v>0</v>
      </c>
      <c r="I188" s="1">
        <v>1</v>
      </c>
      <c r="J188" s="2">
        <v>0.1</v>
      </c>
      <c r="K188" s="2">
        <v>6.0600000000000001E-2</v>
      </c>
      <c r="L188" s="2">
        <v>0.42</v>
      </c>
      <c r="M188" s="2">
        <v>0.4627</v>
      </c>
      <c r="N188" s="1">
        <v>0</v>
      </c>
      <c r="O188" s="1">
        <v>12</v>
      </c>
      <c r="P188" s="1">
        <v>12</v>
      </c>
      <c r="Q188" s="1" t="str">
        <f>IF(WEEKDAY(Bike_Sharing_Master6[[#This Row],[Dteday]],2)&gt;=6,"Weekend","Weekday")</f>
        <v>Weekend</v>
      </c>
      <c r="R188" s="1" t="str">
        <f xml:space="preserve"> IF(Bike_Sharing_Master6[[#This Row],[Hr]]&lt;6,"Late Night", IF(Bike_Sharing_Master6[[#This Row],[Hr]]&lt;10,"Morning Peak", IF(Bike_Sharing_Master6[[#This Row],[Hr]]&lt;17,"Daytime", IF(Bike_Sharing_Master6[[#This Row],[Hr]]&lt;21,"Evening Peak","Night"))))</f>
        <v>Late Night</v>
      </c>
      <c r="S188" s="1" t="str">
        <f>IF(Bike_Sharing_Master6[[#This Row],[Holiday]]=1,"Holiday","Non-Holiday")</f>
        <v>Non-Holiday</v>
      </c>
      <c r="T188" s="1" t="str">
        <f>IF(Bike_Sharing_Master6[[#This Row],[Cnt]]&lt;80,"Low",IF(Bike_Sharing_Master6[[#This Row],[Cnt]]&lt;160,"Medium","High"))</f>
        <v>Low</v>
      </c>
      <c r="U188" s="1" t="str">
        <f>VLOOKUP(Bike_Sharing_Master6[[#This Row],[Weathersit]],[1]Lookup_Weather!A:B,2,FALSE)</f>
        <v>Clear</v>
      </c>
    </row>
    <row r="189" spans="1:21" x14ac:dyDescent="0.3">
      <c r="A189">
        <v>188</v>
      </c>
      <c r="B189" s="3">
        <v>40552</v>
      </c>
      <c r="C189" s="1">
        <v>1</v>
      </c>
      <c r="D189" s="1">
        <v>0</v>
      </c>
      <c r="E189" s="1">
        <v>1</v>
      </c>
      <c r="F189" s="1">
        <v>2</v>
      </c>
      <c r="G189" t="b">
        <v>0</v>
      </c>
      <c r="H189" s="1">
        <v>0</v>
      </c>
      <c r="I189" s="1">
        <v>1</v>
      </c>
      <c r="J189" s="2">
        <v>0.1</v>
      </c>
      <c r="K189" s="2">
        <v>6.0600000000000001E-2</v>
      </c>
      <c r="L189" s="2">
        <v>0.46</v>
      </c>
      <c r="M189" s="2">
        <v>0.4627</v>
      </c>
      <c r="N189" s="1">
        <v>0</v>
      </c>
      <c r="O189" s="1">
        <v>11</v>
      </c>
      <c r="P189" s="1">
        <v>11</v>
      </c>
      <c r="Q189" s="1" t="str">
        <f>IF(WEEKDAY(Bike_Sharing_Master6[[#This Row],[Dteday]],2)&gt;=6,"Weekend","Weekday")</f>
        <v>Weekend</v>
      </c>
      <c r="R189" s="1" t="str">
        <f xml:space="preserve"> IF(Bike_Sharing_Master6[[#This Row],[Hr]]&lt;6,"Late Night", IF(Bike_Sharing_Master6[[#This Row],[Hr]]&lt;10,"Morning Peak", IF(Bike_Sharing_Master6[[#This Row],[Hr]]&lt;17,"Daytime", IF(Bike_Sharing_Master6[[#This Row],[Hr]]&lt;21,"Evening Peak","Night"))))</f>
        <v>Late Night</v>
      </c>
      <c r="S189" s="1" t="str">
        <f>IF(Bike_Sharing_Master6[[#This Row],[Holiday]]=1,"Holiday","Non-Holiday")</f>
        <v>Non-Holiday</v>
      </c>
      <c r="T189" s="1" t="str">
        <f>IF(Bike_Sharing_Master6[[#This Row],[Cnt]]&lt;80,"Low",IF(Bike_Sharing_Master6[[#This Row],[Cnt]]&lt;160,"Medium","High"))</f>
        <v>Low</v>
      </c>
      <c r="U189" s="1" t="str">
        <f>VLOOKUP(Bike_Sharing_Master6[[#This Row],[Weathersit]],[1]Lookup_Weather!A:B,2,FALSE)</f>
        <v>Clear</v>
      </c>
    </row>
    <row r="190" spans="1:21" x14ac:dyDescent="0.3">
      <c r="A190">
        <v>189</v>
      </c>
      <c r="B190" s="3">
        <v>40552</v>
      </c>
      <c r="C190" s="1">
        <v>1</v>
      </c>
      <c r="D190" s="1">
        <v>0</v>
      </c>
      <c r="E190" s="1">
        <v>1</v>
      </c>
      <c r="F190" s="1">
        <v>3</v>
      </c>
      <c r="G190" t="b">
        <v>0</v>
      </c>
      <c r="H190" s="1">
        <v>0</v>
      </c>
      <c r="I190" s="1">
        <v>1</v>
      </c>
      <c r="J190" s="2">
        <v>0.1</v>
      </c>
      <c r="K190" s="2">
        <v>7.5800000000000006E-2</v>
      </c>
      <c r="L190" s="2">
        <v>0.46</v>
      </c>
      <c r="M190" s="2">
        <v>0.41789999999999999</v>
      </c>
      <c r="N190" s="1">
        <v>0</v>
      </c>
      <c r="O190" s="1">
        <v>4</v>
      </c>
      <c r="P190" s="1">
        <v>4</v>
      </c>
      <c r="Q190" s="1" t="str">
        <f>IF(WEEKDAY(Bike_Sharing_Master6[[#This Row],[Dteday]],2)&gt;=6,"Weekend","Weekday")</f>
        <v>Weekend</v>
      </c>
      <c r="R190" s="1" t="str">
        <f xml:space="preserve"> IF(Bike_Sharing_Master6[[#This Row],[Hr]]&lt;6,"Late Night", IF(Bike_Sharing_Master6[[#This Row],[Hr]]&lt;10,"Morning Peak", IF(Bike_Sharing_Master6[[#This Row],[Hr]]&lt;17,"Daytime", IF(Bike_Sharing_Master6[[#This Row],[Hr]]&lt;21,"Evening Peak","Night"))))</f>
        <v>Late Night</v>
      </c>
      <c r="S190" s="1" t="str">
        <f>IF(Bike_Sharing_Master6[[#This Row],[Holiday]]=1,"Holiday","Non-Holiday")</f>
        <v>Non-Holiday</v>
      </c>
      <c r="T190" s="1" t="str">
        <f>IF(Bike_Sharing_Master6[[#This Row],[Cnt]]&lt;80,"Low",IF(Bike_Sharing_Master6[[#This Row],[Cnt]]&lt;160,"Medium","High"))</f>
        <v>Low</v>
      </c>
      <c r="U190" s="1" t="str">
        <f>VLOOKUP(Bike_Sharing_Master6[[#This Row],[Weathersit]],[1]Lookup_Weather!A:B,2,FALSE)</f>
        <v>Clear</v>
      </c>
    </row>
    <row r="191" spans="1:21" x14ac:dyDescent="0.3">
      <c r="A191">
        <v>190</v>
      </c>
      <c r="B191" s="3">
        <v>40552</v>
      </c>
      <c r="C191" s="1">
        <v>1</v>
      </c>
      <c r="D191" s="1">
        <v>0</v>
      </c>
      <c r="E191" s="1">
        <v>1</v>
      </c>
      <c r="F191" s="1">
        <v>4</v>
      </c>
      <c r="G191" t="b">
        <v>0</v>
      </c>
      <c r="H191" s="1">
        <v>0</v>
      </c>
      <c r="I191" s="1">
        <v>1</v>
      </c>
      <c r="J191" s="2">
        <v>0.08</v>
      </c>
      <c r="K191" s="2">
        <v>9.0899999999999995E-2</v>
      </c>
      <c r="L191" s="2">
        <v>0.53</v>
      </c>
      <c r="M191" s="2">
        <v>0.19400000000000001</v>
      </c>
      <c r="N191" s="1">
        <v>0</v>
      </c>
      <c r="O191" s="1">
        <v>1</v>
      </c>
      <c r="P191" s="1">
        <v>1</v>
      </c>
      <c r="Q191" s="1" t="str">
        <f>IF(WEEKDAY(Bike_Sharing_Master6[[#This Row],[Dteday]],2)&gt;=6,"Weekend","Weekday")</f>
        <v>Weekend</v>
      </c>
      <c r="R191" s="1" t="str">
        <f xml:space="preserve"> IF(Bike_Sharing_Master6[[#This Row],[Hr]]&lt;6,"Late Night", IF(Bike_Sharing_Master6[[#This Row],[Hr]]&lt;10,"Morning Peak", IF(Bike_Sharing_Master6[[#This Row],[Hr]]&lt;17,"Daytime", IF(Bike_Sharing_Master6[[#This Row],[Hr]]&lt;21,"Evening Peak","Night"))))</f>
        <v>Late Night</v>
      </c>
      <c r="S191" s="1" t="str">
        <f>IF(Bike_Sharing_Master6[[#This Row],[Holiday]]=1,"Holiday","Non-Holiday")</f>
        <v>Non-Holiday</v>
      </c>
      <c r="T191" s="1" t="str">
        <f>IF(Bike_Sharing_Master6[[#This Row],[Cnt]]&lt;80,"Low",IF(Bike_Sharing_Master6[[#This Row],[Cnt]]&lt;160,"Medium","High"))</f>
        <v>Low</v>
      </c>
      <c r="U191" s="1" t="str">
        <f>VLOOKUP(Bike_Sharing_Master6[[#This Row],[Weathersit]],[1]Lookup_Weather!A:B,2,FALSE)</f>
        <v>Clear</v>
      </c>
    </row>
    <row r="192" spans="1:21" x14ac:dyDescent="0.3">
      <c r="A192">
        <v>191</v>
      </c>
      <c r="B192" s="3">
        <v>40552</v>
      </c>
      <c r="C192" s="1">
        <v>1</v>
      </c>
      <c r="D192" s="1">
        <v>0</v>
      </c>
      <c r="E192" s="1">
        <v>1</v>
      </c>
      <c r="F192" s="1">
        <v>5</v>
      </c>
      <c r="G192" t="b">
        <v>0</v>
      </c>
      <c r="H192" s="1">
        <v>0</v>
      </c>
      <c r="I192" s="1">
        <v>1</v>
      </c>
      <c r="J192" s="2">
        <v>0.08</v>
      </c>
      <c r="K192" s="2">
        <v>9.0899999999999995E-2</v>
      </c>
      <c r="L192" s="2">
        <v>0.53</v>
      </c>
      <c r="M192" s="2">
        <v>0.19400000000000001</v>
      </c>
      <c r="N192" s="1">
        <v>0</v>
      </c>
      <c r="O192" s="1">
        <v>1</v>
      </c>
      <c r="P192" s="1">
        <v>1</v>
      </c>
      <c r="Q192" s="1" t="str">
        <f>IF(WEEKDAY(Bike_Sharing_Master6[[#This Row],[Dteday]],2)&gt;=6,"Weekend","Weekday")</f>
        <v>Weekend</v>
      </c>
      <c r="R192" s="1" t="str">
        <f xml:space="preserve"> IF(Bike_Sharing_Master6[[#This Row],[Hr]]&lt;6,"Late Night", IF(Bike_Sharing_Master6[[#This Row],[Hr]]&lt;10,"Morning Peak", IF(Bike_Sharing_Master6[[#This Row],[Hr]]&lt;17,"Daytime", IF(Bike_Sharing_Master6[[#This Row],[Hr]]&lt;21,"Evening Peak","Night"))))</f>
        <v>Late Night</v>
      </c>
      <c r="S192" s="1" t="str">
        <f>IF(Bike_Sharing_Master6[[#This Row],[Holiday]]=1,"Holiday","Non-Holiday")</f>
        <v>Non-Holiday</v>
      </c>
      <c r="T192" s="1" t="str">
        <f>IF(Bike_Sharing_Master6[[#This Row],[Cnt]]&lt;80,"Low",IF(Bike_Sharing_Master6[[#This Row],[Cnt]]&lt;160,"Medium","High"))</f>
        <v>Low</v>
      </c>
      <c r="U192" s="1" t="str">
        <f>VLOOKUP(Bike_Sharing_Master6[[#This Row],[Weathersit]],[1]Lookup_Weather!A:B,2,FALSE)</f>
        <v>Clear</v>
      </c>
    </row>
    <row r="193" spans="1:21" x14ac:dyDescent="0.3">
      <c r="A193">
        <v>192</v>
      </c>
      <c r="B193" s="3">
        <v>40552</v>
      </c>
      <c r="C193" s="1">
        <v>1</v>
      </c>
      <c r="D193" s="1">
        <v>0</v>
      </c>
      <c r="E193" s="1">
        <v>1</v>
      </c>
      <c r="F193" s="1">
        <v>6</v>
      </c>
      <c r="G193" t="b">
        <v>0</v>
      </c>
      <c r="H193" s="1">
        <v>0</v>
      </c>
      <c r="I193" s="1">
        <v>1</v>
      </c>
      <c r="J193" s="2">
        <v>0.1</v>
      </c>
      <c r="K193" s="2">
        <v>9.0899999999999995E-2</v>
      </c>
      <c r="L193" s="2">
        <v>0.49</v>
      </c>
      <c r="M193" s="2">
        <v>0.28360000000000002</v>
      </c>
      <c r="N193" s="1">
        <v>0</v>
      </c>
      <c r="O193" s="1">
        <v>1</v>
      </c>
      <c r="P193" s="1">
        <v>1</v>
      </c>
      <c r="Q193" s="1" t="str">
        <f>IF(WEEKDAY(Bike_Sharing_Master6[[#This Row],[Dteday]],2)&gt;=6,"Weekend","Weekday")</f>
        <v>Weekend</v>
      </c>
      <c r="R193" s="1" t="str">
        <f xml:space="preserve"> IF(Bike_Sharing_Master6[[#This Row],[Hr]]&lt;6,"Late Night", IF(Bike_Sharing_Master6[[#This Row],[Hr]]&lt;10,"Morning Peak", IF(Bike_Sharing_Master6[[#This Row],[Hr]]&lt;17,"Daytime", IF(Bike_Sharing_Master6[[#This Row],[Hr]]&lt;21,"Evening Peak","Night"))))</f>
        <v>Morning Peak</v>
      </c>
      <c r="S193" s="1" t="str">
        <f>IF(Bike_Sharing_Master6[[#This Row],[Holiday]]=1,"Holiday","Non-Holiday")</f>
        <v>Non-Holiday</v>
      </c>
      <c r="T193" s="1" t="str">
        <f>IF(Bike_Sharing_Master6[[#This Row],[Cnt]]&lt;80,"Low",IF(Bike_Sharing_Master6[[#This Row],[Cnt]]&lt;160,"Medium","High"))</f>
        <v>Low</v>
      </c>
      <c r="U193" s="1" t="str">
        <f>VLOOKUP(Bike_Sharing_Master6[[#This Row],[Weathersit]],[1]Lookup_Weather!A:B,2,FALSE)</f>
        <v>Clear</v>
      </c>
    </row>
    <row r="194" spans="1:21" x14ac:dyDescent="0.3">
      <c r="A194">
        <v>193</v>
      </c>
      <c r="B194" s="3">
        <v>40552</v>
      </c>
      <c r="C194" s="1">
        <v>1</v>
      </c>
      <c r="D194" s="1">
        <v>0</v>
      </c>
      <c r="E194" s="1">
        <v>1</v>
      </c>
      <c r="F194" s="1">
        <v>7</v>
      </c>
      <c r="G194" t="b">
        <v>0</v>
      </c>
      <c r="H194" s="1">
        <v>0</v>
      </c>
      <c r="I194" s="1">
        <v>1</v>
      </c>
      <c r="J194" s="2">
        <v>0.08</v>
      </c>
      <c r="K194" s="2">
        <v>9.0899999999999995E-2</v>
      </c>
      <c r="L194" s="2">
        <v>0.53</v>
      </c>
      <c r="M194" s="2">
        <v>0.19400000000000001</v>
      </c>
      <c r="N194" s="1">
        <v>1</v>
      </c>
      <c r="O194" s="1">
        <v>5</v>
      </c>
      <c r="P194" s="1">
        <v>6</v>
      </c>
      <c r="Q194" s="1" t="str">
        <f>IF(WEEKDAY(Bike_Sharing_Master6[[#This Row],[Dteday]],2)&gt;=6,"Weekend","Weekday")</f>
        <v>Weekend</v>
      </c>
      <c r="R194" s="1" t="str">
        <f xml:space="preserve"> IF(Bike_Sharing_Master6[[#This Row],[Hr]]&lt;6,"Late Night", IF(Bike_Sharing_Master6[[#This Row],[Hr]]&lt;10,"Morning Peak", IF(Bike_Sharing_Master6[[#This Row],[Hr]]&lt;17,"Daytime", IF(Bike_Sharing_Master6[[#This Row],[Hr]]&lt;21,"Evening Peak","Night"))))</f>
        <v>Morning Peak</v>
      </c>
      <c r="S194" s="1" t="str">
        <f>IF(Bike_Sharing_Master6[[#This Row],[Holiday]]=1,"Holiday","Non-Holiday")</f>
        <v>Non-Holiday</v>
      </c>
      <c r="T194" s="1" t="str">
        <f>IF(Bike_Sharing_Master6[[#This Row],[Cnt]]&lt;80,"Low",IF(Bike_Sharing_Master6[[#This Row],[Cnt]]&lt;160,"Medium","High"))</f>
        <v>Low</v>
      </c>
      <c r="U194" s="1" t="str">
        <f>VLOOKUP(Bike_Sharing_Master6[[#This Row],[Weathersit]],[1]Lookup_Weather!A:B,2,FALSE)</f>
        <v>Clear</v>
      </c>
    </row>
    <row r="195" spans="1:21" x14ac:dyDescent="0.3">
      <c r="A195">
        <v>194</v>
      </c>
      <c r="B195" s="3">
        <v>40552</v>
      </c>
      <c r="C195" s="1">
        <v>1</v>
      </c>
      <c r="D195" s="1">
        <v>0</v>
      </c>
      <c r="E195" s="1">
        <v>1</v>
      </c>
      <c r="F195" s="1">
        <v>8</v>
      </c>
      <c r="G195" t="b">
        <v>0</v>
      </c>
      <c r="H195" s="1">
        <v>0</v>
      </c>
      <c r="I195" s="1">
        <v>1</v>
      </c>
      <c r="J195" s="2">
        <v>0.1</v>
      </c>
      <c r="K195" s="2">
        <v>9.0899999999999995E-2</v>
      </c>
      <c r="L195" s="2">
        <v>0.49</v>
      </c>
      <c r="M195" s="2">
        <v>0.28360000000000002</v>
      </c>
      <c r="N195" s="1">
        <v>0</v>
      </c>
      <c r="O195" s="1">
        <v>10</v>
      </c>
      <c r="P195" s="1">
        <v>10</v>
      </c>
      <c r="Q195" s="1" t="str">
        <f>IF(WEEKDAY(Bike_Sharing_Master6[[#This Row],[Dteday]],2)&gt;=6,"Weekend","Weekday")</f>
        <v>Weekend</v>
      </c>
      <c r="R195" s="1" t="str">
        <f xml:space="preserve"> IF(Bike_Sharing_Master6[[#This Row],[Hr]]&lt;6,"Late Night", IF(Bike_Sharing_Master6[[#This Row],[Hr]]&lt;10,"Morning Peak", IF(Bike_Sharing_Master6[[#This Row],[Hr]]&lt;17,"Daytime", IF(Bike_Sharing_Master6[[#This Row],[Hr]]&lt;21,"Evening Peak","Night"))))</f>
        <v>Morning Peak</v>
      </c>
      <c r="S195" s="1" t="str">
        <f>IF(Bike_Sharing_Master6[[#This Row],[Holiday]]=1,"Holiday","Non-Holiday")</f>
        <v>Non-Holiday</v>
      </c>
      <c r="T195" s="1" t="str">
        <f>IF(Bike_Sharing_Master6[[#This Row],[Cnt]]&lt;80,"Low",IF(Bike_Sharing_Master6[[#This Row],[Cnt]]&lt;160,"Medium","High"))</f>
        <v>Low</v>
      </c>
      <c r="U195" s="1" t="str">
        <f>VLOOKUP(Bike_Sharing_Master6[[#This Row],[Weathersit]],[1]Lookup_Weather!A:B,2,FALSE)</f>
        <v>Clear</v>
      </c>
    </row>
    <row r="196" spans="1:21" x14ac:dyDescent="0.3">
      <c r="A196">
        <v>195</v>
      </c>
      <c r="B196" s="3">
        <v>40552</v>
      </c>
      <c r="C196" s="1">
        <v>1</v>
      </c>
      <c r="D196" s="1">
        <v>0</v>
      </c>
      <c r="E196" s="1">
        <v>1</v>
      </c>
      <c r="F196" s="1">
        <v>9</v>
      </c>
      <c r="G196" t="b">
        <v>0</v>
      </c>
      <c r="H196" s="1">
        <v>0</v>
      </c>
      <c r="I196" s="1">
        <v>1</v>
      </c>
      <c r="J196" s="2">
        <v>0.12</v>
      </c>
      <c r="K196" s="2">
        <v>7.5800000000000006E-2</v>
      </c>
      <c r="L196" s="2">
        <v>0.46</v>
      </c>
      <c r="M196" s="2">
        <v>0.52239999999999998</v>
      </c>
      <c r="N196" s="1">
        <v>0</v>
      </c>
      <c r="O196" s="1">
        <v>19</v>
      </c>
      <c r="P196" s="1">
        <v>19</v>
      </c>
      <c r="Q196" s="1" t="str">
        <f>IF(WEEKDAY(Bike_Sharing_Master6[[#This Row],[Dteday]],2)&gt;=6,"Weekend","Weekday")</f>
        <v>Weekend</v>
      </c>
      <c r="R196" s="1" t="str">
        <f xml:space="preserve"> IF(Bike_Sharing_Master6[[#This Row],[Hr]]&lt;6,"Late Night", IF(Bike_Sharing_Master6[[#This Row],[Hr]]&lt;10,"Morning Peak", IF(Bike_Sharing_Master6[[#This Row],[Hr]]&lt;17,"Daytime", IF(Bike_Sharing_Master6[[#This Row],[Hr]]&lt;21,"Evening Peak","Night"))))</f>
        <v>Morning Peak</v>
      </c>
      <c r="S196" s="1" t="str">
        <f>IF(Bike_Sharing_Master6[[#This Row],[Holiday]]=1,"Holiday","Non-Holiday")</f>
        <v>Non-Holiday</v>
      </c>
      <c r="T196" s="1" t="str">
        <f>IF(Bike_Sharing_Master6[[#This Row],[Cnt]]&lt;80,"Low",IF(Bike_Sharing_Master6[[#This Row],[Cnt]]&lt;160,"Medium","High"))</f>
        <v>Low</v>
      </c>
      <c r="U196" s="1" t="str">
        <f>VLOOKUP(Bike_Sharing_Master6[[#This Row],[Weathersit]],[1]Lookup_Weather!A:B,2,FALSE)</f>
        <v>Clear</v>
      </c>
    </row>
    <row r="197" spans="1:21" x14ac:dyDescent="0.3">
      <c r="A197">
        <v>196</v>
      </c>
      <c r="B197" s="3">
        <v>40552</v>
      </c>
      <c r="C197" s="1">
        <v>1</v>
      </c>
      <c r="D197" s="1">
        <v>0</v>
      </c>
      <c r="E197" s="1">
        <v>1</v>
      </c>
      <c r="F197" s="1">
        <v>10</v>
      </c>
      <c r="G197" t="b">
        <v>0</v>
      </c>
      <c r="H197" s="1">
        <v>0</v>
      </c>
      <c r="I197" s="1">
        <v>1</v>
      </c>
      <c r="J197" s="2">
        <v>0.14000000000000001</v>
      </c>
      <c r="K197" s="2">
        <v>0.1061</v>
      </c>
      <c r="L197" s="2">
        <v>0.43</v>
      </c>
      <c r="M197" s="2">
        <v>0.3881</v>
      </c>
      <c r="N197" s="1">
        <v>0</v>
      </c>
      <c r="O197" s="1">
        <v>49</v>
      </c>
      <c r="P197" s="1">
        <v>49</v>
      </c>
      <c r="Q197" s="1" t="str">
        <f>IF(WEEKDAY(Bike_Sharing_Master6[[#This Row],[Dteday]],2)&gt;=6,"Weekend","Weekday")</f>
        <v>Weekend</v>
      </c>
      <c r="R197" s="1" t="str">
        <f xml:space="preserve"> IF(Bike_Sharing_Master6[[#This Row],[Hr]]&lt;6,"Late Night", IF(Bike_Sharing_Master6[[#This Row],[Hr]]&lt;10,"Morning Peak", IF(Bike_Sharing_Master6[[#This Row],[Hr]]&lt;17,"Daytime", IF(Bike_Sharing_Master6[[#This Row],[Hr]]&lt;21,"Evening Peak","Night"))))</f>
        <v>Daytime</v>
      </c>
      <c r="S197" s="1" t="str">
        <f>IF(Bike_Sharing_Master6[[#This Row],[Holiday]]=1,"Holiday","Non-Holiday")</f>
        <v>Non-Holiday</v>
      </c>
      <c r="T197" s="1" t="str">
        <f>IF(Bike_Sharing_Master6[[#This Row],[Cnt]]&lt;80,"Low",IF(Bike_Sharing_Master6[[#This Row],[Cnt]]&lt;160,"Medium","High"))</f>
        <v>Low</v>
      </c>
      <c r="U197" s="1" t="str">
        <f>VLOOKUP(Bike_Sharing_Master6[[#This Row],[Weathersit]],[1]Lookup_Weather!A:B,2,FALSE)</f>
        <v>Clear</v>
      </c>
    </row>
    <row r="198" spans="1:21" x14ac:dyDescent="0.3">
      <c r="A198">
        <v>197</v>
      </c>
      <c r="B198" s="3">
        <v>40552</v>
      </c>
      <c r="C198" s="1">
        <v>1</v>
      </c>
      <c r="D198" s="1">
        <v>0</v>
      </c>
      <c r="E198" s="1">
        <v>1</v>
      </c>
      <c r="F198" s="1">
        <v>11</v>
      </c>
      <c r="G198" t="b">
        <v>0</v>
      </c>
      <c r="H198" s="1">
        <v>0</v>
      </c>
      <c r="I198" s="1">
        <v>1</v>
      </c>
      <c r="J198" s="2">
        <v>0.16</v>
      </c>
      <c r="K198" s="2">
        <v>0.1212</v>
      </c>
      <c r="L198" s="2">
        <v>0.4</v>
      </c>
      <c r="M198" s="2">
        <v>0.52239999999999998</v>
      </c>
      <c r="N198" s="1">
        <v>2</v>
      </c>
      <c r="O198" s="1">
        <v>47</v>
      </c>
      <c r="P198" s="1">
        <v>49</v>
      </c>
      <c r="Q198" s="1" t="str">
        <f>IF(WEEKDAY(Bike_Sharing_Master6[[#This Row],[Dteday]],2)&gt;=6,"Weekend","Weekday")</f>
        <v>Weekend</v>
      </c>
      <c r="R198" s="1" t="str">
        <f xml:space="preserve"> IF(Bike_Sharing_Master6[[#This Row],[Hr]]&lt;6,"Late Night", IF(Bike_Sharing_Master6[[#This Row],[Hr]]&lt;10,"Morning Peak", IF(Bike_Sharing_Master6[[#This Row],[Hr]]&lt;17,"Daytime", IF(Bike_Sharing_Master6[[#This Row],[Hr]]&lt;21,"Evening Peak","Night"))))</f>
        <v>Daytime</v>
      </c>
      <c r="S198" s="1" t="str">
        <f>IF(Bike_Sharing_Master6[[#This Row],[Holiday]]=1,"Holiday","Non-Holiday")</f>
        <v>Non-Holiday</v>
      </c>
      <c r="T198" s="1" t="str">
        <f>IF(Bike_Sharing_Master6[[#This Row],[Cnt]]&lt;80,"Low",IF(Bike_Sharing_Master6[[#This Row],[Cnt]]&lt;160,"Medium","High"))</f>
        <v>Low</v>
      </c>
      <c r="U198" s="1" t="str">
        <f>VLOOKUP(Bike_Sharing_Master6[[#This Row],[Weathersit]],[1]Lookup_Weather!A:B,2,FALSE)</f>
        <v>Clear</v>
      </c>
    </row>
    <row r="199" spans="1:21" x14ac:dyDescent="0.3">
      <c r="A199">
        <v>198</v>
      </c>
      <c r="B199" s="3">
        <v>40552</v>
      </c>
      <c r="C199" s="1">
        <v>1</v>
      </c>
      <c r="D199" s="1">
        <v>0</v>
      </c>
      <c r="E199" s="1">
        <v>1</v>
      </c>
      <c r="F199" s="1">
        <v>12</v>
      </c>
      <c r="G199" t="b">
        <v>0</v>
      </c>
      <c r="H199" s="1">
        <v>0</v>
      </c>
      <c r="I199" s="1">
        <v>1</v>
      </c>
      <c r="J199" s="2">
        <v>0.18</v>
      </c>
      <c r="K199" s="2">
        <v>0.13639999999999999</v>
      </c>
      <c r="L199" s="2">
        <v>0.37</v>
      </c>
      <c r="M199" s="2">
        <v>0.44779999999999998</v>
      </c>
      <c r="N199" s="1">
        <v>4</v>
      </c>
      <c r="O199" s="1">
        <v>79</v>
      </c>
      <c r="P199" s="1">
        <v>83</v>
      </c>
      <c r="Q199" s="1" t="str">
        <f>IF(WEEKDAY(Bike_Sharing_Master6[[#This Row],[Dteday]],2)&gt;=6,"Weekend","Weekday")</f>
        <v>Weekend</v>
      </c>
      <c r="R199" s="1" t="str">
        <f xml:space="preserve"> IF(Bike_Sharing_Master6[[#This Row],[Hr]]&lt;6,"Late Night", IF(Bike_Sharing_Master6[[#This Row],[Hr]]&lt;10,"Morning Peak", IF(Bike_Sharing_Master6[[#This Row],[Hr]]&lt;17,"Daytime", IF(Bike_Sharing_Master6[[#This Row],[Hr]]&lt;21,"Evening Peak","Night"))))</f>
        <v>Daytime</v>
      </c>
      <c r="S199" s="1" t="str">
        <f>IF(Bike_Sharing_Master6[[#This Row],[Holiday]]=1,"Holiday","Non-Holiday")</f>
        <v>Non-Holiday</v>
      </c>
      <c r="T199" s="1" t="str">
        <f>IF(Bike_Sharing_Master6[[#This Row],[Cnt]]&lt;80,"Low",IF(Bike_Sharing_Master6[[#This Row],[Cnt]]&lt;160,"Medium","High"))</f>
        <v>Medium</v>
      </c>
      <c r="U199" s="1" t="str">
        <f>VLOOKUP(Bike_Sharing_Master6[[#This Row],[Weathersit]],[1]Lookup_Weather!A:B,2,FALSE)</f>
        <v>Clear</v>
      </c>
    </row>
    <row r="200" spans="1:21" x14ac:dyDescent="0.3">
      <c r="A200">
        <v>199</v>
      </c>
      <c r="B200" s="3">
        <v>40552</v>
      </c>
      <c r="C200" s="1">
        <v>1</v>
      </c>
      <c r="D200" s="1">
        <v>0</v>
      </c>
      <c r="E200" s="1">
        <v>1</v>
      </c>
      <c r="F200" s="1">
        <v>13</v>
      </c>
      <c r="G200" t="b">
        <v>0</v>
      </c>
      <c r="H200" s="1">
        <v>0</v>
      </c>
      <c r="I200" s="1">
        <v>1</v>
      </c>
      <c r="J200" s="2">
        <v>0.2</v>
      </c>
      <c r="K200" s="2">
        <v>0.16669999999999999</v>
      </c>
      <c r="L200" s="2">
        <v>0.34</v>
      </c>
      <c r="M200" s="2">
        <v>0.44779999999999998</v>
      </c>
      <c r="N200" s="1">
        <v>6</v>
      </c>
      <c r="O200" s="1">
        <v>69</v>
      </c>
      <c r="P200" s="1">
        <v>75</v>
      </c>
      <c r="Q200" s="1" t="str">
        <f>IF(WEEKDAY(Bike_Sharing_Master6[[#This Row],[Dteday]],2)&gt;=6,"Weekend","Weekday")</f>
        <v>Weekend</v>
      </c>
      <c r="R200" s="1" t="str">
        <f xml:space="preserve"> IF(Bike_Sharing_Master6[[#This Row],[Hr]]&lt;6,"Late Night", IF(Bike_Sharing_Master6[[#This Row],[Hr]]&lt;10,"Morning Peak", IF(Bike_Sharing_Master6[[#This Row],[Hr]]&lt;17,"Daytime", IF(Bike_Sharing_Master6[[#This Row],[Hr]]&lt;21,"Evening Peak","Night"))))</f>
        <v>Daytime</v>
      </c>
      <c r="S200" s="1" t="str">
        <f>IF(Bike_Sharing_Master6[[#This Row],[Holiday]]=1,"Holiday","Non-Holiday")</f>
        <v>Non-Holiday</v>
      </c>
      <c r="T200" s="1" t="str">
        <f>IF(Bike_Sharing_Master6[[#This Row],[Cnt]]&lt;80,"Low",IF(Bike_Sharing_Master6[[#This Row],[Cnt]]&lt;160,"Medium","High"))</f>
        <v>Low</v>
      </c>
      <c r="U200" s="1" t="str">
        <f>VLOOKUP(Bike_Sharing_Master6[[#This Row],[Weathersit]],[1]Lookup_Weather!A:B,2,FALSE)</f>
        <v>Clear</v>
      </c>
    </row>
    <row r="201" spans="1:21" x14ac:dyDescent="0.3">
      <c r="A201">
        <v>200</v>
      </c>
      <c r="B201" s="3">
        <v>40552</v>
      </c>
      <c r="C201" s="1">
        <v>1</v>
      </c>
      <c r="D201" s="1">
        <v>0</v>
      </c>
      <c r="E201" s="1">
        <v>1</v>
      </c>
      <c r="F201" s="1">
        <v>14</v>
      </c>
      <c r="G201" t="b">
        <v>0</v>
      </c>
      <c r="H201" s="1">
        <v>0</v>
      </c>
      <c r="I201" s="1">
        <v>1</v>
      </c>
      <c r="J201" s="2">
        <v>0.22</v>
      </c>
      <c r="K201" s="2">
        <v>0.18179999999999999</v>
      </c>
      <c r="L201" s="2">
        <v>0.32</v>
      </c>
      <c r="M201" s="2">
        <v>0.4627</v>
      </c>
      <c r="N201" s="1">
        <v>8</v>
      </c>
      <c r="O201" s="1">
        <v>64</v>
      </c>
      <c r="P201" s="1">
        <v>72</v>
      </c>
      <c r="Q201" s="1" t="str">
        <f>IF(WEEKDAY(Bike_Sharing_Master6[[#This Row],[Dteday]],2)&gt;=6,"Weekend","Weekday")</f>
        <v>Weekend</v>
      </c>
      <c r="R201" s="1" t="str">
        <f xml:space="preserve"> IF(Bike_Sharing_Master6[[#This Row],[Hr]]&lt;6,"Late Night", IF(Bike_Sharing_Master6[[#This Row],[Hr]]&lt;10,"Morning Peak", IF(Bike_Sharing_Master6[[#This Row],[Hr]]&lt;17,"Daytime", IF(Bike_Sharing_Master6[[#This Row],[Hr]]&lt;21,"Evening Peak","Night"))))</f>
        <v>Daytime</v>
      </c>
      <c r="S201" s="1" t="str">
        <f>IF(Bike_Sharing_Master6[[#This Row],[Holiday]]=1,"Holiday","Non-Holiday")</f>
        <v>Non-Holiday</v>
      </c>
      <c r="T201" s="1" t="str">
        <f>IF(Bike_Sharing_Master6[[#This Row],[Cnt]]&lt;80,"Low",IF(Bike_Sharing_Master6[[#This Row],[Cnt]]&lt;160,"Medium","High"))</f>
        <v>Low</v>
      </c>
      <c r="U201" s="1" t="str">
        <f>VLOOKUP(Bike_Sharing_Master6[[#This Row],[Weathersit]],[1]Lookup_Weather!A:B,2,FALSE)</f>
        <v>Clear</v>
      </c>
    </row>
    <row r="202" spans="1:21" x14ac:dyDescent="0.3">
      <c r="A202">
        <v>201</v>
      </c>
      <c r="B202" s="3">
        <v>40552</v>
      </c>
      <c r="C202" s="1">
        <v>1</v>
      </c>
      <c r="D202" s="1">
        <v>0</v>
      </c>
      <c r="E202" s="1">
        <v>1</v>
      </c>
      <c r="F202" s="1">
        <v>15</v>
      </c>
      <c r="G202" t="b">
        <v>0</v>
      </c>
      <c r="H202" s="1">
        <v>0</v>
      </c>
      <c r="I202" s="1">
        <v>1</v>
      </c>
      <c r="J202" s="2">
        <v>0.22</v>
      </c>
      <c r="K202" s="2">
        <v>0.19700000000000001</v>
      </c>
      <c r="L202" s="2">
        <v>0.35</v>
      </c>
      <c r="M202" s="2">
        <v>0.35820000000000002</v>
      </c>
      <c r="N202" s="1">
        <v>5</v>
      </c>
      <c r="O202" s="1">
        <v>77</v>
      </c>
      <c r="P202" s="1">
        <v>82</v>
      </c>
      <c r="Q202" s="1" t="str">
        <f>IF(WEEKDAY(Bike_Sharing_Master6[[#This Row],[Dteday]],2)&gt;=6,"Weekend","Weekday")</f>
        <v>Weekend</v>
      </c>
      <c r="R202" s="1" t="str">
        <f xml:space="preserve"> IF(Bike_Sharing_Master6[[#This Row],[Hr]]&lt;6,"Late Night", IF(Bike_Sharing_Master6[[#This Row],[Hr]]&lt;10,"Morning Peak", IF(Bike_Sharing_Master6[[#This Row],[Hr]]&lt;17,"Daytime", IF(Bike_Sharing_Master6[[#This Row],[Hr]]&lt;21,"Evening Peak","Night"))))</f>
        <v>Daytime</v>
      </c>
      <c r="S202" s="1" t="str">
        <f>IF(Bike_Sharing_Master6[[#This Row],[Holiday]]=1,"Holiday","Non-Holiday")</f>
        <v>Non-Holiday</v>
      </c>
      <c r="T202" s="1" t="str">
        <f>IF(Bike_Sharing_Master6[[#This Row],[Cnt]]&lt;80,"Low",IF(Bike_Sharing_Master6[[#This Row],[Cnt]]&lt;160,"Medium","High"))</f>
        <v>Medium</v>
      </c>
      <c r="U202" s="1" t="str">
        <f>VLOOKUP(Bike_Sharing_Master6[[#This Row],[Weathersit]],[1]Lookup_Weather!A:B,2,FALSE)</f>
        <v>Clear</v>
      </c>
    </row>
    <row r="203" spans="1:21" x14ac:dyDescent="0.3">
      <c r="A203">
        <v>202</v>
      </c>
      <c r="B203" s="3">
        <v>40552</v>
      </c>
      <c r="C203" s="1">
        <v>1</v>
      </c>
      <c r="D203" s="1">
        <v>0</v>
      </c>
      <c r="E203" s="1">
        <v>1</v>
      </c>
      <c r="F203" s="1">
        <v>16</v>
      </c>
      <c r="G203" t="b">
        <v>0</v>
      </c>
      <c r="H203" s="1">
        <v>0</v>
      </c>
      <c r="I203" s="1">
        <v>1</v>
      </c>
      <c r="J203" s="2">
        <v>0.2</v>
      </c>
      <c r="K203" s="2">
        <v>0.16669999999999999</v>
      </c>
      <c r="L203" s="2">
        <v>0.34</v>
      </c>
      <c r="M203" s="2">
        <v>0.44779999999999998</v>
      </c>
      <c r="N203" s="1">
        <v>13</v>
      </c>
      <c r="O203" s="1">
        <v>79</v>
      </c>
      <c r="P203" s="1">
        <v>92</v>
      </c>
      <c r="Q203" s="1" t="str">
        <f>IF(WEEKDAY(Bike_Sharing_Master6[[#This Row],[Dteday]],2)&gt;=6,"Weekend","Weekday")</f>
        <v>Weekend</v>
      </c>
      <c r="R203" s="1" t="str">
        <f xml:space="preserve"> IF(Bike_Sharing_Master6[[#This Row],[Hr]]&lt;6,"Late Night", IF(Bike_Sharing_Master6[[#This Row],[Hr]]&lt;10,"Morning Peak", IF(Bike_Sharing_Master6[[#This Row],[Hr]]&lt;17,"Daytime", IF(Bike_Sharing_Master6[[#This Row],[Hr]]&lt;21,"Evening Peak","Night"))))</f>
        <v>Daytime</v>
      </c>
      <c r="S203" s="1" t="str">
        <f>IF(Bike_Sharing_Master6[[#This Row],[Holiday]]=1,"Holiday","Non-Holiday")</f>
        <v>Non-Holiday</v>
      </c>
      <c r="T203" s="1" t="str">
        <f>IF(Bike_Sharing_Master6[[#This Row],[Cnt]]&lt;80,"Low",IF(Bike_Sharing_Master6[[#This Row],[Cnt]]&lt;160,"Medium","High"))</f>
        <v>Medium</v>
      </c>
      <c r="U203" s="1" t="str">
        <f>VLOOKUP(Bike_Sharing_Master6[[#This Row],[Weathersit]],[1]Lookup_Weather!A:B,2,FALSE)</f>
        <v>Clear</v>
      </c>
    </row>
    <row r="204" spans="1:21" x14ac:dyDescent="0.3">
      <c r="A204">
        <v>203</v>
      </c>
      <c r="B204" s="3">
        <v>40552</v>
      </c>
      <c r="C204" s="1">
        <v>1</v>
      </c>
      <c r="D204" s="1">
        <v>0</v>
      </c>
      <c r="E204" s="1">
        <v>1</v>
      </c>
      <c r="F204" s="1">
        <v>17</v>
      </c>
      <c r="G204" t="b">
        <v>0</v>
      </c>
      <c r="H204" s="1">
        <v>0</v>
      </c>
      <c r="I204" s="1">
        <v>1</v>
      </c>
      <c r="J204" s="2">
        <v>0.18</v>
      </c>
      <c r="K204" s="2">
        <v>0.1515</v>
      </c>
      <c r="L204" s="2">
        <v>0.37</v>
      </c>
      <c r="M204" s="2">
        <v>0.3881</v>
      </c>
      <c r="N204" s="1">
        <v>3</v>
      </c>
      <c r="O204" s="1">
        <v>59</v>
      </c>
      <c r="P204" s="1">
        <v>62</v>
      </c>
      <c r="Q204" s="1" t="str">
        <f>IF(WEEKDAY(Bike_Sharing_Master6[[#This Row],[Dteday]],2)&gt;=6,"Weekend","Weekday")</f>
        <v>Weekend</v>
      </c>
      <c r="R204" s="1" t="str">
        <f xml:space="preserve"> IF(Bike_Sharing_Master6[[#This Row],[Hr]]&lt;6,"Late Night", IF(Bike_Sharing_Master6[[#This Row],[Hr]]&lt;10,"Morning Peak", IF(Bike_Sharing_Master6[[#This Row],[Hr]]&lt;17,"Daytime", IF(Bike_Sharing_Master6[[#This Row],[Hr]]&lt;21,"Evening Peak","Night"))))</f>
        <v>Evening Peak</v>
      </c>
      <c r="S204" s="1" t="str">
        <f>IF(Bike_Sharing_Master6[[#This Row],[Holiday]]=1,"Holiday","Non-Holiday")</f>
        <v>Non-Holiday</v>
      </c>
      <c r="T204" s="1" t="str">
        <f>IF(Bike_Sharing_Master6[[#This Row],[Cnt]]&lt;80,"Low",IF(Bike_Sharing_Master6[[#This Row],[Cnt]]&lt;160,"Medium","High"))</f>
        <v>Low</v>
      </c>
      <c r="U204" s="1" t="str">
        <f>VLOOKUP(Bike_Sharing_Master6[[#This Row],[Weathersit]],[1]Lookup_Weather!A:B,2,FALSE)</f>
        <v>Clear</v>
      </c>
    </row>
    <row r="205" spans="1:21" x14ac:dyDescent="0.3">
      <c r="A205">
        <v>204</v>
      </c>
      <c r="B205" s="3">
        <v>40552</v>
      </c>
      <c r="C205" s="1">
        <v>1</v>
      </c>
      <c r="D205" s="1">
        <v>0</v>
      </c>
      <c r="E205" s="1">
        <v>1</v>
      </c>
      <c r="F205" s="1">
        <v>18</v>
      </c>
      <c r="G205" t="b">
        <v>0</v>
      </c>
      <c r="H205" s="1">
        <v>0</v>
      </c>
      <c r="I205" s="1">
        <v>1</v>
      </c>
      <c r="J205" s="2">
        <v>0.16</v>
      </c>
      <c r="K205" s="2">
        <v>0.13639999999999999</v>
      </c>
      <c r="L205" s="2">
        <v>0.4</v>
      </c>
      <c r="M205" s="2">
        <v>0.32840000000000003</v>
      </c>
      <c r="N205" s="1">
        <v>4</v>
      </c>
      <c r="O205" s="1">
        <v>44</v>
      </c>
      <c r="P205" s="1">
        <v>48</v>
      </c>
      <c r="Q205" s="1" t="str">
        <f>IF(WEEKDAY(Bike_Sharing_Master6[[#This Row],[Dteday]],2)&gt;=6,"Weekend","Weekday")</f>
        <v>Weekend</v>
      </c>
      <c r="R205" s="1" t="str">
        <f xml:space="preserve"> IF(Bike_Sharing_Master6[[#This Row],[Hr]]&lt;6,"Late Night", IF(Bike_Sharing_Master6[[#This Row],[Hr]]&lt;10,"Morning Peak", IF(Bike_Sharing_Master6[[#This Row],[Hr]]&lt;17,"Daytime", IF(Bike_Sharing_Master6[[#This Row],[Hr]]&lt;21,"Evening Peak","Night"))))</f>
        <v>Evening Peak</v>
      </c>
      <c r="S205" s="1" t="str">
        <f>IF(Bike_Sharing_Master6[[#This Row],[Holiday]]=1,"Holiday","Non-Holiday")</f>
        <v>Non-Holiday</v>
      </c>
      <c r="T205" s="1" t="str">
        <f>IF(Bike_Sharing_Master6[[#This Row],[Cnt]]&lt;80,"Low",IF(Bike_Sharing_Master6[[#This Row],[Cnt]]&lt;160,"Medium","High"))</f>
        <v>Low</v>
      </c>
      <c r="U205" s="1" t="str">
        <f>VLOOKUP(Bike_Sharing_Master6[[#This Row],[Weathersit]],[1]Lookup_Weather!A:B,2,FALSE)</f>
        <v>Clear</v>
      </c>
    </row>
    <row r="206" spans="1:21" x14ac:dyDescent="0.3">
      <c r="A206">
        <v>205</v>
      </c>
      <c r="B206" s="3">
        <v>40552</v>
      </c>
      <c r="C206" s="1">
        <v>1</v>
      </c>
      <c r="D206" s="1">
        <v>0</v>
      </c>
      <c r="E206" s="1">
        <v>1</v>
      </c>
      <c r="F206" s="1">
        <v>19</v>
      </c>
      <c r="G206" t="b">
        <v>0</v>
      </c>
      <c r="H206" s="1">
        <v>0</v>
      </c>
      <c r="I206" s="1">
        <v>1</v>
      </c>
      <c r="J206" s="2">
        <v>0.16</v>
      </c>
      <c r="K206" s="2">
        <v>0.13639999999999999</v>
      </c>
      <c r="L206" s="2">
        <v>0.43</v>
      </c>
      <c r="M206" s="2">
        <v>0.32840000000000003</v>
      </c>
      <c r="N206" s="1">
        <v>1</v>
      </c>
      <c r="O206" s="1">
        <v>40</v>
      </c>
      <c r="P206" s="1">
        <v>41</v>
      </c>
      <c r="Q206" s="1" t="str">
        <f>IF(WEEKDAY(Bike_Sharing_Master6[[#This Row],[Dteday]],2)&gt;=6,"Weekend","Weekday")</f>
        <v>Weekend</v>
      </c>
      <c r="R206" s="1" t="str">
        <f xml:space="preserve"> IF(Bike_Sharing_Master6[[#This Row],[Hr]]&lt;6,"Late Night", IF(Bike_Sharing_Master6[[#This Row],[Hr]]&lt;10,"Morning Peak", IF(Bike_Sharing_Master6[[#This Row],[Hr]]&lt;17,"Daytime", IF(Bike_Sharing_Master6[[#This Row],[Hr]]&lt;21,"Evening Peak","Night"))))</f>
        <v>Evening Peak</v>
      </c>
      <c r="S206" s="1" t="str">
        <f>IF(Bike_Sharing_Master6[[#This Row],[Holiday]]=1,"Holiday","Non-Holiday")</f>
        <v>Non-Holiday</v>
      </c>
      <c r="T206" s="1" t="str">
        <f>IF(Bike_Sharing_Master6[[#This Row],[Cnt]]&lt;80,"Low",IF(Bike_Sharing_Master6[[#This Row],[Cnt]]&lt;160,"Medium","High"))</f>
        <v>Low</v>
      </c>
      <c r="U206" s="1" t="str">
        <f>VLOOKUP(Bike_Sharing_Master6[[#This Row],[Weathersit]],[1]Lookup_Weather!A:B,2,FALSE)</f>
        <v>Clear</v>
      </c>
    </row>
    <row r="207" spans="1:21" x14ac:dyDescent="0.3">
      <c r="A207">
        <v>206</v>
      </c>
      <c r="B207" s="3">
        <v>40552</v>
      </c>
      <c r="C207" s="1">
        <v>1</v>
      </c>
      <c r="D207" s="1">
        <v>0</v>
      </c>
      <c r="E207" s="1">
        <v>1</v>
      </c>
      <c r="F207" s="1">
        <v>20</v>
      </c>
      <c r="G207" t="b">
        <v>0</v>
      </c>
      <c r="H207" s="1">
        <v>0</v>
      </c>
      <c r="I207" s="1">
        <v>1</v>
      </c>
      <c r="J207" s="2">
        <v>0.14000000000000001</v>
      </c>
      <c r="K207" s="2">
        <v>0.1212</v>
      </c>
      <c r="L207" s="2">
        <v>0.46</v>
      </c>
      <c r="M207" s="2">
        <v>0.25369999999999998</v>
      </c>
      <c r="N207" s="1">
        <v>0</v>
      </c>
      <c r="O207" s="1">
        <v>38</v>
      </c>
      <c r="P207" s="1">
        <v>38</v>
      </c>
      <c r="Q207" s="1" t="str">
        <f>IF(WEEKDAY(Bike_Sharing_Master6[[#This Row],[Dteday]],2)&gt;=6,"Weekend","Weekday")</f>
        <v>Weekend</v>
      </c>
      <c r="R207" s="1" t="str">
        <f xml:space="preserve"> IF(Bike_Sharing_Master6[[#This Row],[Hr]]&lt;6,"Late Night", IF(Bike_Sharing_Master6[[#This Row],[Hr]]&lt;10,"Morning Peak", IF(Bike_Sharing_Master6[[#This Row],[Hr]]&lt;17,"Daytime", IF(Bike_Sharing_Master6[[#This Row],[Hr]]&lt;21,"Evening Peak","Night"))))</f>
        <v>Evening Peak</v>
      </c>
      <c r="S207" s="1" t="str">
        <f>IF(Bike_Sharing_Master6[[#This Row],[Holiday]]=1,"Holiday","Non-Holiday")</f>
        <v>Non-Holiday</v>
      </c>
      <c r="T207" s="1" t="str">
        <f>IF(Bike_Sharing_Master6[[#This Row],[Cnt]]&lt;80,"Low",IF(Bike_Sharing_Master6[[#This Row],[Cnt]]&lt;160,"Medium","High"))</f>
        <v>Low</v>
      </c>
      <c r="U207" s="1" t="str">
        <f>VLOOKUP(Bike_Sharing_Master6[[#This Row],[Weathersit]],[1]Lookup_Weather!A:B,2,FALSE)</f>
        <v>Clear</v>
      </c>
    </row>
    <row r="208" spans="1:21" x14ac:dyDescent="0.3">
      <c r="A208">
        <v>207</v>
      </c>
      <c r="B208" s="3">
        <v>40552</v>
      </c>
      <c r="C208" s="1">
        <v>1</v>
      </c>
      <c r="D208" s="1">
        <v>0</v>
      </c>
      <c r="E208" s="1">
        <v>1</v>
      </c>
      <c r="F208" s="1">
        <v>21</v>
      </c>
      <c r="G208" t="b">
        <v>0</v>
      </c>
      <c r="H208" s="1">
        <v>0</v>
      </c>
      <c r="I208" s="1">
        <v>1</v>
      </c>
      <c r="J208" s="2">
        <v>0.14000000000000001</v>
      </c>
      <c r="K208" s="2">
        <v>0.1061</v>
      </c>
      <c r="L208" s="2">
        <v>0.46</v>
      </c>
      <c r="M208" s="2">
        <v>0.41789999999999999</v>
      </c>
      <c r="N208" s="1">
        <v>1</v>
      </c>
      <c r="O208" s="1">
        <v>19</v>
      </c>
      <c r="P208" s="1">
        <v>20</v>
      </c>
      <c r="Q208" s="1" t="str">
        <f>IF(WEEKDAY(Bike_Sharing_Master6[[#This Row],[Dteday]],2)&gt;=6,"Weekend","Weekday")</f>
        <v>Weekend</v>
      </c>
      <c r="R208" s="1" t="str">
        <f xml:space="preserve"> IF(Bike_Sharing_Master6[[#This Row],[Hr]]&lt;6,"Late Night", IF(Bike_Sharing_Master6[[#This Row],[Hr]]&lt;10,"Morning Peak", IF(Bike_Sharing_Master6[[#This Row],[Hr]]&lt;17,"Daytime", IF(Bike_Sharing_Master6[[#This Row],[Hr]]&lt;21,"Evening Peak","Night"))))</f>
        <v>Night</v>
      </c>
      <c r="S208" s="1" t="str">
        <f>IF(Bike_Sharing_Master6[[#This Row],[Holiday]]=1,"Holiday","Non-Holiday")</f>
        <v>Non-Holiday</v>
      </c>
      <c r="T208" s="1" t="str">
        <f>IF(Bike_Sharing_Master6[[#This Row],[Cnt]]&lt;80,"Low",IF(Bike_Sharing_Master6[[#This Row],[Cnt]]&lt;160,"Medium","High"))</f>
        <v>Low</v>
      </c>
      <c r="U208" s="1" t="str">
        <f>VLOOKUP(Bike_Sharing_Master6[[#This Row],[Weathersit]],[1]Lookup_Weather!A:B,2,FALSE)</f>
        <v>Clear</v>
      </c>
    </row>
    <row r="209" spans="1:21" x14ac:dyDescent="0.3">
      <c r="A209">
        <v>208</v>
      </c>
      <c r="B209" s="3">
        <v>40552</v>
      </c>
      <c r="C209" s="1">
        <v>1</v>
      </c>
      <c r="D209" s="1">
        <v>0</v>
      </c>
      <c r="E209" s="1">
        <v>1</v>
      </c>
      <c r="F209" s="1">
        <v>22</v>
      </c>
      <c r="G209" t="b">
        <v>0</v>
      </c>
      <c r="H209" s="1">
        <v>0</v>
      </c>
      <c r="I209" s="1">
        <v>1</v>
      </c>
      <c r="J209" s="2">
        <v>0.14000000000000001</v>
      </c>
      <c r="K209" s="2">
        <v>0.1212</v>
      </c>
      <c r="L209" s="2">
        <v>0.46</v>
      </c>
      <c r="M209" s="2">
        <v>0.29849999999999999</v>
      </c>
      <c r="N209" s="1">
        <v>5</v>
      </c>
      <c r="O209" s="1">
        <v>10</v>
      </c>
      <c r="P209" s="1">
        <v>15</v>
      </c>
      <c r="Q209" s="1" t="str">
        <f>IF(WEEKDAY(Bike_Sharing_Master6[[#This Row],[Dteday]],2)&gt;=6,"Weekend","Weekday")</f>
        <v>Weekend</v>
      </c>
      <c r="R209" s="1" t="str">
        <f xml:space="preserve"> IF(Bike_Sharing_Master6[[#This Row],[Hr]]&lt;6,"Late Night", IF(Bike_Sharing_Master6[[#This Row],[Hr]]&lt;10,"Morning Peak", IF(Bike_Sharing_Master6[[#This Row],[Hr]]&lt;17,"Daytime", IF(Bike_Sharing_Master6[[#This Row],[Hr]]&lt;21,"Evening Peak","Night"))))</f>
        <v>Night</v>
      </c>
      <c r="S209" s="1" t="str">
        <f>IF(Bike_Sharing_Master6[[#This Row],[Holiday]]=1,"Holiday","Non-Holiday")</f>
        <v>Non-Holiday</v>
      </c>
      <c r="T209" s="1" t="str">
        <f>IF(Bike_Sharing_Master6[[#This Row],[Cnt]]&lt;80,"Low",IF(Bike_Sharing_Master6[[#This Row],[Cnt]]&lt;160,"Medium","High"))</f>
        <v>Low</v>
      </c>
      <c r="U209" s="1" t="str">
        <f>VLOOKUP(Bike_Sharing_Master6[[#This Row],[Weathersit]],[1]Lookup_Weather!A:B,2,FALSE)</f>
        <v>Clear</v>
      </c>
    </row>
    <row r="210" spans="1:21" x14ac:dyDescent="0.3">
      <c r="A210">
        <v>209</v>
      </c>
      <c r="B210" s="3">
        <v>40552</v>
      </c>
      <c r="C210" s="1">
        <v>1</v>
      </c>
      <c r="D210" s="1">
        <v>0</v>
      </c>
      <c r="E210" s="1">
        <v>1</v>
      </c>
      <c r="F210" s="1">
        <v>23</v>
      </c>
      <c r="G210" t="b">
        <v>0</v>
      </c>
      <c r="H210" s="1">
        <v>0</v>
      </c>
      <c r="I210" s="1">
        <v>1</v>
      </c>
      <c r="J210" s="2">
        <v>0.12</v>
      </c>
      <c r="K210" s="2">
        <v>0.13639999999999999</v>
      </c>
      <c r="L210" s="2">
        <v>0.5</v>
      </c>
      <c r="M210" s="2">
        <v>0.19400000000000001</v>
      </c>
      <c r="N210" s="1">
        <v>0</v>
      </c>
      <c r="O210" s="1">
        <v>6</v>
      </c>
      <c r="P210" s="1">
        <v>6</v>
      </c>
      <c r="Q210" s="1" t="str">
        <f>IF(WEEKDAY(Bike_Sharing_Master6[[#This Row],[Dteday]],2)&gt;=6,"Weekend","Weekday")</f>
        <v>Weekend</v>
      </c>
      <c r="R210" s="1" t="str">
        <f xml:space="preserve"> IF(Bike_Sharing_Master6[[#This Row],[Hr]]&lt;6,"Late Night", IF(Bike_Sharing_Master6[[#This Row],[Hr]]&lt;10,"Morning Peak", IF(Bike_Sharing_Master6[[#This Row],[Hr]]&lt;17,"Daytime", IF(Bike_Sharing_Master6[[#This Row],[Hr]]&lt;21,"Evening Peak","Night"))))</f>
        <v>Night</v>
      </c>
      <c r="S210" s="1" t="str">
        <f>IF(Bike_Sharing_Master6[[#This Row],[Holiday]]=1,"Holiday","Non-Holiday")</f>
        <v>Non-Holiday</v>
      </c>
      <c r="T210" s="1" t="str">
        <f>IF(Bike_Sharing_Master6[[#This Row],[Cnt]]&lt;80,"Low",IF(Bike_Sharing_Master6[[#This Row],[Cnt]]&lt;160,"Medium","High"))</f>
        <v>Low</v>
      </c>
      <c r="U210" s="1" t="str">
        <f>VLOOKUP(Bike_Sharing_Master6[[#This Row],[Weathersit]],[1]Lookup_Weather!A:B,2,FALSE)</f>
        <v>Clear</v>
      </c>
    </row>
    <row r="211" spans="1:21" x14ac:dyDescent="0.3">
      <c r="A211">
        <v>210</v>
      </c>
      <c r="B211" s="3">
        <v>40553</v>
      </c>
      <c r="C211" s="1">
        <v>1</v>
      </c>
      <c r="D211" s="1">
        <v>0</v>
      </c>
      <c r="E211" s="1">
        <v>1</v>
      </c>
      <c r="F211" s="1">
        <v>0</v>
      </c>
      <c r="G211" t="b">
        <v>0</v>
      </c>
      <c r="H211" s="1">
        <v>1</v>
      </c>
      <c r="I211" s="1">
        <v>1</v>
      </c>
      <c r="J211" s="2">
        <v>0.12</v>
      </c>
      <c r="K211" s="2">
        <v>0.1212</v>
      </c>
      <c r="L211" s="2">
        <v>0.5</v>
      </c>
      <c r="M211" s="2">
        <v>0.28360000000000002</v>
      </c>
      <c r="N211" s="1">
        <v>2</v>
      </c>
      <c r="O211" s="1">
        <v>3</v>
      </c>
      <c r="P211" s="1">
        <v>5</v>
      </c>
      <c r="Q211" s="1" t="str">
        <f>IF(WEEKDAY(Bike_Sharing_Master6[[#This Row],[Dteday]],2)&gt;=6,"Weekend","Weekday")</f>
        <v>Weekday</v>
      </c>
      <c r="R211" s="1" t="str">
        <f xml:space="preserve"> IF(Bike_Sharing_Master6[[#This Row],[Hr]]&lt;6,"Late Night", IF(Bike_Sharing_Master6[[#This Row],[Hr]]&lt;10,"Morning Peak", IF(Bike_Sharing_Master6[[#This Row],[Hr]]&lt;17,"Daytime", IF(Bike_Sharing_Master6[[#This Row],[Hr]]&lt;21,"Evening Peak","Night"))))</f>
        <v>Late Night</v>
      </c>
      <c r="S211" s="1" t="str">
        <f>IF(Bike_Sharing_Master6[[#This Row],[Holiday]]=1,"Holiday","Non-Holiday")</f>
        <v>Non-Holiday</v>
      </c>
      <c r="T211" s="1" t="str">
        <f>IF(Bike_Sharing_Master6[[#This Row],[Cnt]]&lt;80,"Low",IF(Bike_Sharing_Master6[[#This Row],[Cnt]]&lt;160,"Medium","High"))</f>
        <v>Low</v>
      </c>
      <c r="U211" s="1" t="str">
        <f>VLOOKUP(Bike_Sharing_Master6[[#This Row],[Weathersit]],[1]Lookup_Weather!A:B,2,FALSE)</f>
        <v>Clear</v>
      </c>
    </row>
    <row r="212" spans="1:21" x14ac:dyDescent="0.3">
      <c r="A212">
        <v>211</v>
      </c>
      <c r="B212" s="3">
        <v>40553</v>
      </c>
      <c r="C212" s="1">
        <v>1</v>
      </c>
      <c r="D212" s="1">
        <v>0</v>
      </c>
      <c r="E212" s="1">
        <v>1</v>
      </c>
      <c r="F212" s="1">
        <v>1</v>
      </c>
      <c r="G212" t="b">
        <v>0</v>
      </c>
      <c r="H212" s="1">
        <v>1</v>
      </c>
      <c r="I212" s="1">
        <v>1</v>
      </c>
      <c r="J212" s="2">
        <v>0.12</v>
      </c>
      <c r="K212" s="2">
        <v>0.1212</v>
      </c>
      <c r="L212" s="2">
        <v>0.5</v>
      </c>
      <c r="M212" s="2">
        <v>0.28360000000000002</v>
      </c>
      <c r="N212" s="1">
        <v>1</v>
      </c>
      <c r="O212" s="1">
        <v>0</v>
      </c>
      <c r="P212" s="1">
        <v>1</v>
      </c>
      <c r="Q212" s="1" t="str">
        <f>IF(WEEKDAY(Bike_Sharing_Master6[[#This Row],[Dteday]],2)&gt;=6,"Weekend","Weekday")</f>
        <v>Weekday</v>
      </c>
      <c r="R212" s="1" t="str">
        <f xml:space="preserve"> IF(Bike_Sharing_Master6[[#This Row],[Hr]]&lt;6,"Late Night", IF(Bike_Sharing_Master6[[#This Row],[Hr]]&lt;10,"Morning Peak", IF(Bike_Sharing_Master6[[#This Row],[Hr]]&lt;17,"Daytime", IF(Bike_Sharing_Master6[[#This Row],[Hr]]&lt;21,"Evening Peak","Night"))))</f>
        <v>Late Night</v>
      </c>
      <c r="S212" s="1" t="str">
        <f>IF(Bike_Sharing_Master6[[#This Row],[Holiday]]=1,"Holiday","Non-Holiday")</f>
        <v>Non-Holiday</v>
      </c>
      <c r="T212" s="1" t="str">
        <f>IF(Bike_Sharing_Master6[[#This Row],[Cnt]]&lt;80,"Low",IF(Bike_Sharing_Master6[[#This Row],[Cnt]]&lt;160,"Medium","High"))</f>
        <v>Low</v>
      </c>
      <c r="U212" s="1" t="str">
        <f>VLOOKUP(Bike_Sharing_Master6[[#This Row],[Weathersit]],[1]Lookup_Weather!A:B,2,FALSE)</f>
        <v>Clear</v>
      </c>
    </row>
    <row r="213" spans="1:21" x14ac:dyDescent="0.3">
      <c r="A213">
        <v>212</v>
      </c>
      <c r="B213" s="3">
        <v>40553</v>
      </c>
      <c r="C213" s="1">
        <v>1</v>
      </c>
      <c r="D213" s="1">
        <v>0</v>
      </c>
      <c r="E213" s="1">
        <v>1</v>
      </c>
      <c r="F213" s="1">
        <v>2</v>
      </c>
      <c r="G213" t="b">
        <v>0</v>
      </c>
      <c r="H213" s="1">
        <v>1</v>
      </c>
      <c r="I213" s="1">
        <v>1</v>
      </c>
      <c r="J213" s="2">
        <v>0.12</v>
      </c>
      <c r="K213" s="2">
        <v>0.1212</v>
      </c>
      <c r="L213" s="2">
        <v>0.5</v>
      </c>
      <c r="M213" s="2">
        <v>0.22389999999999999</v>
      </c>
      <c r="N213" s="1">
        <v>0</v>
      </c>
      <c r="O213" s="1">
        <v>3</v>
      </c>
      <c r="P213" s="1">
        <v>3</v>
      </c>
      <c r="Q213" s="1" t="str">
        <f>IF(WEEKDAY(Bike_Sharing_Master6[[#This Row],[Dteday]],2)&gt;=6,"Weekend","Weekday")</f>
        <v>Weekday</v>
      </c>
      <c r="R213" s="1" t="str">
        <f xml:space="preserve"> IF(Bike_Sharing_Master6[[#This Row],[Hr]]&lt;6,"Late Night", IF(Bike_Sharing_Master6[[#This Row],[Hr]]&lt;10,"Morning Peak", IF(Bike_Sharing_Master6[[#This Row],[Hr]]&lt;17,"Daytime", IF(Bike_Sharing_Master6[[#This Row],[Hr]]&lt;21,"Evening Peak","Night"))))</f>
        <v>Late Night</v>
      </c>
      <c r="S213" s="1" t="str">
        <f>IF(Bike_Sharing_Master6[[#This Row],[Holiday]]=1,"Holiday","Non-Holiday")</f>
        <v>Non-Holiday</v>
      </c>
      <c r="T213" s="1" t="str">
        <f>IF(Bike_Sharing_Master6[[#This Row],[Cnt]]&lt;80,"Low",IF(Bike_Sharing_Master6[[#This Row],[Cnt]]&lt;160,"Medium","High"))</f>
        <v>Low</v>
      </c>
      <c r="U213" s="1" t="str">
        <f>VLOOKUP(Bike_Sharing_Master6[[#This Row],[Weathersit]],[1]Lookup_Weather!A:B,2,FALSE)</f>
        <v>Clear</v>
      </c>
    </row>
    <row r="214" spans="1:21" x14ac:dyDescent="0.3">
      <c r="A214">
        <v>213</v>
      </c>
      <c r="B214" s="3">
        <v>40553</v>
      </c>
      <c r="C214" s="1">
        <v>1</v>
      </c>
      <c r="D214" s="1">
        <v>0</v>
      </c>
      <c r="E214" s="1">
        <v>1</v>
      </c>
      <c r="F214" s="1">
        <v>3</v>
      </c>
      <c r="G214" t="b">
        <v>0</v>
      </c>
      <c r="H214" s="1">
        <v>1</v>
      </c>
      <c r="I214" s="1">
        <v>1</v>
      </c>
      <c r="J214" s="2">
        <v>0.12</v>
      </c>
      <c r="K214" s="2">
        <v>0.1212</v>
      </c>
      <c r="L214" s="2">
        <v>0.5</v>
      </c>
      <c r="M214" s="2">
        <v>0.22389999999999999</v>
      </c>
      <c r="N214" s="1">
        <v>0</v>
      </c>
      <c r="O214" s="1">
        <v>1</v>
      </c>
      <c r="P214" s="1">
        <v>1</v>
      </c>
      <c r="Q214" s="1" t="str">
        <f>IF(WEEKDAY(Bike_Sharing_Master6[[#This Row],[Dteday]],2)&gt;=6,"Weekend","Weekday")</f>
        <v>Weekday</v>
      </c>
      <c r="R214" s="1" t="str">
        <f xml:space="preserve"> IF(Bike_Sharing_Master6[[#This Row],[Hr]]&lt;6,"Late Night", IF(Bike_Sharing_Master6[[#This Row],[Hr]]&lt;10,"Morning Peak", IF(Bike_Sharing_Master6[[#This Row],[Hr]]&lt;17,"Daytime", IF(Bike_Sharing_Master6[[#This Row],[Hr]]&lt;21,"Evening Peak","Night"))))</f>
        <v>Late Night</v>
      </c>
      <c r="S214" s="1" t="str">
        <f>IF(Bike_Sharing_Master6[[#This Row],[Holiday]]=1,"Holiday","Non-Holiday")</f>
        <v>Non-Holiday</v>
      </c>
      <c r="T214" s="1" t="str">
        <f>IF(Bike_Sharing_Master6[[#This Row],[Cnt]]&lt;80,"Low",IF(Bike_Sharing_Master6[[#This Row],[Cnt]]&lt;160,"Medium","High"))</f>
        <v>Low</v>
      </c>
      <c r="U214" s="1" t="str">
        <f>VLOOKUP(Bike_Sharing_Master6[[#This Row],[Weathersit]],[1]Lookup_Weather!A:B,2,FALSE)</f>
        <v>Clear</v>
      </c>
    </row>
    <row r="215" spans="1:21" x14ac:dyDescent="0.3">
      <c r="A215">
        <v>214</v>
      </c>
      <c r="B215" s="3">
        <v>40553</v>
      </c>
      <c r="C215" s="1">
        <v>1</v>
      </c>
      <c r="D215" s="1">
        <v>0</v>
      </c>
      <c r="E215" s="1">
        <v>1</v>
      </c>
      <c r="F215" s="1">
        <v>4</v>
      </c>
      <c r="G215" t="b">
        <v>0</v>
      </c>
      <c r="H215" s="1">
        <v>1</v>
      </c>
      <c r="I215" s="1">
        <v>1</v>
      </c>
      <c r="J215" s="2">
        <v>0.1</v>
      </c>
      <c r="K215" s="2">
        <v>0.1212</v>
      </c>
      <c r="L215" s="2">
        <v>0.54</v>
      </c>
      <c r="M215" s="2">
        <v>0.1343</v>
      </c>
      <c r="N215" s="1">
        <v>1</v>
      </c>
      <c r="O215" s="1">
        <v>2</v>
      </c>
      <c r="P215" s="1">
        <v>3</v>
      </c>
      <c r="Q215" s="1" t="str">
        <f>IF(WEEKDAY(Bike_Sharing_Master6[[#This Row],[Dteday]],2)&gt;=6,"Weekend","Weekday")</f>
        <v>Weekday</v>
      </c>
      <c r="R215" s="1" t="str">
        <f xml:space="preserve"> IF(Bike_Sharing_Master6[[#This Row],[Hr]]&lt;6,"Late Night", IF(Bike_Sharing_Master6[[#This Row],[Hr]]&lt;10,"Morning Peak", IF(Bike_Sharing_Master6[[#This Row],[Hr]]&lt;17,"Daytime", IF(Bike_Sharing_Master6[[#This Row],[Hr]]&lt;21,"Evening Peak","Night"))))</f>
        <v>Late Night</v>
      </c>
      <c r="S215" s="1" t="str">
        <f>IF(Bike_Sharing_Master6[[#This Row],[Holiday]]=1,"Holiday","Non-Holiday")</f>
        <v>Non-Holiday</v>
      </c>
      <c r="T215" s="1" t="str">
        <f>IF(Bike_Sharing_Master6[[#This Row],[Cnt]]&lt;80,"Low",IF(Bike_Sharing_Master6[[#This Row],[Cnt]]&lt;160,"Medium","High"))</f>
        <v>Low</v>
      </c>
      <c r="U215" s="1" t="str">
        <f>VLOOKUP(Bike_Sharing_Master6[[#This Row],[Weathersit]],[1]Lookup_Weather!A:B,2,FALSE)</f>
        <v>Clear</v>
      </c>
    </row>
    <row r="216" spans="1:21" x14ac:dyDescent="0.3">
      <c r="A216">
        <v>215</v>
      </c>
      <c r="B216" s="3">
        <v>40553</v>
      </c>
      <c r="C216" s="1">
        <v>1</v>
      </c>
      <c r="D216" s="1">
        <v>0</v>
      </c>
      <c r="E216" s="1">
        <v>1</v>
      </c>
      <c r="F216" s="1">
        <v>5</v>
      </c>
      <c r="G216" t="b">
        <v>0</v>
      </c>
      <c r="H216" s="1">
        <v>1</v>
      </c>
      <c r="I216" s="1">
        <v>1</v>
      </c>
      <c r="J216" s="2">
        <v>0.1</v>
      </c>
      <c r="K216" s="2">
        <v>0.1061</v>
      </c>
      <c r="L216" s="2">
        <v>0.54</v>
      </c>
      <c r="M216" s="2">
        <v>0.25369999999999998</v>
      </c>
      <c r="N216" s="1">
        <v>0</v>
      </c>
      <c r="O216" s="1">
        <v>3</v>
      </c>
      <c r="P216" s="1">
        <v>3</v>
      </c>
      <c r="Q216" s="1" t="str">
        <f>IF(WEEKDAY(Bike_Sharing_Master6[[#This Row],[Dteday]],2)&gt;=6,"Weekend","Weekday")</f>
        <v>Weekday</v>
      </c>
      <c r="R216" s="1" t="str">
        <f xml:space="preserve"> IF(Bike_Sharing_Master6[[#This Row],[Hr]]&lt;6,"Late Night", IF(Bike_Sharing_Master6[[#This Row],[Hr]]&lt;10,"Morning Peak", IF(Bike_Sharing_Master6[[#This Row],[Hr]]&lt;17,"Daytime", IF(Bike_Sharing_Master6[[#This Row],[Hr]]&lt;21,"Evening Peak","Night"))))</f>
        <v>Late Night</v>
      </c>
      <c r="S216" s="1" t="str">
        <f>IF(Bike_Sharing_Master6[[#This Row],[Holiday]]=1,"Holiday","Non-Holiday")</f>
        <v>Non-Holiday</v>
      </c>
      <c r="T216" s="1" t="str">
        <f>IF(Bike_Sharing_Master6[[#This Row],[Cnt]]&lt;80,"Low",IF(Bike_Sharing_Master6[[#This Row],[Cnt]]&lt;160,"Medium","High"))</f>
        <v>Low</v>
      </c>
      <c r="U216" s="1" t="str">
        <f>VLOOKUP(Bike_Sharing_Master6[[#This Row],[Weathersit]],[1]Lookup_Weather!A:B,2,FALSE)</f>
        <v>Clear</v>
      </c>
    </row>
    <row r="217" spans="1:21" x14ac:dyDescent="0.3">
      <c r="A217">
        <v>216</v>
      </c>
      <c r="B217" s="3">
        <v>40553</v>
      </c>
      <c r="C217" s="1">
        <v>1</v>
      </c>
      <c r="D217" s="1">
        <v>0</v>
      </c>
      <c r="E217" s="1">
        <v>1</v>
      </c>
      <c r="F217" s="1">
        <v>6</v>
      </c>
      <c r="G217" t="b">
        <v>0</v>
      </c>
      <c r="H217" s="1">
        <v>1</v>
      </c>
      <c r="I217" s="1">
        <v>1</v>
      </c>
      <c r="J217" s="2">
        <v>0.12</v>
      </c>
      <c r="K217" s="2">
        <v>0.1212</v>
      </c>
      <c r="L217" s="2">
        <v>0.5</v>
      </c>
      <c r="M217" s="2">
        <v>0.28360000000000002</v>
      </c>
      <c r="N217" s="1">
        <v>0</v>
      </c>
      <c r="O217" s="1">
        <v>31</v>
      </c>
      <c r="P217" s="1">
        <v>31</v>
      </c>
      <c r="Q217" s="1" t="str">
        <f>IF(WEEKDAY(Bike_Sharing_Master6[[#This Row],[Dteday]],2)&gt;=6,"Weekend","Weekday")</f>
        <v>Weekday</v>
      </c>
      <c r="R217" s="1" t="str">
        <f xml:space="preserve"> IF(Bike_Sharing_Master6[[#This Row],[Hr]]&lt;6,"Late Night", IF(Bike_Sharing_Master6[[#This Row],[Hr]]&lt;10,"Morning Peak", IF(Bike_Sharing_Master6[[#This Row],[Hr]]&lt;17,"Daytime", IF(Bike_Sharing_Master6[[#This Row],[Hr]]&lt;21,"Evening Peak","Night"))))</f>
        <v>Morning Peak</v>
      </c>
      <c r="S217" s="1" t="str">
        <f>IF(Bike_Sharing_Master6[[#This Row],[Holiday]]=1,"Holiday","Non-Holiday")</f>
        <v>Non-Holiday</v>
      </c>
      <c r="T217" s="1" t="str">
        <f>IF(Bike_Sharing_Master6[[#This Row],[Cnt]]&lt;80,"Low",IF(Bike_Sharing_Master6[[#This Row],[Cnt]]&lt;160,"Medium","High"))</f>
        <v>Low</v>
      </c>
      <c r="U217" s="1" t="str">
        <f>VLOOKUP(Bike_Sharing_Master6[[#This Row],[Weathersit]],[1]Lookup_Weather!A:B,2,FALSE)</f>
        <v>Clear</v>
      </c>
    </row>
    <row r="218" spans="1:21" x14ac:dyDescent="0.3">
      <c r="A218">
        <v>217</v>
      </c>
      <c r="B218" s="3">
        <v>40553</v>
      </c>
      <c r="C218" s="1">
        <v>1</v>
      </c>
      <c r="D218" s="1">
        <v>0</v>
      </c>
      <c r="E218" s="1">
        <v>1</v>
      </c>
      <c r="F218" s="1">
        <v>7</v>
      </c>
      <c r="G218" t="b">
        <v>0</v>
      </c>
      <c r="H218" s="1">
        <v>1</v>
      </c>
      <c r="I218" s="1">
        <v>1</v>
      </c>
      <c r="J218" s="2">
        <v>0.12</v>
      </c>
      <c r="K218" s="2">
        <v>0.1212</v>
      </c>
      <c r="L218" s="2">
        <v>0.5</v>
      </c>
      <c r="M218" s="2">
        <v>0.22389999999999999</v>
      </c>
      <c r="N218" s="1">
        <v>2</v>
      </c>
      <c r="O218" s="1">
        <v>75</v>
      </c>
      <c r="P218" s="1">
        <v>77</v>
      </c>
      <c r="Q218" s="1" t="str">
        <f>IF(WEEKDAY(Bike_Sharing_Master6[[#This Row],[Dteday]],2)&gt;=6,"Weekend","Weekday")</f>
        <v>Weekday</v>
      </c>
      <c r="R218" s="1" t="str">
        <f xml:space="preserve"> IF(Bike_Sharing_Master6[[#This Row],[Hr]]&lt;6,"Late Night", IF(Bike_Sharing_Master6[[#This Row],[Hr]]&lt;10,"Morning Peak", IF(Bike_Sharing_Master6[[#This Row],[Hr]]&lt;17,"Daytime", IF(Bike_Sharing_Master6[[#This Row],[Hr]]&lt;21,"Evening Peak","Night"))))</f>
        <v>Morning Peak</v>
      </c>
      <c r="S218" s="1" t="str">
        <f>IF(Bike_Sharing_Master6[[#This Row],[Holiday]]=1,"Holiday","Non-Holiday")</f>
        <v>Non-Holiday</v>
      </c>
      <c r="T218" s="1" t="str">
        <f>IF(Bike_Sharing_Master6[[#This Row],[Cnt]]&lt;80,"Low",IF(Bike_Sharing_Master6[[#This Row],[Cnt]]&lt;160,"Medium","High"))</f>
        <v>Low</v>
      </c>
      <c r="U218" s="1" t="str">
        <f>VLOOKUP(Bike_Sharing_Master6[[#This Row],[Weathersit]],[1]Lookup_Weather!A:B,2,FALSE)</f>
        <v>Clear</v>
      </c>
    </row>
    <row r="219" spans="1:21" x14ac:dyDescent="0.3">
      <c r="A219">
        <v>218</v>
      </c>
      <c r="B219" s="3">
        <v>40553</v>
      </c>
      <c r="C219" s="1">
        <v>1</v>
      </c>
      <c r="D219" s="1">
        <v>0</v>
      </c>
      <c r="E219" s="1">
        <v>1</v>
      </c>
      <c r="F219" s="1">
        <v>8</v>
      </c>
      <c r="G219" t="b">
        <v>0</v>
      </c>
      <c r="H219" s="1">
        <v>1</v>
      </c>
      <c r="I219" s="1">
        <v>2</v>
      </c>
      <c r="J219" s="2">
        <v>0.12</v>
      </c>
      <c r="K219" s="2">
        <v>0.1212</v>
      </c>
      <c r="L219" s="2">
        <v>0.5</v>
      </c>
      <c r="M219" s="2">
        <v>0.28360000000000002</v>
      </c>
      <c r="N219" s="1">
        <v>4</v>
      </c>
      <c r="O219" s="1">
        <v>184</v>
      </c>
      <c r="P219" s="1">
        <v>188</v>
      </c>
      <c r="Q219" s="1" t="str">
        <f>IF(WEEKDAY(Bike_Sharing_Master6[[#This Row],[Dteday]],2)&gt;=6,"Weekend","Weekday")</f>
        <v>Weekday</v>
      </c>
      <c r="R219" s="1" t="str">
        <f xml:space="preserve"> IF(Bike_Sharing_Master6[[#This Row],[Hr]]&lt;6,"Late Night", IF(Bike_Sharing_Master6[[#This Row],[Hr]]&lt;10,"Morning Peak", IF(Bike_Sharing_Master6[[#This Row],[Hr]]&lt;17,"Daytime", IF(Bike_Sharing_Master6[[#This Row],[Hr]]&lt;21,"Evening Peak","Night"))))</f>
        <v>Morning Peak</v>
      </c>
      <c r="S219" s="1" t="str">
        <f>IF(Bike_Sharing_Master6[[#This Row],[Holiday]]=1,"Holiday","Non-Holiday")</f>
        <v>Non-Holiday</v>
      </c>
      <c r="T219" s="1" t="str">
        <f>IF(Bike_Sharing_Master6[[#This Row],[Cnt]]&lt;80,"Low",IF(Bike_Sharing_Master6[[#This Row],[Cnt]]&lt;160,"Medium","High"))</f>
        <v>High</v>
      </c>
      <c r="U219" s="1" t="str">
        <f>VLOOKUP(Bike_Sharing_Master6[[#This Row],[Weathersit]],[1]Lookup_Weather!A:B,2,FALSE)</f>
        <v>Mist</v>
      </c>
    </row>
    <row r="220" spans="1:21" x14ac:dyDescent="0.3">
      <c r="A220">
        <v>219</v>
      </c>
      <c r="B220" s="3">
        <v>40553</v>
      </c>
      <c r="C220" s="1">
        <v>1</v>
      </c>
      <c r="D220" s="1">
        <v>0</v>
      </c>
      <c r="E220" s="1">
        <v>1</v>
      </c>
      <c r="F220" s="1">
        <v>9</v>
      </c>
      <c r="G220" t="b">
        <v>0</v>
      </c>
      <c r="H220" s="1">
        <v>1</v>
      </c>
      <c r="I220" s="1">
        <v>2</v>
      </c>
      <c r="J220" s="2">
        <v>0.14000000000000001</v>
      </c>
      <c r="K220" s="2">
        <v>0.1212</v>
      </c>
      <c r="L220" s="2">
        <v>0.5</v>
      </c>
      <c r="M220" s="2">
        <v>0.25369999999999998</v>
      </c>
      <c r="N220" s="1">
        <v>2</v>
      </c>
      <c r="O220" s="1">
        <v>92</v>
      </c>
      <c r="P220" s="1">
        <v>94</v>
      </c>
      <c r="Q220" s="1" t="str">
        <f>IF(WEEKDAY(Bike_Sharing_Master6[[#This Row],[Dteday]],2)&gt;=6,"Weekend","Weekday")</f>
        <v>Weekday</v>
      </c>
      <c r="R220" s="1" t="str">
        <f xml:space="preserve"> IF(Bike_Sharing_Master6[[#This Row],[Hr]]&lt;6,"Late Night", IF(Bike_Sharing_Master6[[#This Row],[Hr]]&lt;10,"Morning Peak", IF(Bike_Sharing_Master6[[#This Row],[Hr]]&lt;17,"Daytime", IF(Bike_Sharing_Master6[[#This Row],[Hr]]&lt;21,"Evening Peak","Night"))))</f>
        <v>Morning Peak</v>
      </c>
      <c r="S220" s="1" t="str">
        <f>IF(Bike_Sharing_Master6[[#This Row],[Holiday]]=1,"Holiday","Non-Holiday")</f>
        <v>Non-Holiday</v>
      </c>
      <c r="T220" s="1" t="str">
        <f>IF(Bike_Sharing_Master6[[#This Row],[Cnt]]&lt;80,"Low",IF(Bike_Sharing_Master6[[#This Row],[Cnt]]&lt;160,"Medium","High"))</f>
        <v>Medium</v>
      </c>
      <c r="U220" s="1" t="str">
        <f>VLOOKUP(Bike_Sharing_Master6[[#This Row],[Weathersit]],[1]Lookup_Weather!A:B,2,FALSE)</f>
        <v>Mist</v>
      </c>
    </row>
    <row r="221" spans="1:21" x14ac:dyDescent="0.3">
      <c r="A221">
        <v>220</v>
      </c>
      <c r="B221" s="3">
        <v>40553</v>
      </c>
      <c r="C221" s="1">
        <v>1</v>
      </c>
      <c r="D221" s="1">
        <v>0</v>
      </c>
      <c r="E221" s="1">
        <v>1</v>
      </c>
      <c r="F221" s="1">
        <v>10</v>
      </c>
      <c r="G221" t="b">
        <v>0</v>
      </c>
      <c r="H221" s="1">
        <v>1</v>
      </c>
      <c r="I221" s="1">
        <v>2</v>
      </c>
      <c r="J221" s="2">
        <v>0.14000000000000001</v>
      </c>
      <c r="K221" s="2">
        <v>0.1212</v>
      </c>
      <c r="L221" s="2">
        <v>0.5</v>
      </c>
      <c r="M221" s="2">
        <v>0.29849999999999999</v>
      </c>
      <c r="N221" s="1">
        <v>0</v>
      </c>
      <c r="O221" s="1">
        <v>31</v>
      </c>
      <c r="P221" s="1">
        <v>31</v>
      </c>
      <c r="Q221" s="1" t="str">
        <f>IF(WEEKDAY(Bike_Sharing_Master6[[#This Row],[Dteday]],2)&gt;=6,"Weekend","Weekday")</f>
        <v>Weekday</v>
      </c>
      <c r="R221" s="1" t="str">
        <f xml:space="preserve"> IF(Bike_Sharing_Master6[[#This Row],[Hr]]&lt;6,"Late Night", IF(Bike_Sharing_Master6[[#This Row],[Hr]]&lt;10,"Morning Peak", IF(Bike_Sharing_Master6[[#This Row],[Hr]]&lt;17,"Daytime", IF(Bike_Sharing_Master6[[#This Row],[Hr]]&lt;21,"Evening Peak","Night"))))</f>
        <v>Daytime</v>
      </c>
      <c r="S221" s="1" t="str">
        <f>IF(Bike_Sharing_Master6[[#This Row],[Holiday]]=1,"Holiday","Non-Holiday")</f>
        <v>Non-Holiday</v>
      </c>
      <c r="T221" s="1" t="str">
        <f>IF(Bike_Sharing_Master6[[#This Row],[Cnt]]&lt;80,"Low",IF(Bike_Sharing_Master6[[#This Row],[Cnt]]&lt;160,"Medium","High"))</f>
        <v>Low</v>
      </c>
      <c r="U221" s="1" t="str">
        <f>VLOOKUP(Bike_Sharing_Master6[[#This Row],[Weathersit]],[1]Lookup_Weather!A:B,2,FALSE)</f>
        <v>Mist</v>
      </c>
    </row>
    <row r="222" spans="1:21" x14ac:dyDescent="0.3">
      <c r="A222">
        <v>221</v>
      </c>
      <c r="B222" s="3">
        <v>40553</v>
      </c>
      <c r="C222" s="1">
        <v>1</v>
      </c>
      <c r="D222" s="1">
        <v>0</v>
      </c>
      <c r="E222" s="1">
        <v>1</v>
      </c>
      <c r="F222" s="1">
        <v>11</v>
      </c>
      <c r="G222" t="b">
        <v>0</v>
      </c>
      <c r="H222" s="1">
        <v>1</v>
      </c>
      <c r="I222" s="1">
        <v>2</v>
      </c>
      <c r="J222" s="2">
        <v>0.16</v>
      </c>
      <c r="K222" s="2">
        <v>0.13639999999999999</v>
      </c>
      <c r="L222" s="2">
        <v>0.47</v>
      </c>
      <c r="M222" s="2">
        <v>0.28360000000000002</v>
      </c>
      <c r="N222" s="1">
        <v>2</v>
      </c>
      <c r="O222" s="1">
        <v>28</v>
      </c>
      <c r="P222" s="1">
        <v>30</v>
      </c>
      <c r="Q222" s="1" t="str">
        <f>IF(WEEKDAY(Bike_Sharing_Master6[[#This Row],[Dteday]],2)&gt;=6,"Weekend","Weekday")</f>
        <v>Weekday</v>
      </c>
      <c r="R222" s="1" t="str">
        <f xml:space="preserve"> IF(Bike_Sharing_Master6[[#This Row],[Hr]]&lt;6,"Late Night", IF(Bike_Sharing_Master6[[#This Row],[Hr]]&lt;10,"Morning Peak", IF(Bike_Sharing_Master6[[#This Row],[Hr]]&lt;17,"Daytime", IF(Bike_Sharing_Master6[[#This Row],[Hr]]&lt;21,"Evening Peak","Night"))))</f>
        <v>Daytime</v>
      </c>
      <c r="S222" s="1" t="str">
        <f>IF(Bike_Sharing_Master6[[#This Row],[Holiday]]=1,"Holiday","Non-Holiday")</f>
        <v>Non-Holiday</v>
      </c>
      <c r="T222" s="1" t="str">
        <f>IF(Bike_Sharing_Master6[[#This Row],[Cnt]]&lt;80,"Low",IF(Bike_Sharing_Master6[[#This Row],[Cnt]]&lt;160,"Medium","High"))</f>
        <v>Low</v>
      </c>
      <c r="U222" s="1" t="str">
        <f>VLOOKUP(Bike_Sharing_Master6[[#This Row],[Weathersit]],[1]Lookup_Weather!A:B,2,FALSE)</f>
        <v>Mist</v>
      </c>
    </row>
    <row r="223" spans="1:21" x14ac:dyDescent="0.3">
      <c r="A223">
        <v>222</v>
      </c>
      <c r="B223" s="3">
        <v>40553</v>
      </c>
      <c r="C223" s="1">
        <v>1</v>
      </c>
      <c r="D223" s="1">
        <v>0</v>
      </c>
      <c r="E223" s="1">
        <v>1</v>
      </c>
      <c r="F223" s="1">
        <v>12</v>
      </c>
      <c r="G223" t="b">
        <v>0</v>
      </c>
      <c r="H223" s="1">
        <v>1</v>
      </c>
      <c r="I223" s="1">
        <v>2</v>
      </c>
      <c r="J223" s="2">
        <v>0.2</v>
      </c>
      <c r="K223" s="2">
        <v>0.18179999999999999</v>
      </c>
      <c r="L223" s="2">
        <v>0.4</v>
      </c>
      <c r="M223" s="2">
        <v>0.28360000000000002</v>
      </c>
      <c r="N223" s="1">
        <v>5</v>
      </c>
      <c r="O223" s="1">
        <v>47</v>
      </c>
      <c r="P223" s="1">
        <v>52</v>
      </c>
      <c r="Q223" s="1" t="str">
        <f>IF(WEEKDAY(Bike_Sharing_Master6[[#This Row],[Dteday]],2)&gt;=6,"Weekend","Weekday")</f>
        <v>Weekday</v>
      </c>
      <c r="R223" s="1" t="str">
        <f xml:space="preserve"> IF(Bike_Sharing_Master6[[#This Row],[Hr]]&lt;6,"Late Night", IF(Bike_Sharing_Master6[[#This Row],[Hr]]&lt;10,"Morning Peak", IF(Bike_Sharing_Master6[[#This Row],[Hr]]&lt;17,"Daytime", IF(Bike_Sharing_Master6[[#This Row],[Hr]]&lt;21,"Evening Peak","Night"))))</f>
        <v>Daytime</v>
      </c>
      <c r="S223" s="1" t="str">
        <f>IF(Bike_Sharing_Master6[[#This Row],[Holiday]]=1,"Holiday","Non-Holiday")</f>
        <v>Non-Holiday</v>
      </c>
      <c r="T223" s="1" t="str">
        <f>IF(Bike_Sharing_Master6[[#This Row],[Cnt]]&lt;80,"Low",IF(Bike_Sharing_Master6[[#This Row],[Cnt]]&lt;160,"Medium","High"))</f>
        <v>Low</v>
      </c>
      <c r="U223" s="1" t="str">
        <f>VLOOKUP(Bike_Sharing_Master6[[#This Row],[Weathersit]],[1]Lookup_Weather!A:B,2,FALSE)</f>
        <v>Mist</v>
      </c>
    </row>
    <row r="224" spans="1:21" x14ac:dyDescent="0.3">
      <c r="A224">
        <v>223</v>
      </c>
      <c r="B224" s="3">
        <v>40553</v>
      </c>
      <c r="C224" s="1">
        <v>1</v>
      </c>
      <c r="D224" s="1">
        <v>0</v>
      </c>
      <c r="E224" s="1">
        <v>1</v>
      </c>
      <c r="F224" s="1">
        <v>13</v>
      </c>
      <c r="G224" t="b">
        <v>0</v>
      </c>
      <c r="H224" s="1">
        <v>1</v>
      </c>
      <c r="I224" s="1">
        <v>2</v>
      </c>
      <c r="J224" s="2">
        <v>0.2</v>
      </c>
      <c r="K224" s="2">
        <v>0.18179999999999999</v>
      </c>
      <c r="L224" s="2">
        <v>0.4</v>
      </c>
      <c r="M224" s="2">
        <v>0.28360000000000002</v>
      </c>
      <c r="N224" s="1">
        <v>4</v>
      </c>
      <c r="O224" s="1">
        <v>50</v>
      </c>
      <c r="P224" s="1">
        <v>54</v>
      </c>
      <c r="Q224" s="1" t="str">
        <f>IF(WEEKDAY(Bike_Sharing_Master6[[#This Row],[Dteday]],2)&gt;=6,"Weekend","Weekday")</f>
        <v>Weekday</v>
      </c>
      <c r="R224" s="1" t="str">
        <f xml:space="preserve"> IF(Bike_Sharing_Master6[[#This Row],[Hr]]&lt;6,"Late Night", IF(Bike_Sharing_Master6[[#This Row],[Hr]]&lt;10,"Morning Peak", IF(Bike_Sharing_Master6[[#This Row],[Hr]]&lt;17,"Daytime", IF(Bike_Sharing_Master6[[#This Row],[Hr]]&lt;21,"Evening Peak","Night"))))</f>
        <v>Daytime</v>
      </c>
      <c r="S224" s="1" t="str">
        <f>IF(Bike_Sharing_Master6[[#This Row],[Holiday]]=1,"Holiday","Non-Holiday")</f>
        <v>Non-Holiday</v>
      </c>
      <c r="T224" s="1" t="str">
        <f>IF(Bike_Sharing_Master6[[#This Row],[Cnt]]&lt;80,"Low",IF(Bike_Sharing_Master6[[#This Row],[Cnt]]&lt;160,"Medium","High"))</f>
        <v>Low</v>
      </c>
      <c r="U224" s="1" t="str">
        <f>VLOOKUP(Bike_Sharing_Master6[[#This Row],[Weathersit]],[1]Lookup_Weather!A:B,2,FALSE)</f>
        <v>Mist</v>
      </c>
    </row>
    <row r="225" spans="1:21" x14ac:dyDescent="0.3">
      <c r="A225">
        <v>224</v>
      </c>
      <c r="B225" s="3">
        <v>40553</v>
      </c>
      <c r="C225" s="1">
        <v>1</v>
      </c>
      <c r="D225" s="1">
        <v>0</v>
      </c>
      <c r="E225" s="1">
        <v>1</v>
      </c>
      <c r="F225" s="1">
        <v>14</v>
      </c>
      <c r="G225" t="b">
        <v>0</v>
      </c>
      <c r="H225" s="1">
        <v>1</v>
      </c>
      <c r="I225" s="1">
        <v>2</v>
      </c>
      <c r="J225" s="2">
        <v>0.2</v>
      </c>
      <c r="K225" s="2">
        <v>0.19700000000000001</v>
      </c>
      <c r="L225" s="2">
        <v>0.4</v>
      </c>
      <c r="M225" s="2">
        <v>0.22389999999999999</v>
      </c>
      <c r="N225" s="1">
        <v>0</v>
      </c>
      <c r="O225" s="1">
        <v>47</v>
      </c>
      <c r="P225" s="1">
        <v>47</v>
      </c>
      <c r="Q225" s="1" t="str">
        <f>IF(WEEKDAY(Bike_Sharing_Master6[[#This Row],[Dteday]],2)&gt;=6,"Weekend","Weekday")</f>
        <v>Weekday</v>
      </c>
      <c r="R225" s="1" t="str">
        <f xml:space="preserve"> IF(Bike_Sharing_Master6[[#This Row],[Hr]]&lt;6,"Late Night", IF(Bike_Sharing_Master6[[#This Row],[Hr]]&lt;10,"Morning Peak", IF(Bike_Sharing_Master6[[#This Row],[Hr]]&lt;17,"Daytime", IF(Bike_Sharing_Master6[[#This Row],[Hr]]&lt;21,"Evening Peak","Night"))))</f>
        <v>Daytime</v>
      </c>
      <c r="S225" s="1" t="str">
        <f>IF(Bike_Sharing_Master6[[#This Row],[Holiday]]=1,"Holiday","Non-Holiday")</f>
        <v>Non-Holiday</v>
      </c>
      <c r="T225" s="1" t="str">
        <f>IF(Bike_Sharing_Master6[[#This Row],[Cnt]]&lt;80,"Low",IF(Bike_Sharing_Master6[[#This Row],[Cnt]]&lt;160,"Medium","High"))</f>
        <v>Low</v>
      </c>
      <c r="U225" s="1" t="str">
        <f>VLOOKUP(Bike_Sharing_Master6[[#This Row],[Weathersit]],[1]Lookup_Weather!A:B,2,FALSE)</f>
        <v>Mist</v>
      </c>
    </row>
    <row r="226" spans="1:21" x14ac:dyDescent="0.3">
      <c r="A226">
        <v>225</v>
      </c>
      <c r="B226" s="3">
        <v>40553</v>
      </c>
      <c r="C226" s="1">
        <v>1</v>
      </c>
      <c r="D226" s="1">
        <v>0</v>
      </c>
      <c r="E226" s="1">
        <v>1</v>
      </c>
      <c r="F226" s="1">
        <v>15</v>
      </c>
      <c r="G226" t="b">
        <v>0</v>
      </c>
      <c r="H226" s="1">
        <v>1</v>
      </c>
      <c r="I226" s="1">
        <v>2</v>
      </c>
      <c r="J226" s="2">
        <v>0.2</v>
      </c>
      <c r="K226" s="2">
        <v>0.19700000000000001</v>
      </c>
      <c r="L226" s="2">
        <v>0.4</v>
      </c>
      <c r="M226" s="2">
        <v>0.22389999999999999</v>
      </c>
      <c r="N226" s="1">
        <v>2</v>
      </c>
      <c r="O226" s="1">
        <v>43</v>
      </c>
      <c r="P226" s="1">
        <v>45</v>
      </c>
      <c r="Q226" s="1" t="str">
        <f>IF(WEEKDAY(Bike_Sharing_Master6[[#This Row],[Dteday]],2)&gt;=6,"Weekend","Weekday")</f>
        <v>Weekday</v>
      </c>
      <c r="R226" s="1" t="str">
        <f xml:space="preserve"> IF(Bike_Sharing_Master6[[#This Row],[Hr]]&lt;6,"Late Night", IF(Bike_Sharing_Master6[[#This Row],[Hr]]&lt;10,"Morning Peak", IF(Bike_Sharing_Master6[[#This Row],[Hr]]&lt;17,"Daytime", IF(Bike_Sharing_Master6[[#This Row],[Hr]]&lt;21,"Evening Peak","Night"))))</f>
        <v>Daytime</v>
      </c>
      <c r="S226" s="1" t="str">
        <f>IF(Bike_Sharing_Master6[[#This Row],[Holiday]]=1,"Holiday","Non-Holiday")</f>
        <v>Non-Holiday</v>
      </c>
      <c r="T226" s="1" t="str">
        <f>IF(Bike_Sharing_Master6[[#This Row],[Cnt]]&lt;80,"Low",IF(Bike_Sharing_Master6[[#This Row],[Cnt]]&lt;160,"Medium","High"))</f>
        <v>Low</v>
      </c>
      <c r="U226" s="1" t="str">
        <f>VLOOKUP(Bike_Sharing_Master6[[#This Row],[Weathersit]],[1]Lookup_Weather!A:B,2,FALSE)</f>
        <v>Mist</v>
      </c>
    </row>
    <row r="227" spans="1:21" x14ac:dyDescent="0.3">
      <c r="A227">
        <v>226</v>
      </c>
      <c r="B227" s="3">
        <v>40553</v>
      </c>
      <c r="C227" s="1">
        <v>1</v>
      </c>
      <c r="D227" s="1">
        <v>0</v>
      </c>
      <c r="E227" s="1">
        <v>1</v>
      </c>
      <c r="F227" s="1">
        <v>16</v>
      </c>
      <c r="G227" t="b">
        <v>0</v>
      </c>
      <c r="H227" s="1">
        <v>1</v>
      </c>
      <c r="I227" s="1">
        <v>1</v>
      </c>
      <c r="J227" s="2">
        <v>0.2</v>
      </c>
      <c r="K227" s="2">
        <v>0.21210000000000001</v>
      </c>
      <c r="L227" s="2">
        <v>0.4</v>
      </c>
      <c r="M227" s="2">
        <v>0.1343</v>
      </c>
      <c r="N227" s="1">
        <v>4</v>
      </c>
      <c r="O227" s="1">
        <v>70</v>
      </c>
      <c r="P227" s="1">
        <v>74</v>
      </c>
      <c r="Q227" s="1" t="str">
        <f>IF(WEEKDAY(Bike_Sharing_Master6[[#This Row],[Dteday]],2)&gt;=6,"Weekend","Weekday")</f>
        <v>Weekday</v>
      </c>
      <c r="R227" s="1" t="str">
        <f xml:space="preserve"> IF(Bike_Sharing_Master6[[#This Row],[Hr]]&lt;6,"Late Night", IF(Bike_Sharing_Master6[[#This Row],[Hr]]&lt;10,"Morning Peak", IF(Bike_Sharing_Master6[[#This Row],[Hr]]&lt;17,"Daytime", IF(Bike_Sharing_Master6[[#This Row],[Hr]]&lt;21,"Evening Peak","Night"))))</f>
        <v>Daytime</v>
      </c>
      <c r="S227" s="1" t="str">
        <f>IF(Bike_Sharing_Master6[[#This Row],[Holiday]]=1,"Holiday","Non-Holiday")</f>
        <v>Non-Holiday</v>
      </c>
      <c r="T227" s="1" t="str">
        <f>IF(Bike_Sharing_Master6[[#This Row],[Cnt]]&lt;80,"Low",IF(Bike_Sharing_Master6[[#This Row],[Cnt]]&lt;160,"Medium","High"))</f>
        <v>Low</v>
      </c>
      <c r="U227" s="1" t="str">
        <f>VLOOKUP(Bike_Sharing_Master6[[#This Row],[Weathersit]],[1]Lookup_Weather!A:B,2,FALSE)</f>
        <v>Clear</v>
      </c>
    </row>
    <row r="228" spans="1:21" x14ac:dyDescent="0.3">
      <c r="A228">
        <v>227</v>
      </c>
      <c r="B228" s="3">
        <v>40553</v>
      </c>
      <c r="C228" s="1">
        <v>1</v>
      </c>
      <c r="D228" s="1">
        <v>0</v>
      </c>
      <c r="E228" s="1">
        <v>1</v>
      </c>
      <c r="F228" s="1">
        <v>17</v>
      </c>
      <c r="G228" t="b">
        <v>0</v>
      </c>
      <c r="H228" s="1">
        <v>1</v>
      </c>
      <c r="I228" s="1">
        <v>1</v>
      </c>
      <c r="J228" s="2">
        <v>0.2</v>
      </c>
      <c r="K228" s="2">
        <v>0.2273</v>
      </c>
      <c r="L228" s="2">
        <v>0.4</v>
      </c>
      <c r="M228" s="2">
        <v>0.1045</v>
      </c>
      <c r="N228" s="1">
        <v>4</v>
      </c>
      <c r="O228" s="1">
        <v>174</v>
      </c>
      <c r="P228" s="1">
        <v>178</v>
      </c>
      <c r="Q228" s="1" t="str">
        <f>IF(WEEKDAY(Bike_Sharing_Master6[[#This Row],[Dteday]],2)&gt;=6,"Weekend","Weekday")</f>
        <v>Weekday</v>
      </c>
      <c r="R228" s="1" t="str">
        <f xml:space="preserve"> IF(Bike_Sharing_Master6[[#This Row],[Hr]]&lt;6,"Late Night", IF(Bike_Sharing_Master6[[#This Row],[Hr]]&lt;10,"Morning Peak", IF(Bike_Sharing_Master6[[#This Row],[Hr]]&lt;17,"Daytime", IF(Bike_Sharing_Master6[[#This Row],[Hr]]&lt;21,"Evening Peak","Night"))))</f>
        <v>Evening Peak</v>
      </c>
      <c r="S228" s="1" t="str">
        <f>IF(Bike_Sharing_Master6[[#This Row],[Holiday]]=1,"Holiday","Non-Holiday")</f>
        <v>Non-Holiday</v>
      </c>
      <c r="T228" s="1" t="str">
        <f>IF(Bike_Sharing_Master6[[#This Row],[Cnt]]&lt;80,"Low",IF(Bike_Sharing_Master6[[#This Row],[Cnt]]&lt;160,"Medium","High"))</f>
        <v>High</v>
      </c>
      <c r="U228" s="1" t="str">
        <f>VLOOKUP(Bike_Sharing_Master6[[#This Row],[Weathersit]],[1]Lookup_Weather!A:B,2,FALSE)</f>
        <v>Clear</v>
      </c>
    </row>
    <row r="229" spans="1:21" x14ac:dyDescent="0.3">
      <c r="A229">
        <v>228</v>
      </c>
      <c r="B229" s="3">
        <v>40553</v>
      </c>
      <c r="C229" s="1">
        <v>1</v>
      </c>
      <c r="D229" s="1">
        <v>0</v>
      </c>
      <c r="E229" s="1">
        <v>1</v>
      </c>
      <c r="F229" s="1">
        <v>18</v>
      </c>
      <c r="G229" t="b">
        <v>0</v>
      </c>
      <c r="H229" s="1">
        <v>1</v>
      </c>
      <c r="I229" s="1">
        <v>1</v>
      </c>
      <c r="J229" s="2">
        <v>0.2</v>
      </c>
      <c r="K229" s="2">
        <v>0.19700000000000001</v>
      </c>
      <c r="L229" s="2">
        <v>0.4</v>
      </c>
      <c r="M229" s="2">
        <v>0.22389999999999999</v>
      </c>
      <c r="N229" s="1">
        <v>1</v>
      </c>
      <c r="O229" s="1">
        <v>154</v>
      </c>
      <c r="P229" s="1">
        <v>155</v>
      </c>
      <c r="Q229" s="1" t="str">
        <f>IF(WEEKDAY(Bike_Sharing_Master6[[#This Row],[Dteday]],2)&gt;=6,"Weekend","Weekday")</f>
        <v>Weekday</v>
      </c>
      <c r="R229" s="1" t="str">
        <f xml:space="preserve"> IF(Bike_Sharing_Master6[[#This Row],[Hr]]&lt;6,"Late Night", IF(Bike_Sharing_Master6[[#This Row],[Hr]]&lt;10,"Morning Peak", IF(Bike_Sharing_Master6[[#This Row],[Hr]]&lt;17,"Daytime", IF(Bike_Sharing_Master6[[#This Row],[Hr]]&lt;21,"Evening Peak","Night"))))</f>
        <v>Evening Peak</v>
      </c>
      <c r="S229" s="1" t="str">
        <f>IF(Bike_Sharing_Master6[[#This Row],[Holiday]]=1,"Holiday","Non-Holiday")</f>
        <v>Non-Holiday</v>
      </c>
      <c r="T229" s="1" t="str">
        <f>IF(Bike_Sharing_Master6[[#This Row],[Cnt]]&lt;80,"Low",IF(Bike_Sharing_Master6[[#This Row],[Cnt]]&lt;160,"Medium","High"))</f>
        <v>Medium</v>
      </c>
      <c r="U229" s="1" t="str">
        <f>VLOOKUP(Bike_Sharing_Master6[[#This Row],[Weathersit]],[1]Lookup_Weather!A:B,2,FALSE)</f>
        <v>Clear</v>
      </c>
    </row>
    <row r="230" spans="1:21" x14ac:dyDescent="0.3">
      <c r="A230">
        <v>229</v>
      </c>
      <c r="B230" s="3">
        <v>40553</v>
      </c>
      <c r="C230" s="1">
        <v>1</v>
      </c>
      <c r="D230" s="1">
        <v>0</v>
      </c>
      <c r="E230" s="1">
        <v>1</v>
      </c>
      <c r="F230" s="1">
        <v>19</v>
      </c>
      <c r="G230" t="b">
        <v>0</v>
      </c>
      <c r="H230" s="1">
        <v>1</v>
      </c>
      <c r="I230" s="1">
        <v>1</v>
      </c>
      <c r="J230" s="2">
        <v>0.16</v>
      </c>
      <c r="K230" s="2">
        <v>0.16669999999999999</v>
      </c>
      <c r="L230" s="2">
        <v>0.47</v>
      </c>
      <c r="M230" s="2">
        <v>0.16420000000000001</v>
      </c>
      <c r="N230" s="1">
        <v>3</v>
      </c>
      <c r="O230" s="1">
        <v>92</v>
      </c>
      <c r="P230" s="1">
        <v>95</v>
      </c>
      <c r="Q230" s="1" t="str">
        <f>IF(WEEKDAY(Bike_Sharing_Master6[[#This Row],[Dteday]],2)&gt;=6,"Weekend","Weekday")</f>
        <v>Weekday</v>
      </c>
      <c r="R230" s="1" t="str">
        <f xml:space="preserve"> IF(Bike_Sharing_Master6[[#This Row],[Hr]]&lt;6,"Late Night", IF(Bike_Sharing_Master6[[#This Row],[Hr]]&lt;10,"Morning Peak", IF(Bike_Sharing_Master6[[#This Row],[Hr]]&lt;17,"Daytime", IF(Bike_Sharing_Master6[[#This Row],[Hr]]&lt;21,"Evening Peak","Night"))))</f>
        <v>Evening Peak</v>
      </c>
      <c r="S230" s="1" t="str">
        <f>IF(Bike_Sharing_Master6[[#This Row],[Holiday]]=1,"Holiday","Non-Holiday")</f>
        <v>Non-Holiday</v>
      </c>
      <c r="T230" s="1" t="str">
        <f>IF(Bike_Sharing_Master6[[#This Row],[Cnt]]&lt;80,"Low",IF(Bike_Sharing_Master6[[#This Row],[Cnt]]&lt;160,"Medium","High"))</f>
        <v>Medium</v>
      </c>
      <c r="U230" s="1" t="str">
        <f>VLOOKUP(Bike_Sharing_Master6[[#This Row],[Weathersit]],[1]Lookup_Weather!A:B,2,FALSE)</f>
        <v>Clear</v>
      </c>
    </row>
    <row r="231" spans="1:21" x14ac:dyDescent="0.3">
      <c r="A231">
        <v>230</v>
      </c>
      <c r="B231" s="3">
        <v>40553</v>
      </c>
      <c r="C231" s="1">
        <v>1</v>
      </c>
      <c r="D231" s="1">
        <v>0</v>
      </c>
      <c r="E231" s="1">
        <v>1</v>
      </c>
      <c r="F231" s="1">
        <v>20</v>
      </c>
      <c r="G231" t="b">
        <v>0</v>
      </c>
      <c r="H231" s="1">
        <v>1</v>
      </c>
      <c r="I231" s="1">
        <v>1</v>
      </c>
      <c r="J231" s="2">
        <v>0.16</v>
      </c>
      <c r="K231" s="2">
        <v>0.16669999999999999</v>
      </c>
      <c r="L231" s="2">
        <v>0.5</v>
      </c>
      <c r="M231" s="2">
        <v>0.16420000000000001</v>
      </c>
      <c r="N231" s="1">
        <v>1</v>
      </c>
      <c r="O231" s="1">
        <v>73</v>
      </c>
      <c r="P231" s="1">
        <v>74</v>
      </c>
      <c r="Q231" s="1" t="str">
        <f>IF(WEEKDAY(Bike_Sharing_Master6[[#This Row],[Dteday]],2)&gt;=6,"Weekend","Weekday")</f>
        <v>Weekday</v>
      </c>
      <c r="R231" s="1" t="str">
        <f xml:space="preserve"> IF(Bike_Sharing_Master6[[#This Row],[Hr]]&lt;6,"Late Night", IF(Bike_Sharing_Master6[[#This Row],[Hr]]&lt;10,"Morning Peak", IF(Bike_Sharing_Master6[[#This Row],[Hr]]&lt;17,"Daytime", IF(Bike_Sharing_Master6[[#This Row],[Hr]]&lt;21,"Evening Peak","Night"))))</f>
        <v>Evening Peak</v>
      </c>
      <c r="S231" s="1" t="str">
        <f>IF(Bike_Sharing_Master6[[#This Row],[Holiday]]=1,"Holiday","Non-Holiday")</f>
        <v>Non-Holiday</v>
      </c>
      <c r="T231" s="1" t="str">
        <f>IF(Bike_Sharing_Master6[[#This Row],[Cnt]]&lt;80,"Low",IF(Bike_Sharing_Master6[[#This Row],[Cnt]]&lt;160,"Medium","High"))</f>
        <v>Low</v>
      </c>
      <c r="U231" s="1" t="str">
        <f>VLOOKUP(Bike_Sharing_Master6[[#This Row],[Weathersit]],[1]Lookup_Weather!A:B,2,FALSE)</f>
        <v>Clear</v>
      </c>
    </row>
    <row r="232" spans="1:21" x14ac:dyDescent="0.3">
      <c r="A232">
        <v>231</v>
      </c>
      <c r="B232" s="3">
        <v>40553</v>
      </c>
      <c r="C232" s="1">
        <v>1</v>
      </c>
      <c r="D232" s="1">
        <v>0</v>
      </c>
      <c r="E232" s="1">
        <v>1</v>
      </c>
      <c r="F232" s="1">
        <v>21</v>
      </c>
      <c r="G232" t="b">
        <v>0</v>
      </c>
      <c r="H232" s="1">
        <v>1</v>
      </c>
      <c r="I232" s="1">
        <v>1</v>
      </c>
      <c r="J232" s="2">
        <v>0.14000000000000001</v>
      </c>
      <c r="K232" s="2">
        <v>0.13639999999999999</v>
      </c>
      <c r="L232" s="2">
        <v>0.59</v>
      </c>
      <c r="M232" s="2">
        <v>0.19400000000000001</v>
      </c>
      <c r="N232" s="1">
        <v>1</v>
      </c>
      <c r="O232" s="1">
        <v>37</v>
      </c>
      <c r="P232" s="1">
        <v>38</v>
      </c>
      <c r="Q232" s="1" t="str">
        <f>IF(WEEKDAY(Bike_Sharing_Master6[[#This Row],[Dteday]],2)&gt;=6,"Weekend","Weekday")</f>
        <v>Weekday</v>
      </c>
      <c r="R232" s="1" t="str">
        <f xml:space="preserve"> IF(Bike_Sharing_Master6[[#This Row],[Hr]]&lt;6,"Late Night", IF(Bike_Sharing_Master6[[#This Row],[Hr]]&lt;10,"Morning Peak", IF(Bike_Sharing_Master6[[#This Row],[Hr]]&lt;17,"Daytime", IF(Bike_Sharing_Master6[[#This Row],[Hr]]&lt;21,"Evening Peak","Night"))))</f>
        <v>Night</v>
      </c>
      <c r="S232" s="1" t="str">
        <f>IF(Bike_Sharing_Master6[[#This Row],[Holiday]]=1,"Holiday","Non-Holiday")</f>
        <v>Non-Holiday</v>
      </c>
      <c r="T232" s="1" t="str">
        <f>IF(Bike_Sharing_Master6[[#This Row],[Cnt]]&lt;80,"Low",IF(Bike_Sharing_Master6[[#This Row],[Cnt]]&lt;160,"Medium","High"))</f>
        <v>Low</v>
      </c>
      <c r="U232" s="1" t="str">
        <f>VLOOKUP(Bike_Sharing_Master6[[#This Row],[Weathersit]],[1]Lookup_Weather!A:B,2,FALSE)</f>
        <v>Clear</v>
      </c>
    </row>
    <row r="233" spans="1:21" x14ac:dyDescent="0.3">
      <c r="A233">
        <v>232</v>
      </c>
      <c r="B233" s="3">
        <v>40553</v>
      </c>
      <c r="C233" s="1">
        <v>1</v>
      </c>
      <c r="D233" s="1">
        <v>0</v>
      </c>
      <c r="E233" s="1">
        <v>1</v>
      </c>
      <c r="F233" s="1">
        <v>22</v>
      </c>
      <c r="G233" t="b">
        <v>0</v>
      </c>
      <c r="H233" s="1">
        <v>1</v>
      </c>
      <c r="I233" s="1">
        <v>1</v>
      </c>
      <c r="J233" s="2">
        <v>0.14000000000000001</v>
      </c>
      <c r="K233" s="2">
        <v>0.1515</v>
      </c>
      <c r="L233" s="2">
        <v>0.59</v>
      </c>
      <c r="M233" s="2">
        <v>0.16420000000000001</v>
      </c>
      <c r="N233" s="1">
        <v>2</v>
      </c>
      <c r="O233" s="1">
        <v>22</v>
      </c>
      <c r="P233" s="1">
        <v>24</v>
      </c>
      <c r="Q233" s="1" t="str">
        <f>IF(WEEKDAY(Bike_Sharing_Master6[[#This Row],[Dteday]],2)&gt;=6,"Weekend","Weekday")</f>
        <v>Weekday</v>
      </c>
      <c r="R233" s="1" t="str">
        <f xml:space="preserve"> IF(Bike_Sharing_Master6[[#This Row],[Hr]]&lt;6,"Late Night", IF(Bike_Sharing_Master6[[#This Row],[Hr]]&lt;10,"Morning Peak", IF(Bike_Sharing_Master6[[#This Row],[Hr]]&lt;17,"Daytime", IF(Bike_Sharing_Master6[[#This Row],[Hr]]&lt;21,"Evening Peak","Night"))))</f>
        <v>Night</v>
      </c>
      <c r="S233" s="1" t="str">
        <f>IF(Bike_Sharing_Master6[[#This Row],[Holiday]]=1,"Holiday","Non-Holiday")</f>
        <v>Non-Holiday</v>
      </c>
      <c r="T233" s="1" t="str">
        <f>IF(Bike_Sharing_Master6[[#This Row],[Cnt]]&lt;80,"Low",IF(Bike_Sharing_Master6[[#This Row],[Cnt]]&lt;160,"Medium","High"))</f>
        <v>Low</v>
      </c>
      <c r="U233" s="1" t="str">
        <f>VLOOKUP(Bike_Sharing_Master6[[#This Row],[Weathersit]],[1]Lookup_Weather!A:B,2,FALSE)</f>
        <v>Clear</v>
      </c>
    </row>
    <row r="234" spans="1:21" x14ac:dyDescent="0.3">
      <c r="A234">
        <v>233</v>
      </c>
      <c r="B234" s="3">
        <v>40553</v>
      </c>
      <c r="C234" s="1">
        <v>1</v>
      </c>
      <c r="D234" s="1">
        <v>0</v>
      </c>
      <c r="E234" s="1">
        <v>1</v>
      </c>
      <c r="F234" s="1">
        <v>23</v>
      </c>
      <c r="G234" t="b">
        <v>0</v>
      </c>
      <c r="H234" s="1">
        <v>1</v>
      </c>
      <c r="I234" s="1">
        <v>1</v>
      </c>
      <c r="J234" s="2">
        <v>0.14000000000000001</v>
      </c>
      <c r="K234" s="2">
        <v>0.1515</v>
      </c>
      <c r="L234" s="2">
        <v>0.59</v>
      </c>
      <c r="M234" s="2">
        <v>0.16420000000000001</v>
      </c>
      <c r="N234" s="1">
        <v>0</v>
      </c>
      <c r="O234" s="1">
        <v>18</v>
      </c>
      <c r="P234" s="1">
        <v>18</v>
      </c>
      <c r="Q234" s="1" t="str">
        <f>IF(WEEKDAY(Bike_Sharing_Master6[[#This Row],[Dteday]],2)&gt;=6,"Weekend","Weekday")</f>
        <v>Weekday</v>
      </c>
      <c r="R234" s="1" t="str">
        <f xml:space="preserve"> IF(Bike_Sharing_Master6[[#This Row],[Hr]]&lt;6,"Late Night", IF(Bike_Sharing_Master6[[#This Row],[Hr]]&lt;10,"Morning Peak", IF(Bike_Sharing_Master6[[#This Row],[Hr]]&lt;17,"Daytime", IF(Bike_Sharing_Master6[[#This Row],[Hr]]&lt;21,"Evening Peak","Night"))))</f>
        <v>Night</v>
      </c>
      <c r="S234" s="1" t="str">
        <f>IF(Bike_Sharing_Master6[[#This Row],[Holiday]]=1,"Holiday","Non-Holiday")</f>
        <v>Non-Holiday</v>
      </c>
      <c r="T234" s="1" t="str">
        <f>IF(Bike_Sharing_Master6[[#This Row],[Cnt]]&lt;80,"Low",IF(Bike_Sharing_Master6[[#This Row],[Cnt]]&lt;160,"Medium","High"))</f>
        <v>Low</v>
      </c>
      <c r="U234" s="1" t="str">
        <f>VLOOKUP(Bike_Sharing_Master6[[#This Row],[Weathersit]],[1]Lookup_Weather!A:B,2,FALSE)</f>
        <v>Clear</v>
      </c>
    </row>
    <row r="235" spans="1:21" x14ac:dyDescent="0.3">
      <c r="A235">
        <v>234</v>
      </c>
      <c r="B235" s="3">
        <v>40554</v>
      </c>
      <c r="C235" s="1">
        <v>1</v>
      </c>
      <c r="D235" s="1">
        <v>0</v>
      </c>
      <c r="E235" s="1">
        <v>1</v>
      </c>
      <c r="F235" s="1">
        <v>0</v>
      </c>
      <c r="G235" t="b">
        <v>0</v>
      </c>
      <c r="H235" s="1">
        <v>2</v>
      </c>
      <c r="I235" s="1">
        <v>1</v>
      </c>
      <c r="J235" s="2">
        <v>0.14000000000000001</v>
      </c>
      <c r="K235" s="2">
        <v>0.16669999999999999</v>
      </c>
      <c r="L235" s="2">
        <v>0.59</v>
      </c>
      <c r="M235" s="2">
        <v>0.1045</v>
      </c>
      <c r="N235" s="1">
        <v>2</v>
      </c>
      <c r="O235" s="1">
        <v>10</v>
      </c>
      <c r="P235" s="1">
        <v>12</v>
      </c>
      <c r="Q235" s="1" t="str">
        <f>IF(WEEKDAY(Bike_Sharing_Master6[[#This Row],[Dteday]],2)&gt;=6,"Weekend","Weekday")</f>
        <v>Weekday</v>
      </c>
      <c r="R235" s="1" t="str">
        <f xml:space="preserve"> IF(Bike_Sharing_Master6[[#This Row],[Hr]]&lt;6,"Late Night", IF(Bike_Sharing_Master6[[#This Row],[Hr]]&lt;10,"Morning Peak", IF(Bike_Sharing_Master6[[#This Row],[Hr]]&lt;17,"Daytime", IF(Bike_Sharing_Master6[[#This Row],[Hr]]&lt;21,"Evening Peak","Night"))))</f>
        <v>Late Night</v>
      </c>
      <c r="S235" s="1" t="str">
        <f>IF(Bike_Sharing_Master6[[#This Row],[Holiday]]=1,"Holiday","Non-Holiday")</f>
        <v>Non-Holiday</v>
      </c>
      <c r="T235" s="1" t="str">
        <f>IF(Bike_Sharing_Master6[[#This Row],[Cnt]]&lt;80,"Low",IF(Bike_Sharing_Master6[[#This Row],[Cnt]]&lt;160,"Medium","High"))</f>
        <v>Low</v>
      </c>
      <c r="U235" s="1" t="str">
        <f>VLOOKUP(Bike_Sharing_Master6[[#This Row],[Weathersit]],[1]Lookup_Weather!A:B,2,FALSE)</f>
        <v>Clear</v>
      </c>
    </row>
    <row r="236" spans="1:21" x14ac:dyDescent="0.3">
      <c r="A236">
        <v>235</v>
      </c>
      <c r="B236" s="3">
        <v>40554</v>
      </c>
      <c r="C236" s="1">
        <v>1</v>
      </c>
      <c r="D236" s="1">
        <v>0</v>
      </c>
      <c r="E236" s="1">
        <v>1</v>
      </c>
      <c r="F236" s="1">
        <v>1</v>
      </c>
      <c r="G236" t="b">
        <v>0</v>
      </c>
      <c r="H236" s="1">
        <v>2</v>
      </c>
      <c r="I236" s="1">
        <v>1</v>
      </c>
      <c r="J236" s="2">
        <v>0.14000000000000001</v>
      </c>
      <c r="K236" s="2">
        <v>0.1515</v>
      </c>
      <c r="L236" s="2">
        <v>0.59</v>
      </c>
      <c r="M236" s="2">
        <v>0.16420000000000001</v>
      </c>
      <c r="N236" s="1">
        <v>0</v>
      </c>
      <c r="O236" s="1">
        <v>3</v>
      </c>
      <c r="P236" s="1">
        <v>3</v>
      </c>
      <c r="Q236" s="1" t="str">
        <f>IF(WEEKDAY(Bike_Sharing_Master6[[#This Row],[Dteday]],2)&gt;=6,"Weekend","Weekday")</f>
        <v>Weekday</v>
      </c>
      <c r="R236" s="1" t="str">
        <f xml:space="preserve"> IF(Bike_Sharing_Master6[[#This Row],[Hr]]&lt;6,"Late Night", IF(Bike_Sharing_Master6[[#This Row],[Hr]]&lt;10,"Morning Peak", IF(Bike_Sharing_Master6[[#This Row],[Hr]]&lt;17,"Daytime", IF(Bike_Sharing_Master6[[#This Row],[Hr]]&lt;21,"Evening Peak","Night"))))</f>
        <v>Late Night</v>
      </c>
      <c r="S236" s="1" t="str">
        <f>IF(Bike_Sharing_Master6[[#This Row],[Holiday]]=1,"Holiday","Non-Holiday")</f>
        <v>Non-Holiday</v>
      </c>
      <c r="T236" s="1" t="str">
        <f>IF(Bike_Sharing_Master6[[#This Row],[Cnt]]&lt;80,"Low",IF(Bike_Sharing_Master6[[#This Row],[Cnt]]&lt;160,"Medium","High"))</f>
        <v>Low</v>
      </c>
      <c r="U236" s="1" t="str">
        <f>VLOOKUP(Bike_Sharing_Master6[[#This Row],[Weathersit]],[1]Lookup_Weather!A:B,2,FALSE)</f>
        <v>Clear</v>
      </c>
    </row>
    <row r="237" spans="1:21" x14ac:dyDescent="0.3">
      <c r="A237">
        <v>236</v>
      </c>
      <c r="B237" s="3">
        <v>40554</v>
      </c>
      <c r="C237" s="1">
        <v>1</v>
      </c>
      <c r="D237" s="1">
        <v>0</v>
      </c>
      <c r="E237" s="1">
        <v>1</v>
      </c>
      <c r="F237" s="1">
        <v>2</v>
      </c>
      <c r="G237" t="b">
        <v>0</v>
      </c>
      <c r="H237" s="1">
        <v>2</v>
      </c>
      <c r="I237" s="1">
        <v>2</v>
      </c>
      <c r="J237" s="2">
        <v>0.16</v>
      </c>
      <c r="K237" s="2">
        <v>0.1515</v>
      </c>
      <c r="L237" s="2">
        <v>0.55000000000000004</v>
      </c>
      <c r="M237" s="2">
        <v>0.19400000000000001</v>
      </c>
      <c r="N237" s="1">
        <v>0</v>
      </c>
      <c r="O237" s="1">
        <v>3</v>
      </c>
      <c r="P237" s="1">
        <v>3</v>
      </c>
      <c r="Q237" s="1" t="str">
        <f>IF(WEEKDAY(Bike_Sharing_Master6[[#This Row],[Dteday]],2)&gt;=6,"Weekend","Weekday")</f>
        <v>Weekday</v>
      </c>
      <c r="R237" s="1" t="str">
        <f xml:space="preserve"> IF(Bike_Sharing_Master6[[#This Row],[Hr]]&lt;6,"Late Night", IF(Bike_Sharing_Master6[[#This Row],[Hr]]&lt;10,"Morning Peak", IF(Bike_Sharing_Master6[[#This Row],[Hr]]&lt;17,"Daytime", IF(Bike_Sharing_Master6[[#This Row],[Hr]]&lt;21,"Evening Peak","Night"))))</f>
        <v>Late Night</v>
      </c>
      <c r="S237" s="1" t="str">
        <f>IF(Bike_Sharing_Master6[[#This Row],[Holiday]]=1,"Holiday","Non-Holiday")</f>
        <v>Non-Holiday</v>
      </c>
      <c r="T237" s="1" t="str">
        <f>IF(Bike_Sharing_Master6[[#This Row],[Cnt]]&lt;80,"Low",IF(Bike_Sharing_Master6[[#This Row],[Cnt]]&lt;160,"Medium","High"))</f>
        <v>Low</v>
      </c>
      <c r="U237" s="1" t="str">
        <f>VLOOKUP(Bike_Sharing_Master6[[#This Row],[Weathersit]],[1]Lookup_Weather!A:B,2,FALSE)</f>
        <v>Mist</v>
      </c>
    </row>
    <row r="238" spans="1:21" x14ac:dyDescent="0.3">
      <c r="A238">
        <v>237</v>
      </c>
      <c r="B238" s="3">
        <v>40554</v>
      </c>
      <c r="C238" s="1">
        <v>1</v>
      </c>
      <c r="D238" s="1">
        <v>0</v>
      </c>
      <c r="E238" s="1">
        <v>1</v>
      </c>
      <c r="F238" s="1">
        <v>5</v>
      </c>
      <c r="G238" t="b">
        <v>0</v>
      </c>
      <c r="H238" s="1">
        <v>2</v>
      </c>
      <c r="I238" s="1">
        <v>2</v>
      </c>
      <c r="J238" s="2">
        <v>0.16</v>
      </c>
      <c r="K238" s="2">
        <v>0.18179999999999999</v>
      </c>
      <c r="L238" s="2">
        <v>0.55000000000000004</v>
      </c>
      <c r="M238" s="2">
        <v>0.1343</v>
      </c>
      <c r="N238" s="1">
        <v>0</v>
      </c>
      <c r="O238" s="1">
        <v>6</v>
      </c>
      <c r="P238" s="1">
        <v>6</v>
      </c>
      <c r="Q238" s="1" t="str">
        <f>IF(WEEKDAY(Bike_Sharing_Master6[[#This Row],[Dteday]],2)&gt;=6,"Weekend","Weekday")</f>
        <v>Weekday</v>
      </c>
      <c r="R238" s="1" t="str">
        <f xml:space="preserve"> IF(Bike_Sharing_Master6[[#This Row],[Hr]]&lt;6,"Late Night", IF(Bike_Sharing_Master6[[#This Row],[Hr]]&lt;10,"Morning Peak", IF(Bike_Sharing_Master6[[#This Row],[Hr]]&lt;17,"Daytime", IF(Bike_Sharing_Master6[[#This Row],[Hr]]&lt;21,"Evening Peak","Night"))))</f>
        <v>Late Night</v>
      </c>
      <c r="S238" s="1" t="str">
        <f>IF(Bike_Sharing_Master6[[#This Row],[Holiday]]=1,"Holiday","Non-Holiday")</f>
        <v>Non-Holiday</v>
      </c>
      <c r="T238" s="1" t="str">
        <f>IF(Bike_Sharing_Master6[[#This Row],[Cnt]]&lt;80,"Low",IF(Bike_Sharing_Master6[[#This Row],[Cnt]]&lt;160,"Medium","High"))</f>
        <v>Low</v>
      </c>
      <c r="U238" s="1" t="str">
        <f>VLOOKUP(Bike_Sharing_Master6[[#This Row],[Weathersit]],[1]Lookup_Weather!A:B,2,FALSE)</f>
        <v>Mist</v>
      </c>
    </row>
    <row r="239" spans="1:21" x14ac:dyDescent="0.3">
      <c r="A239">
        <v>238</v>
      </c>
      <c r="B239" s="3">
        <v>40554</v>
      </c>
      <c r="C239" s="1">
        <v>1</v>
      </c>
      <c r="D239" s="1">
        <v>0</v>
      </c>
      <c r="E239" s="1">
        <v>1</v>
      </c>
      <c r="F239" s="1">
        <v>6</v>
      </c>
      <c r="G239" t="b">
        <v>0</v>
      </c>
      <c r="H239" s="1">
        <v>2</v>
      </c>
      <c r="I239" s="1">
        <v>2</v>
      </c>
      <c r="J239" s="2">
        <v>0.16</v>
      </c>
      <c r="K239" s="2">
        <v>0.18179999999999999</v>
      </c>
      <c r="L239" s="2">
        <v>0.55000000000000004</v>
      </c>
      <c r="M239" s="2">
        <v>0.1343</v>
      </c>
      <c r="N239" s="1">
        <v>0</v>
      </c>
      <c r="O239" s="1">
        <v>27</v>
      </c>
      <c r="P239" s="1">
        <v>27</v>
      </c>
      <c r="Q239" s="1" t="str">
        <f>IF(WEEKDAY(Bike_Sharing_Master6[[#This Row],[Dteday]],2)&gt;=6,"Weekend","Weekday")</f>
        <v>Weekday</v>
      </c>
      <c r="R239" s="1" t="str">
        <f xml:space="preserve"> IF(Bike_Sharing_Master6[[#This Row],[Hr]]&lt;6,"Late Night", IF(Bike_Sharing_Master6[[#This Row],[Hr]]&lt;10,"Morning Peak", IF(Bike_Sharing_Master6[[#This Row],[Hr]]&lt;17,"Daytime", IF(Bike_Sharing_Master6[[#This Row],[Hr]]&lt;21,"Evening Peak","Night"))))</f>
        <v>Morning Peak</v>
      </c>
      <c r="S239" s="1" t="str">
        <f>IF(Bike_Sharing_Master6[[#This Row],[Holiday]]=1,"Holiday","Non-Holiday")</f>
        <v>Non-Holiday</v>
      </c>
      <c r="T239" s="1" t="str">
        <f>IF(Bike_Sharing_Master6[[#This Row],[Cnt]]&lt;80,"Low",IF(Bike_Sharing_Master6[[#This Row],[Cnt]]&lt;160,"Medium","High"))</f>
        <v>Low</v>
      </c>
      <c r="U239" s="1" t="str">
        <f>VLOOKUP(Bike_Sharing_Master6[[#This Row],[Weathersit]],[1]Lookup_Weather!A:B,2,FALSE)</f>
        <v>Mist</v>
      </c>
    </row>
    <row r="240" spans="1:21" x14ac:dyDescent="0.3">
      <c r="A240">
        <v>239</v>
      </c>
      <c r="B240" s="3">
        <v>40554</v>
      </c>
      <c r="C240" s="1">
        <v>1</v>
      </c>
      <c r="D240" s="1">
        <v>0</v>
      </c>
      <c r="E240" s="1">
        <v>1</v>
      </c>
      <c r="F240" s="1">
        <v>7</v>
      </c>
      <c r="G240" t="b">
        <v>0</v>
      </c>
      <c r="H240" s="1">
        <v>2</v>
      </c>
      <c r="I240" s="1">
        <v>2</v>
      </c>
      <c r="J240" s="2">
        <v>0.16</v>
      </c>
      <c r="K240" s="2">
        <v>0.2273</v>
      </c>
      <c r="L240" s="2">
        <v>0.55000000000000004</v>
      </c>
      <c r="M240" s="2">
        <v>0</v>
      </c>
      <c r="N240" s="1">
        <v>2</v>
      </c>
      <c r="O240" s="1">
        <v>97</v>
      </c>
      <c r="P240" s="1">
        <v>99</v>
      </c>
      <c r="Q240" s="1" t="str">
        <f>IF(WEEKDAY(Bike_Sharing_Master6[[#This Row],[Dteday]],2)&gt;=6,"Weekend","Weekday")</f>
        <v>Weekday</v>
      </c>
      <c r="R240" s="1" t="str">
        <f xml:space="preserve"> IF(Bike_Sharing_Master6[[#This Row],[Hr]]&lt;6,"Late Night", IF(Bike_Sharing_Master6[[#This Row],[Hr]]&lt;10,"Morning Peak", IF(Bike_Sharing_Master6[[#This Row],[Hr]]&lt;17,"Daytime", IF(Bike_Sharing_Master6[[#This Row],[Hr]]&lt;21,"Evening Peak","Night"))))</f>
        <v>Morning Peak</v>
      </c>
      <c r="S240" s="1" t="str">
        <f>IF(Bike_Sharing_Master6[[#This Row],[Holiday]]=1,"Holiday","Non-Holiday")</f>
        <v>Non-Holiday</v>
      </c>
      <c r="T240" s="1" t="str">
        <f>IF(Bike_Sharing_Master6[[#This Row],[Cnt]]&lt;80,"Low",IF(Bike_Sharing_Master6[[#This Row],[Cnt]]&lt;160,"Medium","High"))</f>
        <v>Medium</v>
      </c>
      <c r="U240" s="1" t="str">
        <f>VLOOKUP(Bike_Sharing_Master6[[#This Row],[Weathersit]],[1]Lookup_Weather!A:B,2,FALSE)</f>
        <v>Mist</v>
      </c>
    </row>
    <row r="241" spans="1:21" x14ac:dyDescent="0.3">
      <c r="A241">
        <v>240</v>
      </c>
      <c r="B241" s="3">
        <v>40554</v>
      </c>
      <c r="C241" s="1">
        <v>1</v>
      </c>
      <c r="D241" s="1">
        <v>0</v>
      </c>
      <c r="E241" s="1">
        <v>1</v>
      </c>
      <c r="F241" s="1">
        <v>8</v>
      </c>
      <c r="G241" t="b">
        <v>0</v>
      </c>
      <c r="H241" s="1">
        <v>2</v>
      </c>
      <c r="I241" s="1">
        <v>2</v>
      </c>
      <c r="J241" s="2">
        <v>0.18</v>
      </c>
      <c r="K241" s="2">
        <v>0.21210000000000001</v>
      </c>
      <c r="L241" s="2">
        <v>0.51</v>
      </c>
      <c r="M241" s="2">
        <v>8.9599999999999999E-2</v>
      </c>
      <c r="N241" s="1">
        <v>3</v>
      </c>
      <c r="O241" s="1">
        <v>214</v>
      </c>
      <c r="P241" s="1">
        <v>217</v>
      </c>
      <c r="Q241" s="1" t="str">
        <f>IF(WEEKDAY(Bike_Sharing_Master6[[#This Row],[Dteday]],2)&gt;=6,"Weekend","Weekday")</f>
        <v>Weekday</v>
      </c>
      <c r="R241" s="1" t="str">
        <f xml:space="preserve"> IF(Bike_Sharing_Master6[[#This Row],[Hr]]&lt;6,"Late Night", IF(Bike_Sharing_Master6[[#This Row],[Hr]]&lt;10,"Morning Peak", IF(Bike_Sharing_Master6[[#This Row],[Hr]]&lt;17,"Daytime", IF(Bike_Sharing_Master6[[#This Row],[Hr]]&lt;21,"Evening Peak","Night"))))</f>
        <v>Morning Peak</v>
      </c>
      <c r="S241" s="1" t="str">
        <f>IF(Bike_Sharing_Master6[[#This Row],[Holiday]]=1,"Holiday","Non-Holiday")</f>
        <v>Non-Holiday</v>
      </c>
      <c r="T241" s="1" t="str">
        <f>IF(Bike_Sharing_Master6[[#This Row],[Cnt]]&lt;80,"Low",IF(Bike_Sharing_Master6[[#This Row],[Cnt]]&lt;160,"Medium","High"))</f>
        <v>High</v>
      </c>
      <c r="U241" s="1" t="str">
        <f>VLOOKUP(Bike_Sharing_Master6[[#This Row],[Weathersit]],[1]Lookup_Weather!A:B,2,FALSE)</f>
        <v>Mist</v>
      </c>
    </row>
    <row r="242" spans="1:21" x14ac:dyDescent="0.3">
      <c r="A242">
        <v>241</v>
      </c>
      <c r="B242" s="3">
        <v>40554</v>
      </c>
      <c r="C242" s="1">
        <v>1</v>
      </c>
      <c r="D242" s="1">
        <v>0</v>
      </c>
      <c r="E242" s="1">
        <v>1</v>
      </c>
      <c r="F242" s="1">
        <v>9</v>
      </c>
      <c r="G242" t="b">
        <v>0</v>
      </c>
      <c r="H242" s="1">
        <v>2</v>
      </c>
      <c r="I242" s="1">
        <v>2</v>
      </c>
      <c r="J242" s="2">
        <v>0.18</v>
      </c>
      <c r="K242" s="2">
        <v>0.19700000000000001</v>
      </c>
      <c r="L242" s="2">
        <v>0.51</v>
      </c>
      <c r="M242" s="2">
        <v>0.16420000000000001</v>
      </c>
      <c r="N242" s="1">
        <v>3</v>
      </c>
      <c r="O242" s="1">
        <v>127</v>
      </c>
      <c r="P242" s="1">
        <v>130</v>
      </c>
      <c r="Q242" s="1" t="str">
        <f>IF(WEEKDAY(Bike_Sharing_Master6[[#This Row],[Dteday]],2)&gt;=6,"Weekend","Weekday")</f>
        <v>Weekday</v>
      </c>
      <c r="R242" s="1" t="str">
        <f xml:space="preserve"> IF(Bike_Sharing_Master6[[#This Row],[Hr]]&lt;6,"Late Night", IF(Bike_Sharing_Master6[[#This Row],[Hr]]&lt;10,"Morning Peak", IF(Bike_Sharing_Master6[[#This Row],[Hr]]&lt;17,"Daytime", IF(Bike_Sharing_Master6[[#This Row],[Hr]]&lt;21,"Evening Peak","Night"))))</f>
        <v>Morning Peak</v>
      </c>
      <c r="S242" s="1" t="str">
        <f>IF(Bike_Sharing_Master6[[#This Row],[Holiday]]=1,"Holiday","Non-Holiday")</f>
        <v>Non-Holiday</v>
      </c>
      <c r="T242" s="1" t="str">
        <f>IF(Bike_Sharing_Master6[[#This Row],[Cnt]]&lt;80,"Low",IF(Bike_Sharing_Master6[[#This Row],[Cnt]]&lt;160,"Medium","High"))</f>
        <v>Medium</v>
      </c>
      <c r="U242" s="1" t="str">
        <f>VLOOKUP(Bike_Sharing_Master6[[#This Row],[Weathersit]],[1]Lookup_Weather!A:B,2,FALSE)</f>
        <v>Mist</v>
      </c>
    </row>
    <row r="243" spans="1:21" x14ac:dyDescent="0.3">
      <c r="A243">
        <v>242</v>
      </c>
      <c r="B243" s="3">
        <v>40554</v>
      </c>
      <c r="C243" s="1">
        <v>1</v>
      </c>
      <c r="D243" s="1">
        <v>0</v>
      </c>
      <c r="E243" s="1">
        <v>1</v>
      </c>
      <c r="F243" s="1">
        <v>10</v>
      </c>
      <c r="G243" t="b">
        <v>0</v>
      </c>
      <c r="H243" s="1">
        <v>2</v>
      </c>
      <c r="I243" s="1">
        <v>2</v>
      </c>
      <c r="J243" s="2">
        <v>0.2</v>
      </c>
      <c r="K243" s="2">
        <v>0.21210000000000001</v>
      </c>
      <c r="L243" s="2">
        <v>0.51</v>
      </c>
      <c r="M243" s="2">
        <v>0.16420000000000001</v>
      </c>
      <c r="N243" s="1">
        <v>3</v>
      </c>
      <c r="O243" s="1">
        <v>51</v>
      </c>
      <c r="P243" s="1">
        <v>54</v>
      </c>
      <c r="Q243" s="1" t="str">
        <f>IF(WEEKDAY(Bike_Sharing_Master6[[#This Row],[Dteday]],2)&gt;=6,"Weekend","Weekday")</f>
        <v>Weekday</v>
      </c>
      <c r="R243" s="1" t="str">
        <f xml:space="preserve"> IF(Bike_Sharing_Master6[[#This Row],[Hr]]&lt;6,"Late Night", IF(Bike_Sharing_Master6[[#This Row],[Hr]]&lt;10,"Morning Peak", IF(Bike_Sharing_Master6[[#This Row],[Hr]]&lt;17,"Daytime", IF(Bike_Sharing_Master6[[#This Row],[Hr]]&lt;21,"Evening Peak","Night"))))</f>
        <v>Daytime</v>
      </c>
      <c r="S243" s="1" t="str">
        <f>IF(Bike_Sharing_Master6[[#This Row],[Holiday]]=1,"Holiday","Non-Holiday")</f>
        <v>Non-Holiday</v>
      </c>
      <c r="T243" s="1" t="str">
        <f>IF(Bike_Sharing_Master6[[#This Row],[Cnt]]&lt;80,"Low",IF(Bike_Sharing_Master6[[#This Row],[Cnt]]&lt;160,"Medium","High"))</f>
        <v>Low</v>
      </c>
      <c r="U243" s="1" t="str">
        <f>VLOOKUP(Bike_Sharing_Master6[[#This Row],[Weathersit]],[1]Lookup_Weather!A:B,2,FALSE)</f>
        <v>Mist</v>
      </c>
    </row>
    <row r="244" spans="1:21" x14ac:dyDescent="0.3">
      <c r="A244">
        <v>243</v>
      </c>
      <c r="B244" s="3">
        <v>40554</v>
      </c>
      <c r="C244" s="1">
        <v>1</v>
      </c>
      <c r="D244" s="1">
        <v>0</v>
      </c>
      <c r="E244" s="1">
        <v>1</v>
      </c>
      <c r="F244" s="1">
        <v>11</v>
      </c>
      <c r="G244" t="b">
        <v>0</v>
      </c>
      <c r="H244" s="1">
        <v>2</v>
      </c>
      <c r="I244" s="1">
        <v>2</v>
      </c>
      <c r="J244" s="2">
        <v>0.2</v>
      </c>
      <c r="K244" s="2">
        <v>0.21210000000000001</v>
      </c>
      <c r="L244" s="2">
        <v>0.47</v>
      </c>
      <c r="M244" s="2">
        <v>0.1343</v>
      </c>
      <c r="N244" s="1">
        <v>4</v>
      </c>
      <c r="O244" s="1">
        <v>31</v>
      </c>
      <c r="P244" s="1">
        <v>35</v>
      </c>
      <c r="Q244" s="1" t="str">
        <f>IF(WEEKDAY(Bike_Sharing_Master6[[#This Row],[Dteday]],2)&gt;=6,"Weekend","Weekday")</f>
        <v>Weekday</v>
      </c>
      <c r="R244" s="1" t="str">
        <f xml:space="preserve"> IF(Bike_Sharing_Master6[[#This Row],[Hr]]&lt;6,"Late Night", IF(Bike_Sharing_Master6[[#This Row],[Hr]]&lt;10,"Morning Peak", IF(Bike_Sharing_Master6[[#This Row],[Hr]]&lt;17,"Daytime", IF(Bike_Sharing_Master6[[#This Row],[Hr]]&lt;21,"Evening Peak","Night"))))</f>
        <v>Daytime</v>
      </c>
      <c r="S244" s="1" t="str">
        <f>IF(Bike_Sharing_Master6[[#This Row],[Holiday]]=1,"Holiday","Non-Holiday")</f>
        <v>Non-Holiday</v>
      </c>
      <c r="T244" s="1" t="str">
        <f>IF(Bike_Sharing_Master6[[#This Row],[Cnt]]&lt;80,"Low",IF(Bike_Sharing_Master6[[#This Row],[Cnt]]&lt;160,"Medium","High"))</f>
        <v>Low</v>
      </c>
      <c r="U244" s="1" t="str">
        <f>VLOOKUP(Bike_Sharing_Master6[[#This Row],[Weathersit]],[1]Lookup_Weather!A:B,2,FALSE)</f>
        <v>Mist</v>
      </c>
    </row>
    <row r="245" spans="1:21" x14ac:dyDescent="0.3">
      <c r="A245">
        <v>244</v>
      </c>
      <c r="B245" s="3">
        <v>40554</v>
      </c>
      <c r="C245" s="1">
        <v>1</v>
      </c>
      <c r="D245" s="1">
        <v>0</v>
      </c>
      <c r="E245" s="1">
        <v>1</v>
      </c>
      <c r="F245" s="1">
        <v>12</v>
      </c>
      <c r="G245" t="b">
        <v>0</v>
      </c>
      <c r="H245" s="1">
        <v>2</v>
      </c>
      <c r="I245" s="1">
        <v>2</v>
      </c>
      <c r="J245" s="2">
        <v>0.2</v>
      </c>
      <c r="K245" s="2">
        <v>0.2273</v>
      </c>
      <c r="L245" s="2">
        <v>0.51</v>
      </c>
      <c r="M245" s="2">
        <v>0.1045</v>
      </c>
      <c r="N245" s="1">
        <v>2</v>
      </c>
      <c r="O245" s="1">
        <v>55</v>
      </c>
      <c r="P245" s="1">
        <v>57</v>
      </c>
      <c r="Q245" s="1" t="str">
        <f>IF(WEEKDAY(Bike_Sharing_Master6[[#This Row],[Dteday]],2)&gt;=6,"Weekend","Weekday")</f>
        <v>Weekday</v>
      </c>
      <c r="R245" s="1" t="str">
        <f xml:space="preserve"> IF(Bike_Sharing_Master6[[#This Row],[Hr]]&lt;6,"Late Night", IF(Bike_Sharing_Master6[[#This Row],[Hr]]&lt;10,"Morning Peak", IF(Bike_Sharing_Master6[[#This Row],[Hr]]&lt;17,"Daytime", IF(Bike_Sharing_Master6[[#This Row],[Hr]]&lt;21,"Evening Peak","Night"))))</f>
        <v>Daytime</v>
      </c>
      <c r="S245" s="1" t="str">
        <f>IF(Bike_Sharing_Master6[[#This Row],[Holiday]]=1,"Holiday","Non-Holiday")</f>
        <v>Non-Holiday</v>
      </c>
      <c r="T245" s="1" t="str">
        <f>IF(Bike_Sharing_Master6[[#This Row],[Cnt]]&lt;80,"Low",IF(Bike_Sharing_Master6[[#This Row],[Cnt]]&lt;160,"Medium","High"))</f>
        <v>Low</v>
      </c>
      <c r="U245" s="1" t="str">
        <f>VLOOKUP(Bike_Sharing_Master6[[#This Row],[Weathersit]],[1]Lookup_Weather!A:B,2,FALSE)</f>
        <v>Mist</v>
      </c>
    </row>
    <row r="246" spans="1:21" x14ac:dyDescent="0.3">
      <c r="A246">
        <v>245</v>
      </c>
      <c r="B246" s="3">
        <v>40554</v>
      </c>
      <c r="C246" s="1">
        <v>1</v>
      </c>
      <c r="D246" s="1">
        <v>0</v>
      </c>
      <c r="E246" s="1">
        <v>1</v>
      </c>
      <c r="F246" s="1">
        <v>13</v>
      </c>
      <c r="G246" t="b">
        <v>0</v>
      </c>
      <c r="H246" s="1">
        <v>2</v>
      </c>
      <c r="I246" s="1">
        <v>2</v>
      </c>
      <c r="J246" s="2">
        <v>0.2</v>
      </c>
      <c r="K246" s="2">
        <v>0.2273</v>
      </c>
      <c r="L246" s="2">
        <v>0.59</v>
      </c>
      <c r="M246" s="2">
        <v>8.9599999999999999E-2</v>
      </c>
      <c r="N246" s="1">
        <v>6</v>
      </c>
      <c r="O246" s="1">
        <v>46</v>
      </c>
      <c r="P246" s="1">
        <v>52</v>
      </c>
      <c r="Q246" s="1" t="str">
        <f>IF(WEEKDAY(Bike_Sharing_Master6[[#This Row],[Dteday]],2)&gt;=6,"Weekend","Weekday")</f>
        <v>Weekday</v>
      </c>
      <c r="R246" s="1" t="str">
        <f xml:space="preserve"> IF(Bike_Sharing_Master6[[#This Row],[Hr]]&lt;6,"Late Night", IF(Bike_Sharing_Master6[[#This Row],[Hr]]&lt;10,"Morning Peak", IF(Bike_Sharing_Master6[[#This Row],[Hr]]&lt;17,"Daytime", IF(Bike_Sharing_Master6[[#This Row],[Hr]]&lt;21,"Evening Peak","Night"))))</f>
        <v>Daytime</v>
      </c>
      <c r="S246" s="1" t="str">
        <f>IF(Bike_Sharing_Master6[[#This Row],[Holiday]]=1,"Holiday","Non-Holiday")</f>
        <v>Non-Holiday</v>
      </c>
      <c r="T246" s="1" t="str">
        <f>IF(Bike_Sharing_Master6[[#This Row],[Cnt]]&lt;80,"Low",IF(Bike_Sharing_Master6[[#This Row],[Cnt]]&lt;160,"Medium","High"))</f>
        <v>Low</v>
      </c>
      <c r="U246" s="1" t="str">
        <f>VLOOKUP(Bike_Sharing_Master6[[#This Row],[Weathersit]],[1]Lookup_Weather!A:B,2,FALSE)</f>
        <v>Mist</v>
      </c>
    </row>
    <row r="247" spans="1:21" x14ac:dyDescent="0.3">
      <c r="A247">
        <v>246</v>
      </c>
      <c r="B247" s="3">
        <v>40554</v>
      </c>
      <c r="C247" s="1">
        <v>1</v>
      </c>
      <c r="D247" s="1">
        <v>0</v>
      </c>
      <c r="E247" s="1">
        <v>1</v>
      </c>
      <c r="F247" s="1">
        <v>14</v>
      </c>
      <c r="G247" t="b">
        <v>0</v>
      </c>
      <c r="H247" s="1">
        <v>2</v>
      </c>
      <c r="I247" s="1">
        <v>2</v>
      </c>
      <c r="J247" s="2">
        <v>0.2</v>
      </c>
      <c r="K247" s="2">
        <v>0.2273</v>
      </c>
      <c r="L247" s="2">
        <v>0.59</v>
      </c>
      <c r="M247" s="2">
        <v>8.9599999999999999E-2</v>
      </c>
      <c r="N247" s="1">
        <v>3</v>
      </c>
      <c r="O247" s="1">
        <v>60</v>
      </c>
      <c r="P247" s="1">
        <v>63</v>
      </c>
      <c r="Q247" s="1" t="str">
        <f>IF(WEEKDAY(Bike_Sharing_Master6[[#This Row],[Dteday]],2)&gt;=6,"Weekend","Weekday")</f>
        <v>Weekday</v>
      </c>
      <c r="R247" s="1" t="str">
        <f xml:space="preserve"> IF(Bike_Sharing_Master6[[#This Row],[Hr]]&lt;6,"Late Night", IF(Bike_Sharing_Master6[[#This Row],[Hr]]&lt;10,"Morning Peak", IF(Bike_Sharing_Master6[[#This Row],[Hr]]&lt;17,"Daytime", IF(Bike_Sharing_Master6[[#This Row],[Hr]]&lt;21,"Evening Peak","Night"))))</f>
        <v>Daytime</v>
      </c>
      <c r="S247" s="1" t="str">
        <f>IF(Bike_Sharing_Master6[[#This Row],[Holiday]]=1,"Holiday","Non-Holiday")</f>
        <v>Non-Holiday</v>
      </c>
      <c r="T247" s="1" t="str">
        <f>IF(Bike_Sharing_Master6[[#This Row],[Cnt]]&lt;80,"Low",IF(Bike_Sharing_Master6[[#This Row],[Cnt]]&lt;160,"Medium","High"))</f>
        <v>Low</v>
      </c>
      <c r="U247" s="1" t="str">
        <f>VLOOKUP(Bike_Sharing_Master6[[#This Row],[Weathersit]],[1]Lookup_Weather!A:B,2,FALSE)</f>
        <v>Mist</v>
      </c>
    </row>
    <row r="248" spans="1:21" x14ac:dyDescent="0.3">
      <c r="A248">
        <v>247</v>
      </c>
      <c r="B248" s="3">
        <v>40554</v>
      </c>
      <c r="C248" s="1">
        <v>1</v>
      </c>
      <c r="D248" s="1">
        <v>0</v>
      </c>
      <c r="E248" s="1">
        <v>1</v>
      </c>
      <c r="F248" s="1">
        <v>15</v>
      </c>
      <c r="G248" t="b">
        <v>0</v>
      </c>
      <c r="H248" s="1">
        <v>2</v>
      </c>
      <c r="I248" s="1">
        <v>2</v>
      </c>
      <c r="J248" s="2">
        <v>0.16</v>
      </c>
      <c r="K248" s="2">
        <v>0.19700000000000001</v>
      </c>
      <c r="L248" s="2">
        <v>0.8</v>
      </c>
      <c r="M248" s="2">
        <v>8.9599999999999999E-2</v>
      </c>
      <c r="N248" s="1">
        <v>2</v>
      </c>
      <c r="O248" s="1">
        <v>45</v>
      </c>
      <c r="P248" s="1">
        <v>47</v>
      </c>
      <c r="Q248" s="1" t="str">
        <f>IF(WEEKDAY(Bike_Sharing_Master6[[#This Row],[Dteday]],2)&gt;=6,"Weekend","Weekday")</f>
        <v>Weekday</v>
      </c>
      <c r="R248" s="1" t="str">
        <f xml:space="preserve"> IF(Bike_Sharing_Master6[[#This Row],[Hr]]&lt;6,"Late Night", IF(Bike_Sharing_Master6[[#This Row],[Hr]]&lt;10,"Morning Peak", IF(Bike_Sharing_Master6[[#This Row],[Hr]]&lt;17,"Daytime", IF(Bike_Sharing_Master6[[#This Row],[Hr]]&lt;21,"Evening Peak","Night"))))</f>
        <v>Daytime</v>
      </c>
      <c r="S248" s="1" t="str">
        <f>IF(Bike_Sharing_Master6[[#This Row],[Holiday]]=1,"Holiday","Non-Holiday")</f>
        <v>Non-Holiday</v>
      </c>
      <c r="T248" s="1" t="str">
        <f>IF(Bike_Sharing_Master6[[#This Row],[Cnt]]&lt;80,"Low",IF(Bike_Sharing_Master6[[#This Row],[Cnt]]&lt;160,"Medium","High"))</f>
        <v>Low</v>
      </c>
      <c r="U248" s="1" t="str">
        <f>VLOOKUP(Bike_Sharing_Master6[[#This Row],[Weathersit]],[1]Lookup_Weather!A:B,2,FALSE)</f>
        <v>Mist</v>
      </c>
    </row>
    <row r="249" spans="1:21" x14ac:dyDescent="0.3">
      <c r="A249">
        <v>248</v>
      </c>
      <c r="B249" s="3">
        <v>40554</v>
      </c>
      <c r="C249" s="1">
        <v>1</v>
      </c>
      <c r="D249" s="1">
        <v>0</v>
      </c>
      <c r="E249" s="1">
        <v>1</v>
      </c>
      <c r="F249" s="1">
        <v>16</v>
      </c>
      <c r="G249" t="b">
        <v>0</v>
      </c>
      <c r="H249" s="1">
        <v>2</v>
      </c>
      <c r="I249" s="1">
        <v>2</v>
      </c>
      <c r="J249" s="2">
        <v>0.16</v>
      </c>
      <c r="K249" s="2">
        <v>0.1515</v>
      </c>
      <c r="L249" s="2">
        <v>0.86</v>
      </c>
      <c r="M249" s="2">
        <v>0.22389999999999999</v>
      </c>
      <c r="N249" s="1">
        <v>4</v>
      </c>
      <c r="O249" s="1">
        <v>72</v>
      </c>
      <c r="P249" s="1">
        <v>76</v>
      </c>
      <c r="Q249" s="1" t="str">
        <f>IF(WEEKDAY(Bike_Sharing_Master6[[#This Row],[Dteday]],2)&gt;=6,"Weekend","Weekday")</f>
        <v>Weekday</v>
      </c>
      <c r="R249" s="1" t="str">
        <f xml:space="preserve"> IF(Bike_Sharing_Master6[[#This Row],[Hr]]&lt;6,"Late Night", IF(Bike_Sharing_Master6[[#This Row],[Hr]]&lt;10,"Morning Peak", IF(Bike_Sharing_Master6[[#This Row],[Hr]]&lt;17,"Daytime", IF(Bike_Sharing_Master6[[#This Row],[Hr]]&lt;21,"Evening Peak","Night"))))</f>
        <v>Daytime</v>
      </c>
      <c r="S249" s="1" t="str">
        <f>IF(Bike_Sharing_Master6[[#This Row],[Holiday]]=1,"Holiday","Non-Holiday")</f>
        <v>Non-Holiday</v>
      </c>
      <c r="T249" s="1" t="str">
        <f>IF(Bike_Sharing_Master6[[#This Row],[Cnt]]&lt;80,"Low",IF(Bike_Sharing_Master6[[#This Row],[Cnt]]&lt;160,"Medium","High"))</f>
        <v>Low</v>
      </c>
      <c r="U249" s="1" t="str">
        <f>VLOOKUP(Bike_Sharing_Master6[[#This Row],[Weathersit]],[1]Lookup_Weather!A:B,2,FALSE)</f>
        <v>Mist</v>
      </c>
    </row>
    <row r="250" spans="1:21" x14ac:dyDescent="0.3">
      <c r="A250">
        <v>249</v>
      </c>
      <c r="B250" s="3">
        <v>40554</v>
      </c>
      <c r="C250" s="1">
        <v>1</v>
      </c>
      <c r="D250" s="1">
        <v>0</v>
      </c>
      <c r="E250" s="1">
        <v>1</v>
      </c>
      <c r="F250" s="1">
        <v>17</v>
      </c>
      <c r="G250" t="b">
        <v>0</v>
      </c>
      <c r="H250" s="1">
        <v>2</v>
      </c>
      <c r="I250" s="1">
        <v>2</v>
      </c>
      <c r="J250" s="2">
        <v>0.16</v>
      </c>
      <c r="K250" s="2">
        <v>0.1515</v>
      </c>
      <c r="L250" s="2">
        <v>0.86</v>
      </c>
      <c r="M250" s="2">
        <v>0.22389999999999999</v>
      </c>
      <c r="N250" s="1">
        <v>6</v>
      </c>
      <c r="O250" s="1">
        <v>130</v>
      </c>
      <c r="P250" s="1">
        <v>136</v>
      </c>
      <c r="Q250" s="1" t="str">
        <f>IF(WEEKDAY(Bike_Sharing_Master6[[#This Row],[Dteday]],2)&gt;=6,"Weekend","Weekday")</f>
        <v>Weekday</v>
      </c>
      <c r="R250" s="1" t="str">
        <f xml:space="preserve"> IF(Bike_Sharing_Master6[[#This Row],[Hr]]&lt;6,"Late Night", IF(Bike_Sharing_Master6[[#This Row],[Hr]]&lt;10,"Morning Peak", IF(Bike_Sharing_Master6[[#This Row],[Hr]]&lt;17,"Daytime", IF(Bike_Sharing_Master6[[#This Row],[Hr]]&lt;21,"Evening Peak","Night"))))</f>
        <v>Evening Peak</v>
      </c>
      <c r="S250" s="1" t="str">
        <f>IF(Bike_Sharing_Master6[[#This Row],[Holiday]]=1,"Holiday","Non-Holiday")</f>
        <v>Non-Holiday</v>
      </c>
      <c r="T250" s="1" t="str">
        <f>IF(Bike_Sharing_Master6[[#This Row],[Cnt]]&lt;80,"Low",IF(Bike_Sharing_Master6[[#This Row],[Cnt]]&lt;160,"Medium","High"))</f>
        <v>Medium</v>
      </c>
      <c r="U250" s="1" t="str">
        <f>VLOOKUP(Bike_Sharing_Master6[[#This Row],[Weathersit]],[1]Lookup_Weather!A:B,2,FALSE)</f>
        <v>Mist</v>
      </c>
    </row>
    <row r="251" spans="1:21" x14ac:dyDescent="0.3">
      <c r="A251">
        <v>250</v>
      </c>
      <c r="B251" s="3">
        <v>40554</v>
      </c>
      <c r="C251" s="1">
        <v>1</v>
      </c>
      <c r="D251" s="1">
        <v>0</v>
      </c>
      <c r="E251" s="1">
        <v>1</v>
      </c>
      <c r="F251" s="1">
        <v>18</v>
      </c>
      <c r="G251" t="b">
        <v>0</v>
      </c>
      <c r="H251" s="1">
        <v>2</v>
      </c>
      <c r="I251" s="1">
        <v>3</v>
      </c>
      <c r="J251" s="2">
        <v>0.16</v>
      </c>
      <c r="K251" s="2">
        <v>0.18179999999999999</v>
      </c>
      <c r="L251" s="2">
        <v>0.93</v>
      </c>
      <c r="M251" s="2">
        <v>0.1045</v>
      </c>
      <c r="N251" s="1">
        <v>1</v>
      </c>
      <c r="O251" s="1">
        <v>94</v>
      </c>
      <c r="P251" s="1">
        <v>95</v>
      </c>
      <c r="Q251" s="1" t="str">
        <f>IF(WEEKDAY(Bike_Sharing_Master6[[#This Row],[Dteday]],2)&gt;=6,"Weekend","Weekday")</f>
        <v>Weekday</v>
      </c>
      <c r="R251" s="1" t="str">
        <f xml:space="preserve"> IF(Bike_Sharing_Master6[[#This Row],[Hr]]&lt;6,"Late Night", IF(Bike_Sharing_Master6[[#This Row],[Hr]]&lt;10,"Morning Peak", IF(Bike_Sharing_Master6[[#This Row],[Hr]]&lt;17,"Daytime", IF(Bike_Sharing_Master6[[#This Row],[Hr]]&lt;21,"Evening Peak","Night"))))</f>
        <v>Evening Peak</v>
      </c>
      <c r="S251" s="1" t="str">
        <f>IF(Bike_Sharing_Master6[[#This Row],[Holiday]]=1,"Holiday","Non-Holiday")</f>
        <v>Non-Holiday</v>
      </c>
      <c r="T251" s="1" t="str">
        <f>IF(Bike_Sharing_Master6[[#This Row],[Cnt]]&lt;80,"Low",IF(Bike_Sharing_Master6[[#This Row],[Cnt]]&lt;160,"Medium","High"))</f>
        <v>Medium</v>
      </c>
      <c r="U251" s="1" t="str">
        <f>VLOOKUP(Bike_Sharing_Master6[[#This Row],[Weathersit]],[1]Lookup_Weather!A:B,2,FALSE)</f>
        <v>Light Rain</v>
      </c>
    </row>
    <row r="252" spans="1:21" x14ac:dyDescent="0.3">
      <c r="A252">
        <v>251</v>
      </c>
      <c r="B252" s="3">
        <v>40554</v>
      </c>
      <c r="C252" s="1">
        <v>1</v>
      </c>
      <c r="D252" s="1">
        <v>0</v>
      </c>
      <c r="E252" s="1">
        <v>1</v>
      </c>
      <c r="F252" s="1">
        <v>19</v>
      </c>
      <c r="G252" t="b">
        <v>0</v>
      </c>
      <c r="H252" s="1">
        <v>2</v>
      </c>
      <c r="I252" s="1">
        <v>3</v>
      </c>
      <c r="J252" s="2">
        <v>0.16</v>
      </c>
      <c r="K252" s="2">
        <v>0.2273</v>
      </c>
      <c r="L252" s="2">
        <v>0.93</v>
      </c>
      <c r="M252" s="2">
        <v>0</v>
      </c>
      <c r="N252" s="1">
        <v>0</v>
      </c>
      <c r="O252" s="1">
        <v>51</v>
      </c>
      <c r="P252" s="1">
        <v>51</v>
      </c>
      <c r="Q252" s="1" t="str">
        <f>IF(WEEKDAY(Bike_Sharing_Master6[[#This Row],[Dteday]],2)&gt;=6,"Weekend","Weekday")</f>
        <v>Weekday</v>
      </c>
      <c r="R252" s="1" t="str">
        <f xml:space="preserve"> IF(Bike_Sharing_Master6[[#This Row],[Hr]]&lt;6,"Late Night", IF(Bike_Sharing_Master6[[#This Row],[Hr]]&lt;10,"Morning Peak", IF(Bike_Sharing_Master6[[#This Row],[Hr]]&lt;17,"Daytime", IF(Bike_Sharing_Master6[[#This Row],[Hr]]&lt;21,"Evening Peak","Night"))))</f>
        <v>Evening Peak</v>
      </c>
      <c r="S252" s="1" t="str">
        <f>IF(Bike_Sharing_Master6[[#This Row],[Holiday]]=1,"Holiday","Non-Holiday")</f>
        <v>Non-Holiday</v>
      </c>
      <c r="T252" s="1" t="str">
        <f>IF(Bike_Sharing_Master6[[#This Row],[Cnt]]&lt;80,"Low",IF(Bike_Sharing_Master6[[#This Row],[Cnt]]&lt;160,"Medium","High"))</f>
        <v>Low</v>
      </c>
      <c r="U252" s="1" t="str">
        <f>VLOOKUP(Bike_Sharing_Master6[[#This Row],[Weathersit]],[1]Lookup_Weather!A:B,2,FALSE)</f>
        <v>Light Rain</v>
      </c>
    </row>
    <row r="253" spans="1:21" x14ac:dyDescent="0.3">
      <c r="A253">
        <v>252</v>
      </c>
      <c r="B253" s="3">
        <v>40554</v>
      </c>
      <c r="C253" s="1">
        <v>1</v>
      </c>
      <c r="D253" s="1">
        <v>0</v>
      </c>
      <c r="E253" s="1">
        <v>1</v>
      </c>
      <c r="F253" s="1">
        <v>20</v>
      </c>
      <c r="G253" t="b">
        <v>0</v>
      </c>
      <c r="H253" s="1">
        <v>2</v>
      </c>
      <c r="I253" s="1">
        <v>3</v>
      </c>
      <c r="J253" s="2">
        <v>0.16</v>
      </c>
      <c r="K253" s="2">
        <v>0.1515</v>
      </c>
      <c r="L253" s="2">
        <v>0.93</v>
      </c>
      <c r="M253" s="2">
        <v>0.19400000000000001</v>
      </c>
      <c r="N253" s="1">
        <v>0</v>
      </c>
      <c r="O253" s="1">
        <v>32</v>
      </c>
      <c r="P253" s="1">
        <v>32</v>
      </c>
      <c r="Q253" s="1" t="str">
        <f>IF(WEEKDAY(Bike_Sharing_Master6[[#This Row],[Dteday]],2)&gt;=6,"Weekend","Weekday")</f>
        <v>Weekday</v>
      </c>
      <c r="R253" s="1" t="str">
        <f xml:space="preserve"> IF(Bike_Sharing_Master6[[#This Row],[Hr]]&lt;6,"Late Night", IF(Bike_Sharing_Master6[[#This Row],[Hr]]&lt;10,"Morning Peak", IF(Bike_Sharing_Master6[[#This Row],[Hr]]&lt;17,"Daytime", IF(Bike_Sharing_Master6[[#This Row],[Hr]]&lt;21,"Evening Peak","Night"))))</f>
        <v>Evening Peak</v>
      </c>
      <c r="S253" s="1" t="str">
        <f>IF(Bike_Sharing_Master6[[#This Row],[Holiday]]=1,"Holiday","Non-Holiday")</f>
        <v>Non-Holiday</v>
      </c>
      <c r="T253" s="1" t="str">
        <f>IF(Bike_Sharing_Master6[[#This Row],[Cnt]]&lt;80,"Low",IF(Bike_Sharing_Master6[[#This Row],[Cnt]]&lt;160,"Medium","High"))</f>
        <v>Low</v>
      </c>
      <c r="U253" s="1" t="str">
        <f>VLOOKUP(Bike_Sharing_Master6[[#This Row],[Weathersit]],[1]Lookup_Weather!A:B,2,FALSE)</f>
        <v>Light Rain</v>
      </c>
    </row>
    <row r="254" spans="1:21" x14ac:dyDescent="0.3">
      <c r="A254">
        <v>253</v>
      </c>
      <c r="B254" s="3">
        <v>40554</v>
      </c>
      <c r="C254" s="1">
        <v>1</v>
      </c>
      <c r="D254" s="1">
        <v>0</v>
      </c>
      <c r="E254" s="1">
        <v>1</v>
      </c>
      <c r="F254" s="1">
        <v>21</v>
      </c>
      <c r="G254" t="b">
        <v>0</v>
      </c>
      <c r="H254" s="1">
        <v>2</v>
      </c>
      <c r="I254" s="1">
        <v>3</v>
      </c>
      <c r="J254" s="2">
        <v>0.16</v>
      </c>
      <c r="K254" s="2">
        <v>0.19700000000000001</v>
      </c>
      <c r="L254" s="2">
        <v>0.86</v>
      </c>
      <c r="M254" s="2">
        <v>8.9599999999999999E-2</v>
      </c>
      <c r="N254" s="1">
        <v>0</v>
      </c>
      <c r="O254" s="1">
        <v>20</v>
      </c>
      <c r="P254" s="1">
        <v>20</v>
      </c>
      <c r="Q254" s="1" t="str">
        <f>IF(WEEKDAY(Bike_Sharing_Master6[[#This Row],[Dteday]],2)&gt;=6,"Weekend","Weekday")</f>
        <v>Weekday</v>
      </c>
      <c r="R254" s="1" t="str">
        <f xml:space="preserve"> IF(Bike_Sharing_Master6[[#This Row],[Hr]]&lt;6,"Late Night", IF(Bike_Sharing_Master6[[#This Row],[Hr]]&lt;10,"Morning Peak", IF(Bike_Sharing_Master6[[#This Row],[Hr]]&lt;17,"Daytime", IF(Bike_Sharing_Master6[[#This Row],[Hr]]&lt;21,"Evening Peak","Night"))))</f>
        <v>Night</v>
      </c>
      <c r="S254" s="1" t="str">
        <f>IF(Bike_Sharing_Master6[[#This Row],[Holiday]]=1,"Holiday","Non-Holiday")</f>
        <v>Non-Holiday</v>
      </c>
      <c r="T254" s="1" t="str">
        <f>IF(Bike_Sharing_Master6[[#This Row],[Cnt]]&lt;80,"Low",IF(Bike_Sharing_Master6[[#This Row],[Cnt]]&lt;160,"Medium","High"))</f>
        <v>Low</v>
      </c>
      <c r="U254" s="1" t="str">
        <f>VLOOKUP(Bike_Sharing_Master6[[#This Row],[Weathersit]],[1]Lookup_Weather!A:B,2,FALSE)</f>
        <v>Light Rain</v>
      </c>
    </row>
    <row r="255" spans="1:21" x14ac:dyDescent="0.3">
      <c r="A255">
        <v>254</v>
      </c>
      <c r="B255" s="3">
        <v>40554</v>
      </c>
      <c r="C255" s="1">
        <v>1</v>
      </c>
      <c r="D255" s="1">
        <v>0</v>
      </c>
      <c r="E255" s="1">
        <v>1</v>
      </c>
      <c r="F255" s="1">
        <v>22</v>
      </c>
      <c r="G255" t="b">
        <v>0</v>
      </c>
      <c r="H255" s="1">
        <v>2</v>
      </c>
      <c r="I255" s="1">
        <v>3</v>
      </c>
      <c r="J255" s="2">
        <v>0.16</v>
      </c>
      <c r="K255" s="2">
        <v>0.18179999999999999</v>
      </c>
      <c r="L255" s="2">
        <v>0.93</v>
      </c>
      <c r="M255" s="2">
        <v>0.1045</v>
      </c>
      <c r="N255" s="1">
        <v>1</v>
      </c>
      <c r="O255" s="1">
        <v>28</v>
      </c>
      <c r="P255" s="1">
        <v>29</v>
      </c>
      <c r="Q255" s="1" t="str">
        <f>IF(WEEKDAY(Bike_Sharing_Master6[[#This Row],[Dteday]],2)&gt;=6,"Weekend","Weekday")</f>
        <v>Weekday</v>
      </c>
      <c r="R255" s="1" t="str">
        <f xml:space="preserve"> IF(Bike_Sharing_Master6[[#This Row],[Hr]]&lt;6,"Late Night", IF(Bike_Sharing_Master6[[#This Row],[Hr]]&lt;10,"Morning Peak", IF(Bike_Sharing_Master6[[#This Row],[Hr]]&lt;17,"Daytime", IF(Bike_Sharing_Master6[[#This Row],[Hr]]&lt;21,"Evening Peak","Night"))))</f>
        <v>Night</v>
      </c>
      <c r="S255" s="1" t="str">
        <f>IF(Bike_Sharing_Master6[[#This Row],[Holiday]]=1,"Holiday","Non-Holiday")</f>
        <v>Non-Holiday</v>
      </c>
      <c r="T255" s="1" t="str">
        <f>IF(Bike_Sharing_Master6[[#This Row],[Cnt]]&lt;80,"Low",IF(Bike_Sharing_Master6[[#This Row],[Cnt]]&lt;160,"Medium","High"))</f>
        <v>Low</v>
      </c>
      <c r="U255" s="1" t="str">
        <f>VLOOKUP(Bike_Sharing_Master6[[#This Row],[Weathersit]],[1]Lookup_Weather!A:B,2,FALSE)</f>
        <v>Light Rain</v>
      </c>
    </row>
    <row r="256" spans="1:21" x14ac:dyDescent="0.3">
      <c r="A256">
        <v>255</v>
      </c>
      <c r="B256" s="3">
        <v>40554</v>
      </c>
      <c r="C256" s="1">
        <v>1</v>
      </c>
      <c r="D256" s="1">
        <v>0</v>
      </c>
      <c r="E256" s="1">
        <v>1</v>
      </c>
      <c r="F256" s="1">
        <v>23</v>
      </c>
      <c r="G256" t="b">
        <v>0</v>
      </c>
      <c r="H256" s="1">
        <v>2</v>
      </c>
      <c r="I256" s="1">
        <v>3</v>
      </c>
      <c r="J256" s="2">
        <v>0.16</v>
      </c>
      <c r="K256" s="2">
        <v>0.19700000000000001</v>
      </c>
      <c r="L256" s="2">
        <v>0.93</v>
      </c>
      <c r="M256" s="2">
        <v>8.9599999999999999E-2</v>
      </c>
      <c r="N256" s="1">
        <v>1</v>
      </c>
      <c r="O256" s="1">
        <v>18</v>
      </c>
      <c r="P256" s="1">
        <v>19</v>
      </c>
      <c r="Q256" s="1" t="str">
        <f>IF(WEEKDAY(Bike_Sharing_Master6[[#This Row],[Dteday]],2)&gt;=6,"Weekend","Weekday")</f>
        <v>Weekday</v>
      </c>
      <c r="R256" s="1" t="str">
        <f xml:space="preserve"> IF(Bike_Sharing_Master6[[#This Row],[Hr]]&lt;6,"Late Night", IF(Bike_Sharing_Master6[[#This Row],[Hr]]&lt;10,"Morning Peak", IF(Bike_Sharing_Master6[[#This Row],[Hr]]&lt;17,"Daytime", IF(Bike_Sharing_Master6[[#This Row],[Hr]]&lt;21,"Evening Peak","Night"))))</f>
        <v>Night</v>
      </c>
      <c r="S256" s="1" t="str">
        <f>IF(Bike_Sharing_Master6[[#This Row],[Holiday]]=1,"Holiday","Non-Holiday")</f>
        <v>Non-Holiday</v>
      </c>
      <c r="T256" s="1" t="str">
        <f>IF(Bike_Sharing_Master6[[#This Row],[Cnt]]&lt;80,"Low",IF(Bike_Sharing_Master6[[#This Row],[Cnt]]&lt;160,"Medium","High"))</f>
        <v>Low</v>
      </c>
      <c r="U256" s="1" t="str">
        <f>VLOOKUP(Bike_Sharing_Master6[[#This Row],[Weathersit]],[1]Lookup_Weather!A:B,2,FALSE)</f>
        <v>Light Rain</v>
      </c>
    </row>
    <row r="257" spans="1:21" x14ac:dyDescent="0.3">
      <c r="A257">
        <v>256</v>
      </c>
      <c r="B257" s="3">
        <v>40555</v>
      </c>
      <c r="C257" s="1">
        <v>1</v>
      </c>
      <c r="D257" s="1">
        <v>0</v>
      </c>
      <c r="E257" s="1">
        <v>1</v>
      </c>
      <c r="F257" s="1">
        <v>0</v>
      </c>
      <c r="G257" t="b">
        <v>0</v>
      </c>
      <c r="H257" s="1">
        <v>3</v>
      </c>
      <c r="I257" s="1">
        <v>2</v>
      </c>
      <c r="J257" s="2">
        <v>0.16</v>
      </c>
      <c r="K257" s="2">
        <v>0.19700000000000001</v>
      </c>
      <c r="L257" s="2">
        <v>0.86</v>
      </c>
      <c r="M257" s="2">
        <v>8.9599999999999999E-2</v>
      </c>
      <c r="N257" s="1">
        <v>0</v>
      </c>
      <c r="O257" s="1">
        <v>7</v>
      </c>
      <c r="P257" s="1">
        <v>7</v>
      </c>
      <c r="Q257" s="1" t="str">
        <f>IF(WEEKDAY(Bike_Sharing_Master6[[#This Row],[Dteday]],2)&gt;=6,"Weekend","Weekday")</f>
        <v>Weekday</v>
      </c>
      <c r="R257" s="1" t="str">
        <f xml:space="preserve"> IF(Bike_Sharing_Master6[[#This Row],[Hr]]&lt;6,"Late Night", IF(Bike_Sharing_Master6[[#This Row],[Hr]]&lt;10,"Morning Peak", IF(Bike_Sharing_Master6[[#This Row],[Hr]]&lt;17,"Daytime", IF(Bike_Sharing_Master6[[#This Row],[Hr]]&lt;21,"Evening Peak","Night"))))</f>
        <v>Late Night</v>
      </c>
      <c r="S257" s="1" t="str">
        <f>IF(Bike_Sharing_Master6[[#This Row],[Holiday]]=1,"Holiday","Non-Holiday")</f>
        <v>Non-Holiday</v>
      </c>
      <c r="T257" s="1" t="str">
        <f>IF(Bike_Sharing_Master6[[#This Row],[Cnt]]&lt;80,"Low",IF(Bike_Sharing_Master6[[#This Row],[Cnt]]&lt;160,"Medium","High"))</f>
        <v>Low</v>
      </c>
      <c r="U257" s="1" t="str">
        <f>VLOOKUP(Bike_Sharing_Master6[[#This Row],[Weathersit]],[1]Lookup_Weather!A:B,2,FALSE)</f>
        <v>Mist</v>
      </c>
    </row>
    <row r="258" spans="1:21" x14ac:dyDescent="0.3">
      <c r="A258">
        <v>257</v>
      </c>
      <c r="B258" s="3">
        <v>40555</v>
      </c>
      <c r="C258" s="1">
        <v>1</v>
      </c>
      <c r="D258" s="1">
        <v>0</v>
      </c>
      <c r="E258" s="1">
        <v>1</v>
      </c>
      <c r="F258" s="1">
        <v>1</v>
      </c>
      <c r="G258" t="b">
        <v>0</v>
      </c>
      <c r="H258" s="1">
        <v>3</v>
      </c>
      <c r="I258" s="1">
        <v>2</v>
      </c>
      <c r="J258" s="2">
        <v>0.16</v>
      </c>
      <c r="K258" s="2">
        <v>0.18179999999999999</v>
      </c>
      <c r="L258" s="2">
        <v>0.86</v>
      </c>
      <c r="M258" s="2">
        <v>0.1045</v>
      </c>
      <c r="N258" s="1">
        <v>0</v>
      </c>
      <c r="O258" s="1">
        <v>6</v>
      </c>
      <c r="P258" s="1">
        <v>6</v>
      </c>
      <c r="Q258" s="1" t="str">
        <f>IF(WEEKDAY(Bike_Sharing_Master6[[#This Row],[Dteday]],2)&gt;=6,"Weekend","Weekday")</f>
        <v>Weekday</v>
      </c>
      <c r="R258" s="1" t="str">
        <f xml:space="preserve"> IF(Bike_Sharing_Master6[[#This Row],[Hr]]&lt;6,"Late Night", IF(Bike_Sharing_Master6[[#This Row],[Hr]]&lt;10,"Morning Peak", IF(Bike_Sharing_Master6[[#This Row],[Hr]]&lt;17,"Daytime", IF(Bike_Sharing_Master6[[#This Row],[Hr]]&lt;21,"Evening Peak","Night"))))</f>
        <v>Late Night</v>
      </c>
      <c r="S258" s="1" t="str">
        <f>IF(Bike_Sharing_Master6[[#This Row],[Holiday]]=1,"Holiday","Non-Holiday")</f>
        <v>Non-Holiday</v>
      </c>
      <c r="T258" s="1" t="str">
        <f>IF(Bike_Sharing_Master6[[#This Row],[Cnt]]&lt;80,"Low",IF(Bike_Sharing_Master6[[#This Row],[Cnt]]&lt;160,"Medium","High"))</f>
        <v>Low</v>
      </c>
      <c r="U258" s="1" t="str">
        <f>VLOOKUP(Bike_Sharing_Master6[[#This Row],[Weathersit]],[1]Lookup_Weather!A:B,2,FALSE)</f>
        <v>Mist</v>
      </c>
    </row>
    <row r="259" spans="1:21" x14ac:dyDescent="0.3">
      <c r="A259">
        <v>258</v>
      </c>
      <c r="B259" s="3">
        <v>40555</v>
      </c>
      <c r="C259" s="1">
        <v>1</v>
      </c>
      <c r="D259" s="1">
        <v>0</v>
      </c>
      <c r="E259" s="1">
        <v>1</v>
      </c>
      <c r="F259" s="1">
        <v>2</v>
      </c>
      <c r="G259" t="b">
        <v>0</v>
      </c>
      <c r="H259" s="1">
        <v>3</v>
      </c>
      <c r="I259" s="1">
        <v>1</v>
      </c>
      <c r="J259" s="2">
        <v>0.14000000000000001</v>
      </c>
      <c r="K259" s="2">
        <v>0.1515</v>
      </c>
      <c r="L259" s="2">
        <v>0.86</v>
      </c>
      <c r="M259" s="2">
        <v>0.1343</v>
      </c>
      <c r="N259" s="1">
        <v>0</v>
      </c>
      <c r="O259" s="1">
        <v>1</v>
      </c>
      <c r="P259" s="1">
        <v>1</v>
      </c>
      <c r="Q259" s="1" t="str">
        <f>IF(WEEKDAY(Bike_Sharing_Master6[[#This Row],[Dteday]],2)&gt;=6,"Weekend","Weekday")</f>
        <v>Weekday</v>
      </c>
      <c r="R259" s="1" t="str">
        <f xml:space="preserve"> IF(Bike_Sharing_Master6[[#This Row],[Hr]]&lt;6,"Late Night", IF(Bike_Sharing_Master6[[#This Row],[Hr]]&lt;10,"Morning Peak", IF(Bike_Sharing_Master6[[#This Row],[Hr]]&lt;17,"Daytime", IF(Bike_Sharing_Master6[[#This Row],[Hr]]&lt;21,"Evening Peak","Night"))))</f>
        <v>Late Night</v>
      </c>
      <c r="S259" s="1" t="str">
        <f>IF(Bike_Sharing_Master6[[#This Row],[Holiday]]=1,"Holiday","Non-Holiday")</f>
        <v>Non-Holiday</v>
      </c>
      <c r="T259" s="1" t="str">
        <f>IF(Bike_Sharing_Master6[[#This Row],[Cnt]]&lt;80,"Low",IF(Bike_Sharing_Master6[[#This Row],[Cnt]]&lt;160,"Medium","High"))</f>
        <v>Low</v>
      </c>
      <c r="U259" s="1" t="str">
        <f>VLOOKUP(Bike_Sharing_Master6[[#This Row],[Weathersit]],[1]Lookup_Weather!A:B,2,FALSE)</f>
        <v>Clear</v>
      </c>
    </row>
    <row r="260" spans="1:21" x14ac:dyDescent="0.3">
      <c r="A260">
        <v>259</v>
      </c>
      <c r="B260" s="3">
        <v>40555</v>
      </c>
      <c r="C260" s="1">
        <v>1</v>
      </c>
      <c r="D260" s="1">
        <v>0</v>
      </c>
      <c r="E260" s="1">
        <v>1</v>
      </c>
      <c r="F260" s="1">
        <v>5</v>
      </c>
      <c r="G260" t="b">
        <v>0</v>
      </c>
      <c r="H260" s="1">
        <v>3</v>
      </c>
      <c r="I260" s="1">
        <v>1</v>
      </c>
      <c r="J260" s="2">
        <v>0.14000000000000001</v>
      </c>
      <c r="K260" s="2">
        <v>0.1515</v>
      </c>
      <c r="L260" s="2">
        <v>0.86</v>
      </c>
      <c r="M260" s="2">
        <v>0.16420000000000001</v>
      </c>
      <c r="N260" s="1">
        <v>0</v>
      </c>
      <c r="O260" s="1">
        <v>5</v>
      </c>
      <c r="P260" s="1">
        <v>5</v>
      </c>
      <c r="Q260" s="1" t="str">
        <f>IF(WEEKDAY(Bike_Sharing_Master6[[#This Row],[Dteday]],2)&gt;=6,"Weekend","Weekday")</f>
        <v>Weekday</v>
      </c>
      <c r="R260" s="1" t="str">
        <f xml:space="preserve"> IF(Bike_Sharing_Master6[[#This Row],[Hr]]&lt;6,"Late Night", IF(Bike_Sharing_Master6[[#This Row],[Hr]]&lt;10,"Morning Peak", IF(Bike_Sharing_Master6[[#This Row],[Hr]]&lt;17,"Daytime", IF(Bike_Sharing_Master6[[#This Row],[Hr]]&lt;21,"Evening Peak","Night"))))</f>
        <v>Late Night</v>
      </c>
      <c r="S260" s="1" t="str">
        <f>IF(Bike_Sharing_Master6[[#This Row],[Holiday]]=1,"Holiday","Non-Holiday")</f>
        <v>Non-Holiday</v>
      </c>
      <c r="T260" s="1" t="str">
        <f>IF(Bike_Sharing_Master6[[#This Row],[Cnt]]&lt;80,"Low",IF(Bike_Sharing_Master6[[#This Row],[Cnt]]&lt;160,"Medium","High"))</f>
        <v>Low</v>
      </c>
      <c r="U260" s="1" t="str">
        <f>VLOOKUP(Bike_Sharing_Master6[[#This Row],[Weathersit]],[1]Lookup_Weather!A:B,2,FALSE)</f>
        <v>Clear</v>
      </c>
    </row>
    <row r="261" spans="1:21" x14ac:dyDescent="0.3">
      <c r="A261">
        <v>260</v>
      </c>
      <c r="B261" s="3">
        <v>40555</v>
      </c>
      <c r="C261" s="1">
        <v>1</v>
      </c>
      <c r="D261" s="1">
        <v>0</v>
      </c>
      <c r="E261" s="1">
        <v>1</v>
      </c>
      <c r="F261" s="1">
        <v>6</v>
      </c>
      <c r="G261" t="b">
        <v>0</v>
      </c>
      <c r="H261" s="1">
        <v>3</v>
      </c>
      <c r="I261" s="1">
        <v>1</v>
      </c>
      <c r="J261" s="2">
        <v>0.12</v>
      </c>
      <c r="K261" s="2">
        <v>0.1515</v>
      </c>
      <c r="L261" s="2">
        <v>0.93</v>
      </c>
      <c r="M261" s="2">
        <v>0.1343</v>
      </c>
      <c r="N261" s="1">
        <v>0</v>
      </c>
      <c r="O261" s="1">
        <v>16</v>
      </c>
      <c r="P261" s="1">
        <v>16</v>
      </c>
      <c r="Q261" s="1" t="str">
        <f>IF(WEEKDAY(Bike_Sharing_Master6[[#This Row],[Dteday]],2)&gt;=6,"Weekend","Weekday")</f>
        <v>Weekday</v>
      </c>
      <c r="R261" s="1" t="str">
        <f xml:space="preserve"> IF(Bike_Sharing_Master6[[#This Row],[Hr]]&lt;6,"Late Night", IF(Bike_Sharing_Master6[[#This Row],[Hr]]&lt;10,"Morning Peak", IF(Bike_Sharing_Master6[[#This Row],[Hr]]&lt;17,"Daytime", IF(Bike_Sharing_Master6[[#This Row],[Hr]]&lt;21,"Evening Peak","Night"))))</f>
        <v>Morning Peak</v>
      </c>
      <c r="S261" s="1" t="str">
        <f>IF(Bike_Sharing_Master6[[#This Row],[Holiday]]=1,"Holiday","Non-Holiday")</f>
        <v>Non-Holiday</v>
      </c>
      <c r="T261" s="1" t="str">
        <f>IF(Bike_Sharing_Master6[[#This Row],[Cnt]]&lt;80,"Low",IF(Bike_Sharing_Master6[[#This Row],[Cnt]]&lt;160,"Medium","High"))</f>
        <v>Low</v>
      </c>
      <c r="U261" s="1" t="str">
        <f>VLOOKUP(Bike_Sharing_Master6[[#This Row],[Weathersit]],[1]Lookup_Weather!A:B,2,FALSE)</f>
        <v>Clear</v>
      </c>
    </row>
    <row r="262" spans="1:21" x14ac:dyDescent="0.3">
      <c r="A262">
        <v>261</v>
      </c>
      <c r="B262" s="3">
        <v>40555</v>
      </c>
      <c r="C262" s="1">
        <v>1</v>
      </c>
      <c r="D262" s="1">
        <v>0</v>
      </c>
      <c r="E262" s="1">
        <v>1</v>
      </c>
      <c r="F262" s="1">
        <v>7</v>
      </c>
      <c r="G262" t="b">
        <v>0</v>
      </c>
      <c r="H262" s="1">
        <v>3</v>
      </c>
      <c r="I262" s="1">
        <v>1</v>
      </c>
      <c r="J262" s="2">
        <v>0.14000000000000001</v>
      </c>
      <c r="K262" s="2">
        <v>0.1515</v>
      </c>
      <c r="L262" s="2">
        <v>0.69</v>
      </c>
      <c r="M262" s="2">
        <v>0.1343</v>
      </c>
      <c r="N262" s="1">
        <v>0</v>
      </c>
      <c r="O262" s="1">
        <v>54</v>
      </c>
      <c r="P262" s="1">
        <v>54</v>
      </c>
      <c r="Q262" s="1" t="str">
        <f>IF(WEEKDAY(Bike_Sharing_Master6[[#This Row],[Dteday]],2)&gt;=6,"Weekend","Weekday")</f>
        <v>Weekday</v>
      </c>
      <c r="R262" s="1" t="str">
        <f xml:space="preserve"> IF(Bike_Sharing_Master6[[#This Row],[Hr]]&lt;6,"Late Night", IF(Bike_Sharing_Master6[[#This Row],[Hr]]&lt;10,"Morning Peak", IF(Bike_Sharing_Master6[[#This Row],[Hr]]&lt;17,"Daytime", IF(Bike_Sharing_Master6[[#This Row],[Hr]]&lt;21,"Evening Peak","Night"))))</f>
        <v>Morning Peak</v>
      </c>
      <c r="S262" s="1" t="str">
        <f>IF(Bike_Sharing_Master6[[#This Row],[Holiday]]=1,"Holiday","Non-Holiday")</f>
        <v>Non-Holiday</v>
      </c>
      <c r="T262" s="1" t="str">
        <f>IF(Bike_Sharing_Master6[[#This Row],[Cnt]]&lt;80,"Low",IF(Bike_Sharing_Master6[[#This Row],[Cnt]]&lt;160,"Medium","High"))</f>
        <v>Low</v>
      </c>
      <c r="U262" s="1" t="str">
        <f>VLOOKUP(Bike_Sharing_Master6[[#This Row],[Weathersit]],[1]Lookup_Weather!A:B,2,FALSE)</f>
        <v>Clear</v>
      </c>
    </row>
    <row r="263" spans="1:21" x14ac:dyDescent="0.3">
      <c r="A263">
        <v>262</v>
      </c>
      <c r="B263" s="3">
        <v>40555</v>
      </c>
      <c r="C263" s="1">
        <v>1</v>
      </c>
      <c r="D263" s="1">
        <v>0</v>
      </c>
      <c r="E263" s="1">
        <v>1</v>
      </c>
      <c r="F263" s="1">
        <v>8</v>
      </c>
      <c r="G263" t="b">
        <v>0</v>
      </c>
      <c r="H263" s="1">
        <v>3</v>
      </c>
      <c r="I263" s="1">
        <v>1</v>
      </c>
      <c r="J263" s="2">
        <v>0.16</v>
      </c>
      <c r="K263" s="2">
        <v>0.16669999999999999</v>
      </c>
      <c r="L263" s="2">
        <v>0.59</v>
      </c>
      <c r="M263" s="2">
        <v>0.16420000000000001</v>
      </c>
      <c r="N263" s="1">
        <v>3</v>
      </c>
      <c r="O263" s="1">
        <v>125</v>
      </c>
      <c r="P263" s="1">
        <v>128</v>
      </c>
      <c r="Q263" s="1" t="str">
        <f>IF(WEEKDAY(Bike_Sharing_Master6[[#This Row],[Dteday]],2)&gt;=6,"Weekend","Weekday")</f>
        <v>Weekday</v>
      </c>
      <c r="R263" s="1" t="str">
        <f xml:space="preserve"> IF(Bike_Sharing_Master6[[#This Row],[Hr]]&lt;6,"Late Night", IF(Bike_Sharing_Master6[[#This Row],[Hr]]&lt;10,"Morning Peak", IF(Bike_Sharing_Master6[[#This Row],[Hr]]&lt;17,"Daytime", IF(Bike_Sharing_Master6[[#This Row],[Hr]]&lt;21,"Evening Peak","Night"))))</f>
        <v>Morning Peak</v>
      </c>
      <c r="S263" s="1" t="str">
        <f>IF(Bike_Sharing_Master6[[#This Row],[Holiday]]=1,"Holiday","Non-Holiday")</f>
        <v>Non-Holiday</v>
      </c>
      <c r="T263" s="1" t="str">
        <f>IF(Bike_Sharing_Master6[[#This Row],[Cnt]]&lt;80,"Low",IF(Bike_Sharing_Master6[[#This Row],[Cnt]]&lt;160,"Medium","High"))</f>
        <v>Medium</v>
      </c>
      <c r="U263" s="1" t="str">
        <f>VLOOKUP(Bike_Sharing_Master6[[#This Row],[Weathersit]],[1]Lookup_Weather!A:B,2,FALSE)</f>
        <v>Clear</v>
      </c>
    </row>
    <row r="264" spans="1:21" x14ac:dyDescent="0.3">
      <c r="A264">
        <v>263</v>
      </c>
      <c r="B264" s="3">
        <v>40555</v>
      </c>
      <c r="C264" s="1">
        <v>1</v>
      </c>
      <c r="D264" s="1">
        <v>0</v>
      </c>
      <c r="E264" s="1">
        <v>1</v>
      </c>
      <c r="F264" s="1">
        <v>9</v>
      </c>
      <c r="G264" t="b">
        <v>0</v>
      </c>
      <c r="H264" s="1">
        <v>3</v>
      </c>
      <c r="I264" s="1">
        <v>1</v>
      </c>
      <c r="J264" s="2">
        <v>0.16</v>
      </c>
      <c r="K264" s="2">
        <v>0.13639999999999999</v>
      </c>
      <c r="L264" s="2">
        <v>0.59</v>
      </c>
      <c r="M264" s="2">
        <v>0.32840000000000003</v>
      </c>
      <c r="N264" s="1">
        <v>3</v>
      </c>
      <c r="O264" s="1">
        <v>78</v>
      </c>
      <c r="P264" s="1">
        <v>81</v>
      </c>
      <c r="Q264" s="1" t="str">
        <f>IF(WEEKDAY(Bike_Sharing_Master6[[#This Row],[Dteday]],2)&gt;=6,"Weekend","Weekday")</f>
        <v>Weekday</v>
      </c>
      <c r="R264" s="1" t="str">
        <f xml:space="preserve"> IF(Bike_Sharing_Master6[[#This Row],[Hr]]&lt;6,"Late Night", IF(Bike_Sharing_Master6[[#This Row],[Hr]]&lt;10,"Morning Peak", IF(Bike_Sharing_Master6[[#This Row],[Hr]]&lt;17,"Daytime", IF(Bike_Sharing_Master6[[#This Row],[Hr]]&lt;21,"Evening Peak","Night"))))</f>
        <v>Morning Peak</v>
      </c>
      <c r="S264" s="1" t="str">
        <f>IF(Bike_Sharing_Master6[[#This Row],[Holiday]]=1,"Holiday","Non-Holiday")</f>
        <v>Non-Holiday</v>
      </c>
      <c r="T264" s="1" t="str">
        <f>IF(Bike_Sharing_Master6[[#This Row],[Cnt]]&lt;80,"Low",IF(Bike_Sharing_Master6[[#This Row],[Cnt]]&lt;160,"Medium","High"))</f>
        <v>Medium</v>
      </c>
      <c r="U264" s="1" t="str">
        <f>VLOOKUP(Bike_Sharing_Master6[[#This Row],[Weathersit]],[1]Lookup_Weather!A:B,2,FALSE)</f>
        <v>Clear</v>
      </c>
    </row>
    <row r="265" spans="1:21" x14ac:dyDescent="0.3">
      <c r="A265">
        <v>264</v>
      </c>
      <c r="B265" s="3">
        <v>40555</v>
      </c>
      <c r="C265" s="1">
        <v>1</v>
      </c>
      <c r="D265" s="1">
        <v>0</v>
      </c>
      <c r="E265" s="1">
        <v>1</v>
      </c>
      <c r="F265" s="1">
        <v>10</v>
      </c>
      <c r="G265" t="b">
        <v>0</v>
      </c>
      <c r="H265" s="1">
        <v>3</v>
      </c>
      <c r="I265" s="1">
        <v>1</v>
      </c>
      <c r="J265" s="2">
        <v>0.18</v>
      </c>
      <c r="K265" s="2">
        <v>0.18179999999999999</v>
      </c>
      <c r="L265" s="2">
        <v>0.55000000000000004</v>
      </c>
      <c r="M265" s="2">
        <v>0.22389999999999999</v>
      </c>
      <c r="N265" s="1">
        <v>0</v>
      </c>
      <c r="O265" s="1">
        <v>39</v>
      </c>
      <c r="P265" s="1">
        <v>39</v>
      </c>
      <c r="Q265" s="1" t="str">
        <f>IF(WEEKDAY(Bike_Sharing_Master6[[#This Row],[Dteday]],2)&gt;=6,"Weekend","Weekday")</f>
        <v>Weekday</v>
      </c>
      <c r="R265" s="1" t="str">
        <f xml:space="preserve"> IF(Bike_Sharing_Master6[[#This Row],[Hr]]&lt;6,"Late Night", IF(Bike_Sharing_Master6[[#This Row],[Hr]]&lt;10,"Morning Peak", IF(Bike_Sharing_Master6[[#This Row],[Hr]]&lt;17,"Daytime", IF(Bike_Sharing_Master6[[#This Row],[Hr]]&lt;21,"Evening Peak","Night"))))</f>
        <v>Daytime</v>
      </c>
      <c r="S265" s="1" t="str">
        <f>IF(Bike_Sharing_Master6[[#This Row],[Holiday]]=1,"Holiday","Non-Holiday")</f>
        <v>Non-Holiday</v>
      </c>
      <c r="T265" s="1" t="str">
        <f>IF(Bike_Sharing_Master6[[#This Row],[Cnt]]&lt;80,"Low",IF(Bike_Sharing_Master6[[#This Row],[Cnt]]&lt;160,"Medium","High"))</f>
        <v>Low</v>
      </c>
      <c r="U265" s="1" t="str">
        <f>VLOOKUP(Bike_Sharing_Master6[[#This Row],[Weathersit]],[1]Lookup_Weather!A:B,2,FALSE)</f>
        <v>Clear</v>
      </c>
    </row>
    <row r="266" spans="1:21" x14ac:dyDescent="0.3">
      <c r="A266">
        <v>265</v>
      </c>
      <c r="B266" s="3">
        <v>40555</v>
      </c>
      <c r="C266" s="1">
        <v>1</v>
      </c>
      <c r="D266" s="1">
        <v>0</v>
      </c>
      <c r="E266" s="1">
        <v>1</v>
      </c>
      <c r="F266" s="1">
        <v>11</v>
      </c>
      <c r="G266" t="b">
        <v>0</v>
      </c>
      <c r="H266" s="1">
        <v>3</v>
      </c>
      <c r="I266" s="1">
        <v>1</v>
      </c>
      <c r="J266" s="2">
        <v>0.2</v>
      </c>
      <c r="K266" s="2">
        <v>0.18179999999999999</v>
      </c>
      <c r="L266" s="2">
        <v>0.51</v>
      </c>
      <c r="M266" s="2">
        <v>0.3881</v>
      </c>
      <c r="N266" s="1">
        <v>3</v>
      </c>
      <c r="O266" s="1">
        <v>32</v>
      </c>
      <c r="P266" s="1">
        <v>35</v>
      </c>
      <c r="Q266" s="1" t="str">
        <f>IF(WEEKDAY(Bike_Sharing_Master6[[#This Row],[Dteday]],2)&gt;=6,"Weekend","Weekday")</f>
        <v>Weekday</v>
      </c>
      <c r="R266" s="1" t="str">
        <f xml:space="preserve"> IF(Bike_Sharing_Master6[[#This Row],[Hr]]&lt;6,"Late Night", IF(Bike_Sharing_Master6[[#This Row],[Hr]]&lt;10,"Morning Peak", IF(Bike_Sharing_Master6[[#This Row],[Hr]]&lt;17,"Daytime", IF(Bike_Sharing_Master6[[#This Row],[Hr]]&lt;21,"Evening Peak","Night"))))</f>
        <v>Daytime</v>
      </c>
      <c r="S266" s="1" t="str">
        <f>IF(Bike_Sharing_Master6[[#This Row],[Holiday]]=1,"Holiday","Non-Holiday")</f>
        <v>Non-Holiday</v>
      </c>
      <c r="T266" s="1" t="str">
        <f>IF(Bike_Sharing_Master6[[#This Row],[Cnt]]&lt;80,"Low",IF(Bike_Sharing_Master6[[#This Row],[Cnt]]&lt;160,"Medium","High"))</f>
        <v>Low</v>
      </c>
      <c r="U266" s="1" t="str">
        <f>VLOOKUP(Bike_Sharing_Master6[[#This Row],[Weathersit]],[1]Lookup_Weather!A:B,2,FALSE)</f>
        <v>Clear</v>
      </c>
    </row>
    <row r="267" spans="1:21" x14ac:dyDescent="0.3">
      <c r="A267">
        <v>266</v>
      </c>
      <c r="B267" s="3">
        <v>40555</v>
      </c>
      <c r="C267" s="1">
        <v>1</v>
      </c>
      <c r="D267" s="1">
        <v>0</v>
      </c>
      <c r="E267" s="1">
        <v>1</v>
      </c>
      <c r="F267" s="1">
        <v>12</v>
      </c>
      <c r="G267" t="b">
        <v>0</v>
      </c>
      <c r="H267" s="1">
        <v>3</v>
      </c>
      <c r="I267" s="1">
        <v>1</v>
      </c>
      <c r="J267" s="2">
        <v>0.2</v>
      </c>
      <c r="K267" s="2">
        <v>0.1515</v>
      </c>
      <c r="L267" s="2">
        <v>0.47</v>
      </c>
      <c r="M267" s="2">
        <v>0.58209999999999995</v>
      </c>
      <c r="N267" s="1">
        <v>3</v>
      </c>
      <c r="O267" s="1">
        <v>52</v>
      </c>
      <c r="P267" s="1">
        <v>55</v>
      </c>
      <c r="Q267" s="1" t="str">
        <f>IF(WEEKDAY(Bike_Sharing_Master6[[#This Row],[Dteday]],2)&gt;=6,"Weekend","Weekday")</f>
        <v>Weekday</v>
      </c>
      <c r="R267" s="1" t="str">
        <f xml:space="preserve"> IF(Bike_Sharing_Master6[[#This Row],[Hr]]&lt;6,"Late Night", IF(Bike_Sharing_Master6[[#This Row],[Hr]]&lt;10,"Morning Peak", IF(Bike_Sharing_Master6[[#This Row],[Hr]]&lt;17,"Daytime", IF(Bike_Sharing_Master6[[#This Row],[Hr]]&lt;21,"Evening Peak","Night"))))</f>
        <v>Daytime</v>
      </c>
      <c r="S267" s="1" t="str">
        <f>IF(Bike_Sharing_Master6[[#This Row],[Holiday]]=1,"Holiday","Non-Holiday")</f>
        <v>Non-Holiday</v>
      </c>
      <c r="T267" s="1" t="str">
        <f>IF(Bike_Sharing_Master6[[#This Row],[Cnt]]&lt;80,"Low",IF(Bike_Sharing_Master6[[#This Row],[Cnt]]&lt;160,"Medium","High"))</f>
        <v>Low</v>
      </c>
      <c r="U267" s="1" t="str">
        <f>VLOOKUP(Bike_Sharing_Master6[[#This Row],[Weathersit]],[1]Lookup_Weather!A:B,2,FALSE)</f>
        <v>Clear</v>
      </c>
    </row>
    <row r="268" spans="1:21" x14ac:dyDescent="0.3">
      <c r="A268">
        <v>267</v>
      </c>
      <c r="B268" s="3">
        <v>40555</v>
      </c>
      <c r="C268" s="1">
        <v>1</v>
      </c>
      <c r="D268" s="1">
        <v>0</v>
      </c>
      <c r="E268" s="1">
        <v>1</v>
      </c>
      <c r="F268" s="1">
        <v>13</v>
      </c>
      <c r="G268" t="b">
        <v>0</v>
      </c>
      <c r="H268" s="1">
        <v>3</v>
      </c>
      <c r="I268" s="1">
        <v>1</v>
      </c>
      <c r="J268" s="2">
        <v>0.22</v>
      </c>
      <c r="K268" s="2">
        <v>0.19700000000000001</v>
      </c>
      <c r="L268" s="2">
        <v>0.44</v>
      </c>
      <c r="M268" s="2">
        <v>0.35820000000000002</v>
      </c>
      <c r="N268" s="1">
        <v>0</v>
      </c>
      <c r="O268" s="1">
        <v>49</v>
      </c>
      <c r="P268" s="1">
        <v>49</v>
      </c>
      <c r="Q268" s="1" t="str">
        <f>IF(WEEKDAY(Bike_Sharing_Master6[[#This Row],[Dteday]],2)&gt;=6,"Weekend","Weekday")</f>
        <v>Weekday</v>
      </c>
      <c r="R268" s="1" t="str">
        <f xml:space="preserve"> IF(Bike_Sharing_Master6[[#This Row],[Hr]]&lt;6,"Late Night", IF(Bike_Sharing_Master6[[#This Row],[Hr]]&lt;10,"Morning Peak", IF(Bike_Sharing_Master6[[#This Row],[Hr]]&lt;17,"Daytime", IF(Bike_Sharing_Master6[[#This Row],[Hr]]&lt;21,"Evening Peak","Night"))))</f>
        <v>Daytime</v>
      </c>
      <c r="S268" s="1" t="str">
        <f>IF(Bike_Sharing_Master6[[#This Row],[Holiday]]=1,"Holiday","Non-Holiday")</f>
        <v>Non-Holiday</v>
      </c>
      <c r="T268" s="1" t="str">
        <f>IF(Bike_Sharing_Master6[[#This Row],[Cnt]]&lt;80,"Low",IF(Bike_Sharing_Master6[[#This Row],[Cnt]]&lt;160,"Medium","High"))</f>
        <v>Low</v>
      </c>
      <c r="U268" s="1" t="str">
        <f>VLOOKUP(Bike_Sharing_Master6[[#This Row],[Weathersit]],[1]Lookup_Weather!A:B,2,FALSE)</f>
        <v>Clear</v>
      </c>
    </row>
    <row r="269" spans="1:21" x14ac:dyDescent="0.3">
      <c r="A269">
        <v>268</v>
      </c>
      <c r="B269" s="3">
        <v>40555</v>
      </c>
      <c r="C269" s="1">
        <v>1</v>
      </c>
      <c r="D269" s="1">
        <v>0</v>
      </c>
      <c r="E269" s="1">
        <v>1</v>
      </c>
      <c r="F269" s="1">
        <v>14</v>
      </c>
      <c r="G269" t="b">
        <v>0</v>
      </c>
      <c r="H269" s="1">
        <v>3</v>
      </c>
      <c r="I269" s="1">
        <v>1</v>
      </c>
      <c r="J269" s="2">
        <v>0.2</v>
      </c>
      <c r="K269" s="2">
        <v>0.18179999999999999</v>
      </c>
      <c r="L269" s="2">
        <v>0.47</v>
      </c>
      <c r="M269" s="2">
        <v>0.32840000000000003</v>
      </c>
      <c r="N269" s="1">
        <v>0</v>
      </c>
      <c r="O269" s="1">
        <v>44</v>
      </c>
      <c r="P269" s="1">
        <v>44</v>
      </c>
      <c r="Q269" s="1" t="str">
        <f>IF(WEEKDAY(Bike_Sharing_Master6[[#This Row],[Dteday]],2)&gt;=6,"Weekend","Weekday")</f>
        <v>Weekday</v>
      </c>
      <c r="R269" s="1" t="str">
        <f xml:space="preserve"> IF(Bike_Sharing_Master6[[#This Row],[Hr]]&lt;6,"Late Night", IF(Bike_Sharing_Master6[[#This Row],[Hr]]&lt;10,"Morning Peak", IF(Bike_Sharing_Master6[[#This Row],[Hr]]&lt;17,"Daytime", IF(Bike_Sharing_Master6[[#This Row],[Hr]]&lt;21,"Evening Peak","Night"))))</f>
        <v>Daytime</v>
      </c>
      <c r="S269" s="1" t="str">
        <f>IF(Bike_Sharing_Master6[[#This Row],[Holiday]]=1,"Holiday","Non-Holiday")</f>
        <v>Non-Holiday</v>
      </c>
      <c r="T269" s="1" t="str">
        <f>IF(Bike_Sharing_Master6[[#This Row],[Cnt]]&lt;80,"Low",IF(Bike_Sharing_Master6[[#This Row],[Cnt]]&lt;160,"Medium","High"))</f>
        <v>Low</v>
      </c>
      <c r="U269" s="1" t="str">
        <f>VLOOKUP(Bike_Sharing_Master6[[#This Row],[Weathersit]],[1]Lookup_Weather!A:B,2,FALSE)</f>
        <v>Clear</v>
      </c>
    </row>
    <row r="270" spans="1:21" x14ac:dyDescent="0.3">
      <c r="A270">
        <v>269</v>
      </c>
      <c r="B270" s="3">
        <v>40555</v>
      </c>
      <c r="C270" s="1">
        <v>1</v>
      </c>
      <c r="D270" s="1">
        <v>0</v>
      </c>
      <c r="E270" s="1">
        <v>1</v>
      </c>
      <c r="F270" s="1">
        <v>15</v>
      </c>
      <c r="G270" t="b">
        <v>0</v>
      </c>
      <c r="H270" s="1">
        <v>3</v>
      </c>
      <c r="I270" s="1">
        <v>1</v>
      </c>
      <c r="J270" s="2">
        <v>0.2</v>
      </c>
      <c r="K270" s="2">
        <v>0.16669999999999999</v>
      </c>
      <c r="L270" s="2">
        <v>0.47</v>
      </c>
      <c r="M270" s="2">
        <v>0.41789999999999999</v>
      </c>
      <c r="N270" s="1">
        <v>1</v>
      </c>
      <c r="O270" s="1">
        <v>48</v>
      </c>
      <c r="P270" s="1">
        <v>49</v>
      </c>
      <c r="Q270" s="1" t="str">
        <f>IF(WEEKDAY(Bike_Sharing_Master6[[#This Row],[Dteday]],2)&gt;=6,"Weekend","Weekday")</f>
        <v>Weekday</v>
      </c>
      <c r="R270" s="1" t="str">
        <f xml:space="preserve"> IF(Bike_Sharing_Master6[[#This Row],[Hr]]&lt;6,"Late Night", IF(Bike_Sharing_Master6[[#This Row],[Hr]]&lt;10,"Morning Peak", IF(Bike_Sharing_Master6[[#This Row],[Hr]]&lt;17,"Daytime", IF(Bike_Sharing_Master6[[#This Row],[Hr]]&lt;21,"Evening Peak","Night"))))</f>
        <v>Daytime</v>
      </c>
      <c r="S270" s="1" t="str">
        <f>IF(Bike_Sharing_Master6[[#This Row],[Holiday]]=1,"Holiday","Non-Holiday")</f>
        <v>Non-Holiday</v>
      </c>
      <c r="T270" s="1" t="str">
        <f>IF(Bike_Sharing_Master6[[#This Row],[Cnt]]&lt;80,"Low",IF(Bike_Sharing_Master6[[#This Row],[Cnt]]&lt;160,"Medium","High"))</f>
        <v>Low</v>
      </c>
      <c r="U270" s="1" t="str">
        <f>VLOOKUP(Bike_Sharing_Master6[[#This Row],[Weathersit]],[1]Lookup_Weather!A:B,2,FALSE)</f>
        <v>Clear</v>
      </c>
    </row>
    <row r="271" spans="1:21" x14ac:dyDescent="0.3">
      <c r="A271">
        <v>270</v>
      </c>
      <c r="B271" s="3">
        <v>40555</v>
      </c>
      <c r="C271" s="1">
        <v>1</v>
      </c>
      <c r="D271" s="1">
        <v>0</v>
      </c>
      <c r="E271" s="1">
        <v>1</v>
      </c>
      <c r="F271" s="1">
        <v>16</v>
      </c>
      <c r="G271" t="b">
        <v>0</v>
      </c>
      <c r="H271" s="1">
        <v>3</v>
      </c>
      <c r="I271" s="1">
        <v>1</v>
      </c>
      <c r="J271" s="2">
        <v>0.22</v>
      </c>
      <c r="K271" s="2">
        <v>0.19700000000000001</v>
      </c>
      <c r="L271" s="2">
        <v>0.44</v>
      </c>
      <c r="M271" s="2">
        <v>0.32840000000000003</v>
      </c>
      <c r="N271" s="1">
        <v>5</v>
      </c>
      <c r="O271" s="1">
        <v>63</v>
      </c>
      <c r="P271" s="1">
        <v>68</v>
      </c>
      <c r="Q271" s="1" t="str">
        <f>IF(WEEKDAY(Bike_Sharing_Master6[[#This Row],[Dteday]],2)&gt;=6,"Weekend","Weekday")</f>
        <v>Weekday</v>
      </c>
      <c r="R271" s="1" t="str">
        <f xml:space="preserve"> IF(Bike_Sharing_Master6[[#This Row],[Hr]]&lt;6,"Late Night", IF(Bike_Sharing_Master6[[#This Row],[Hr]]&lt;10,"Morning Peak", IF(Bike_Sharing_Master6[[#This Row],[Hr]]&lt;17,"Daytime", IF(Bike_Sharing_Master6[[#This Row],[Hr]]&lt;21,"Evening Peak","Night"))))</f>
        <v>Daytime</v>
      </c>
      <c r="S271" s="1" t="str">
        <f>IF(Bike_Sharing_Master6[[#This Row],[Holiday]]=1,"Holiday","Non-Holiday")</f>
        <v>Non-Holiday</v>
      </c>
      <c r="T271" s="1" t="str">
        <f>IF(Bike_Sharing_Master6[[#This Row],[Cnt]]&lt;80,"Low",IF(Bike_Sharing_Master6[[#This Row],[Cnt]]&lt;160,"Medium","High"))</f>
        <v>Low</v>
      </c>
      <c r="U271" s="1" t="str">
        <f>VLOOKUP(Bike_Sharing_Master6[[#This Row],[Weathersit]],[1]Lookup_Weather!A:B,2,FALSE)</f>
        <v>Clear</v>
      </c>
    </row>
    <row r="272" spans="1:21" x14ac:dyDescent="0.3">
      <c r="A272">
        <v>271</v>
      </c>
      <c r="B272" s="3">
        <v>40555</v>
      </c>
      <c r="C272" s="1">
        <v>1</v>
      </c>
      <c r="D272" s="1">
        <v>0</v>
      </c>
      <c r="E272" s="1">
        <v>1</v>
      </c>
      <c r="F272" s="1">
        <v>17</v>
      </c>
      <c r="G272" t="b">
        <v>0</v>
      </c>
      <c r="H272" s="1">
        <v>3</v>
      </c>
      <c r="I272" s="1">
        <v>1</v>
      </c>
      <c r="J272" s="2">
        <v>0.2</v>
      </c>
      <c r="K272" s="2">
        <v>0.18179999999999999</v>
      </c>
      <c r="L272" s="2">
        <v>0.47</v>
      </c>
      <c r="M272" s="2">
        <v>0.35820000000000002</v>
      </c>
      <c r="N272" s="1">
        <v>0</v>
      </c>
      <c r="O272" s="1">
        <v>139</v>
      </c>
      <c r="P272" s="1">
        <v>139</v>
      </c>
      <c r="Q272" s="1" t="str">
        <f>IF(WEEKDAY(Bike_Sharing_Master6[[#This Row],[Dteday]],2)&gt;=6,"Weekend","Weekday")</f>
        <v>Weekday</v>
      </c>
      <c r="R272" s="1" t="str">
        <f xml:space="preserve"> IF(Bike_Sharing_Master6[[#This Row],[Hr]]&lt;6,"Late Night", IF(Bike_Sharing_Master6[[#This Row],[Hr]]&lt;10,"Morning Peak", IF(Bike_Sharing_Master6[[#This Row],[Hr]]&lt;17,"Daytime", IF(Bike_Sharing_Master6[[#This Row],[Hr]]&lt;21,"Evening Peak","Night"))))</f>
        <v>Evening Peak</v>
      </c>
      <c r="S272" s="1" t="str">
        <f>IF(Bike_Sharing_Master6[[#This Row],[Holiday]]=1,"Holiday","Non-Holiday")</f>
        <v>Non-Holiday</v>
      </c>
      <c r="T272" s="1" t="str">
        <f>IF(Bike_Sharing_Master6[[#This Row],[Cnt]]&lt;80,"Low",IF(Bike_Sharing_Master6[[#This Row],[Cnt]]&lt;160,"Medium","High"))</f>
        <v>Medium</v>
      </c>
      <c r="U272" s="1" t="str">
        <f>VLOOKUP(Bike_Sharing_Master6[[#This Row],[Weathersit]],[1]Lookup_Weather!A:B,2,FALSE)</f>
        <v>Clear</v>
      </c>
    </row>
    <row r="273" spans="1:21" x14ac:dyDescent="0.3">
      <c r="A273">
        <v>272</v>
      </c>
      <c r="B273" s="3">
        <v>40555</v>
      </c>
      <c r="C273" s="1">
        <v>1</v>
      </c>
      <c r="D273" s="1">
        <v>0</v>
      </c>
      <c r="E273" s="1">
        <v>1</v>
      </c>
      <c r="F273" s="1">
        <v>18</v>
      </c>
      <c r="G273" t="b">
        <v>0</v>
      </c>
      <c r="H273" s="1">
        <v>3</v>
      </c>
      <c r="I273" s="1">
        <v>1</v>
      </c>
      <c r="J273" s="2">
        <v>0.2</v>
      </c>
      <c r="K273" s="2">
        <v>0.1515</v>
      </c>
      <c r="L273" s="2">
        <v>0.47</v>
      </c>
      <c r="M273" s="2">
        <v>0.52239999999999998</v>
      </c>
      <c r="N273" s="1">
        <v>2</v>
      </c>
      <c r="O273" s="1">
        <v>135</v>
      </c>
      <c r="P273" s="1">
        <v>137</v>
      </c>
      <c r="Q273" s="1" t="str">
        <f>IF(WEEKDAY(Bike_Sharing_Master6[[#This Row],[Dteday]],2)&gt;=6,"Weekend","Weekday")</f>
        <v>Weekday</v>
      </c>
      <c r="R273" s="1" t="str">
        <f xml:space="preserve"> IF(Bike_Sharing_Master6[[#This Row],[Hr]]&lt;6,"Late Night", IF(Bike_Sharing_Master6[[#This Row],[Hr]]&lt;10,"Morning Peak", IF(Bike_Sharing_Master6[[#This Row],[Hr]]&lt;17,"Daytime", IF(Bike_Sharing_Master6[[#This Row],[Hr]]&lt;21,"Evening Peak","Night"))))</f>
        <v>Evening Peak</v>
      </c>
      <c r="S273" s="1" t="str">
        <f>IF(Bike_Sharing_Master6[[#This Row],[Holiday]]=1,"Holiday","Non-Holiday")</f>
        <v>Non-Holiday</v>
      </c>
      <c r="T273" s="1" t="str">
        <f>IF(Bike_Sharing_Master6[[#This Row],[Cnt]]&lt;80,"Low",IF(Bike_Sharing_Master6[[#This Row],[Cnt]]&lt;160,"Medium","High"))</f>
        <v>Medium</v>
      </c>
      <c r="U273" s="1" t="str">
        <f>VLOOKUP(Bike_Sharing_Master6[[#This Row],[Weathersit]],[1]Lookup_Weather!A:B,2,FALSE)</f>
        <v>Clear</v>
      </c>
    </row>
    <row r="274" spans="1:21" x14ac:dyDescent="0.3">
      <c r="A274">
        <v>273</v>
      </c>
      <c r="B274" s="3">
        <v>40555</v>
      </c>
      <c r="C274" s="1">
        <v>1</v>
      </c>
      <c r="D274" s="1">
        <v>0</v>
      </c>
      <c r="E274" s="1">
        <v>1</v>
      </c>
      <c r="F274" s="1">
        <v>19</v>
      </c>
      <c r="G274" t="b">
        <v>0</v>
      </c>
      <c r="H274" s="1">
        <v>3</v>
      </c>
      <c r="I274" s="1">
        <v>1</v>
      </c>
      <c r="J274" s="2">
        <v>0.18</v>
      </c>
      <c r="K274" s="2">
        <v>0.1515</v>
      </c>
      <c r="L274" s="2">
        <v>0.47</v>
      </c>
      <c r="M274" s="2">
        <v>0.41789999999999999</v>
      </c>
      <c r="N274" s="1">
        <v>1</v>
      </c>
      <c r="O274" s="1">
        <v>82</v>
      </c>
      <c r="P274" s="1">
        <v>83</v>
      </c>
      <c r="Q274" s="1" t="str">
        <f>IF(WEEKDAY(Bike_Sharing_Master6[[#This Row],[Dteday]],2)&gt;=6,"Weekend","Weekday")</f>
        <v>Weekday</v>
      </c>
      <c r="R274" s="1" t="str">
        <f xml:space="preserve"> IF(Bike_Sharing_Master6[[#This Row],[Hr]]&lt;6,"Late Night", IF(Bike_Sharing_Master6[[#This Row],[Hr]]&lt;10,"Morning Peak", IF(Bike_Sharing_Master6[[#This Row],[Hr]]&lt;17,"Daytime", IF(Bike_Sharing_Master6[[#This Row],[Hr]]&lt;21,"Evening Peak","Night"))))</f>
        <v>Evening Peak</v>
      </c>
      <c r="S274" s="1" t="str">
        <f>IF(Bike_Sharing_Master6[[#This Row],[Holiday]]=1,"Holiday","Non-Holiday")</f>
        <v>Non-Holiday</v>
      </c>
      <c r="T274" s="1" t="str">
        <f>IF(Bike_Sharing_Master6[[#This Row],[Cnt]]&lt;80,"Low",IF(Bike_Sharing_Master6[[#This Row],[Cnt]]&lt;160,"Medium","High"))</f>
        <v>Medium</v>
      </c>
      <c r="U274" s="1" t="str">
        <f>VLOOKUP(Bike_Sharing_Master6[[#This Row],[Weathersit]],[1]Lookup_Weather!A:B,2,FALSE)</f>
        <v>Clear</v>
      </c>
    </row>
    <row r="275" spans="1:21" x14ac:dyDescent="0.3">
      <c r="A275">
        <v>274</v>
      </c>
      <c r="B275" s="3">
        <v>40555</v>
      </c>
      <c r="C275" s="1">
        <v>1</v>
      </c>
      <c r="D275" s="1">
        <v>0</v>
      </c>
      <c r="E275" s="1">
        <v>1</v>
      </c>
      <c r="F275" s="1">
        <v>20</v>
      </c>
      <c r="G275" t="b">
        <v>0</v>
      </c>
      <c r="H275" s="1">
        <v>3</v>
      </c>
      <c r="I275" s="1">
        <v>1</v>
      </c>
      <c r="J275" s="2">
        <v>0.16</v>
      </c>
      <c r="K275" s="2">
        <v>0.13639999999999999</v>
      </c>
      <c r="L275" s="2">
        <v>0.5</v>
      </c>
      <c r="M275" s="2">
        <v>0.32840000000000003</v>
      </c>
      <c r="N275" s="1">
        <v>2</v>
      </c>
      <c r="O275" s="1">
        <v>54</v>
      </c>
      <c r="P275" s="1">
        <v>56</v>
      </c>
      <c r="Q275" s="1" t="str">
        <f>IF(WEEKDAY(Bike_Sharing_Master6[[#This Row],[Dteday]],2)&gt;=6,"Weekend","Weekday")</f>
        <v>Weekday</v>
      </c>
      <c r="R275" s="1" t="str">
        <f xml:space="preserve"> IF(Bike_Sharing_Master6[[#This Row],[Hr]]&lt;6,"Late Night", IF(Bike_Sharing_Master6[[#This Row],[Hr]]&lt;10,"Morning Peak", IF(Bike_Sharing_Master6[[#This Row],[Hr]]&lt;17,"Daytime", IF(Bike_Sharing_Master6[[#This Row],[Hr]]&lt;21,"Evening Peak","Night"))))</f>
        <v>Evening Peak</v>
      </c>
      <c r="S275" s="1" t="str">
        <f>IF(Bike_Sharing_Master6[[#This Row],[Holiday]]=1,"Holiday","Non-Holiday")</f>
        <v>Non-Holiday</v>
      </c>
      <c r="T275" s="1" t="str">
        <f>IF(Bike_Sharing_Master6[[#This Row],[Cnt]]&lt;80,"Low",IF(Bike_Sharing_Master6[[#This Row],[Cnt]]&lt;160,"Medium","High"))</f>
        <v>Low</v>
      </c>
      <c r="U275" s="1" t="str">
        <f>VLOOKUP(Bike_Sharing_Master6[[#This Row],[Weathersit]],[1]Lookup_Weather!A:B,2,FALSE)</f>
        <v>Clear</v>
      </c>
    </row>
    <row r="276" spans="1:21" x14ac:dyDescent="0.3">
      <c r="A276">
        <v>275</v>
      </c>
      <c r="B276" s="3">
        <v>40555</v>
      </c>
      <c r="C276" s="1">
        <v>1</v>
      </c>
      <c r="D276" s="1">
        <v>0</v>
      </c>
      <c r="E276" s="1">
        <v>1</v>
      </c>
      <c r="F276" s="1">
        <v>21</v>
      </c>
      <c r="G276" t="b">
        <v>0</v>
      </c>
      <c r="H276" s="1">
        <v>3</v>
      </c>
      <c r="I276" s="1">
        <v>1</v>
      </c>
      <c r="J276" s="2">
        <v>0.16</v>
      </c>
      <c r="K276" s="2">
        <v>0.13639999999999999</v>
      </c>
      <c r="L276" s="2">
        <v>0.55000000000000004</v>
      </c>
      <c r="M276" s="2">
        <v>0.32840000000000003</v>
      </c>
      <c r="N276" s="1">
        <v>0</v>
      </c>
      <c r="O276" s="1">
        <v>57</v>
      </c>
      <c r="P276" s="1">
        <v>57</v>
      </c>
      <c r="Q276" s="1" t="str">
        <f>IF(WEEKDAY(Bike_Sharing_Master6[[#This Row],[Dteday]],2)&gt;=6,"Weekend","Weekday")</f>
        <v>Weekday</v>
      </c>
      <c r="R276" s="1" t="str">
        <f xml:space="preserve"> IF(Bike_Sharing_Master6[[#This Row],[Hr]]&lt;6,"Late Night", IF(Bike_Sharing_Master6[[#This Row],[Hr]]&lt;10,"Morning Peak", IF(Bike_Sharing_Master6[[#This Row],[Hr]]&lt;17,"Daytime", IF(Bike_Sharing_Master6[[#This Row],[Hr]]&lt;21,"Evening Peak","Night"))))</f>
        <v>Night</v>
      </c>
      <c r="S276" s="1" t="str">
        <f>IF(Bike_Sharing_Master6[[#This Row],[Holiday]]=1,"Holiday","Non-Holiday")</f>
        <v>Non-Holiday</v>
      </c>
      <c r="T276" s="1" t="str">
        <f>IF(Bike_Sharing_Master6[[#This Row],[Cnt]]&lt;80,"Low",IF(Bike_Sharing_Master6[[#This Row],[Cnt]]&lt;160,"Medium","High"))</f>
        <v>Low</v>
      </c>
      <c r="U276" s="1" t="str">
        <f>VLOOKUP(Bike_Sharing_Master6[[#This Row],[Weathersit]],[1]Lookup_Weather!A:B,2,FALSE)</f>
        <v>Clear</v>
      </c>
    </row>
    <row r="277" spans="1:21" x14ac:dyDescent="0.3">
      <c r="A277">
        <v>276</v>
      </c>
      <c r="B277" s="3">
        <v>40555</v>
      </c>
      <c r="C277" s="1">
        <v>1</v>
      </c>
      <c r="D277" s="1">
        <v>0</v>
      </c>
      <c r="E277" s="1">
        <v>1</v>
      </c>
      <c r="F277" s="1">
        <v>22</v>
      </c>
      <c r="G277" t="b">
        <v>0</v>
      </c>
      <c r="H277" s="1">
        <v>3</v>
      </c>
      <c r="I277" s="1">
        <v>1</v>
      </c>
      <c r="J277" s="2">
        <v>0.16</v>
      </c>
      <c r="K277" s="2">
        <v>0.1212</v>
      </c>
      <c r="L277" s="2">
        <v>0.55000000000000004</v>
      </c>
      <c r="M277" s="2">
        <v>0.44779999999999998</v>
      </c>
      <c r="N277" s="1">
        <v>1</v>
      </c>
      <c r="O277" s="1">
        <v>32</v>
      </c>
      <c r="P277" s="1">
        <v>33</v>
      </c>
      <c r="Q277" s="1" t="str">
        <f>IF(WEEKDAY(Bike_Sharing_Master6[[#This Row],[Dteday]],2)&gt;=6,"Weekend","Weekday")</f>
        <v>Weekday</v>
      </c>
      <c r="R277" s="1" t="str">
        <f xml:space="preserve"> IF(Bike_Sharing_Master6[[#This Row],[Hr]]&lt;6,"Late Night", IF(Bike_Sharing_Master6[[#This Row],[Hr]]&lt;10,"Morning Peak", IF(Bike_Sharing_Master6[[#This Row],[Hr]]&lt;17,"Daytime", IF(Bike_Sharing_Master6[[#This Row],[Hr]]&lt;21,"Evening Peak","Night"))))</f>
        <v>Night</v>
      </c>
      <c r="S277" s="1" t="str">
        <f>IF(Bike_Sharing_Master6[[#This Row],[Holiday]]=1,"Holiday","Non-Holiday")</f>
        <v>Non-Holiday</v>
      </c>
      <c r="T277" s="1" t="str">
        <f>IF(Bike_Sharing_Master6[[#This Row],[Cnt]]&lt;80,"Low",IF(Bike_Sharing_Master6[[#This Row],[Cnt]]&lt;160,"Medium","High"))</f>
        <v>Low</v>
      </c>
      <c r="U277" s="1" t="str">
        <f>VLOOKUP(Bike_Sharing_Master6[[#This Row],[Weathersit]],[1]Lookup_Weather!A:B,2,FALSE)</f>
        <v>Clear</v>
      </c>
    </row>
    <row r="278" spans="1:21" x14ac:dyDescent="0.3">
      <c r="A278">
        <v>277</v>
      </c>
      <c r="B278" s="3">
        <v>40555</v>
      </c>
      <c r="C278" s="1">
        <v>1</v>
      </c>
      <c r="D278" s="1">
        <v>0</v>
      </c>
      <c r="E278" s="1">
        <v>1</v>
      </c>
      <c r="F278" s="1">
        <v>23</v>
      </c>
      <c r="G278" t="b">
        <v>0</v>
      </c>
      <c r="H278" s="1">
        <v>3</v>
      </c>
      <c r="I278" s="1">
        <v>1</v>
      </c>
      <c r="J278" s="2">
        <v>0.14000000000000001</v>
      </c>
      <c r="K278" s="2">
        <v>0.1061</v>
      </c>
      <c r="L278" s="2">
        <v>0.59</v>
      </c>
      <c r="M278" s="2">
        <v>0.41789999999999999</v>
      </c>
      <c r="N278" s="1">
        <v>1</v>
      </c>
      <c r="O278" s="1">
        <v>19</v>
      </c>
      <c r="P278" s="1">
        <v>20</v>
      </c>
      <c r="Q278" s="1" t="str">
        <f>IF(WEEKDAY(Bike_Sharing_Master6[[#This Row],[Dteday]],2)&gt;=6,"Weekend","Weekday")</f>
        <v>Weekday</v>
      </c>
      <c r="R278" s="1" t="str">
        <f xml:space="preserve"> IF(Bike_Sharing_Master6[[#This Row],[Hr]]&lt;6,"Late Night", IF(Bike_Sharing_Master6[[#This Row],[Hr]]&lt;10,"Morning Peak", IF(Bike_Sharing_Master6[[#This Row],[Hr]]&lt;17,"Daytime", IF(Bike_Sharing_Master6[[#This Row],[Hr]]&lt;21,"Evening Peak","Night"))))</f>
        <v>Night</v>
      </c>
      <c r="S278" s="1" t="str">
        <f>IF(Bike_Sharing_Master6[[#This Row],[Holiday]]=1,"Holiday","Non-Holiday")</f>
        <v>Non-Holiday</v>
      </c>
      <c r="T278" s="1" t="str">
        <f>IF(Bike_Sharing_Master6[[#This Row],[Cnt]]&lt;80,"Low",IF(Bike_Sharing_Master6[[#This Row],[Cnt]]&lt;160,"Medium","High"))</f>
        <v>Low</v>
      </c>
      <c r="U278" s="1" t="str">
        <f>VLOOKUP(Bike_Sharing_Master6[[#This Row],[Weathersit]],[1]Lookup_Weather!A:B,2,FALSE)</f>
        <v>Clear</v>
      </c>
    </row>
    <row r="279" spans="1:21" x14ac:dyDescent="0.3">
      <c r="A279">
        <v>278</v>
      </c>
      <c r="B279" s="3">
        <v>40556</v>
      </c>
      <c r="C279" s="1">
        <v>1</v>
      </c>
      <c r="D279" s="1">
        <v>0</v>
      </c>
      <c r="E279" s="1">
        <v>1</v>
      </c>
      <c r="F279" s="1">
        <v>0</v>
      </c>
      <c r="G279" t="b">
        <v>0</v>
      </c>
      <c r="H279" s="1">
        <v>4</v>
      </c>
      <c r="I279" s="1">
        <v>1</v>
      </c>
      <c r="J279" s="2">
        <v>0.14000000000000001</v>
      </c>
      <c r="K279" s="2">
        <v>0.1212</v>
      </c>
      <c r="L279" s="2">
        <v>0.59</v>
      </c>
      <c r="M279" s="2">
        <v>0.28360000000000002</v>
      </c>
      <c r="N279" s="1">
        <v>1</v>
      </c>
      <c r="O279" s="1">
        <v>6</v>
      </c>
      <c r="P279" s="1">
        <v>7</v>
      </c>
      <c r="Q279" s="1" t="str">
        <f>IF(WEEKDAY(Bike_Sharing_Master6[[#This Row],[Dteday]],2)&gt;=6,"Weekend","Weekday")</f>
        <v>Weekday</v>
      </c>
      <c r="R279" s="1" t="str">
        <f xml:space="preserve"> IF(Bike_Sharing_Master6[[#This Row],[Hr]]&lt;6,"Late Night", IF(Bike_Sharing_Master6[[#This Row],[Hr]]&lt;10,"Morning Peak", IF(Bike_Sharing_Master6[[#This Row],[Hr]]&lt;17,"Daytime", IF(Bike_Sharing_Master6[[#This Row],[Hr]]&lt;21,"Evening Peak","Night"))))</f>
        <v>Late Night</v>
      </c>
      <c r="S279" s="1" t="str">
        <f>IF(Bike_Sharing_Master6[[#This Row],[Holiday]]=1,"Holiday","Non-Holiday")</f>
        <v>Non-Holiday</v>
      </c>
      <c r="T279" s="1" t="str">
        <f>IF(Bike_Sharing_Master6[[#This Row],[Cnt]]&lt;80,"Low",IF(Bike_Sharing_Master6[[#This Row],[Cnt]]&lt;160,"Medium","High"))</f>
        <v>Low</v>
      </c>
      <c r="U279" s="1" t="str">
        <f>VLOOKUP(Bike_Sharing_Master6[[#This Row],[Weathersit]],[1]Lookup_Weather!A:B,2,FALSE)</f>
        <v>Clear</v>
      </c>
    </row>
    <row r="280" spans="1:21" x14ac:dyDescent="0.3">
      <c r="A280">
        <v>279</v>
      </c>
      <c r="B280" s="3">
        <v>40556</v>
      </c>
      <c r="C280" s="1">
        <v>1</v>
      </c>
      <c r="D280" s="1">
        <v>0</v>
      </c>
      <c r="E280" s="1">
        <v>1</v>
      </c>
      <c r="F280" s="1">
        <v>1</v>
      </c>
      <c r="G280" t="b">
        <v>0</v>
      </c>
      <c r="H280" s="1">
        <v>4</v>
      </c>
      <c r="I280" s="1">
        <v>1</v>
      </c>
      <c r="J280" s="2">
        <v>0.14000000000000001</v>
      </c>
      <c r="K280" s="2">
        <v>0.1212</v>
      </c>
      <c r="L280" s="2">
        <v>0.5</v>
      </c>
      <c r="M280" s="2">
        <v>0.28360000000000002</v>
      </c>
      <c r="N280" s="1">
        <v>0</v>
      </c>
      <c r="O280" s="1">
        <v>2</v>
      </c>
      <c r="P280" s="1">
        <v>2</v>
      </c>
      <c r="Q280" s="1" t="str">
        <f>IF(WEEKDAY(Bike_Sharing_Master6[[#This Row],[Dteday]],2)&gt;=6,"Weekend","Weekday")</f>
        <v>Weekday</v>
      </c>
      <c r="R280" s="1" t="str">
        <f xml:space="preserve"> IF(Bike_Sharing_Master6[[#This Row],[Hr]]&lt;6,"Late Night", IF(Bike_Sharing_Master6[[#This Row],[Hr]]&lt;10,"Morning Peak", IF(Bike_Sharing_Master6[[#This Row],[Hr]]&lt;17,"Daytime", IF(Bike_Sharing_Master6[[#This Row],[Hr]]&lt;21,"Evening Peak","Night"))))</f>
        <v>Late Night</v>
      </c>
      <c r="S280" s="1" t="str">
        <f>IF(Bike_Sharing_Master6[[#This Row],[Holiday]]=1,"Holiday","Non-Holiday")</f>
        <v>Non-Holiday</v>
      </c>
      <c r="T280" s="1" t="str">
        <f>IF(Bike_Sharing_Master6[[#This Row],[Cnt]]&lt;80,"Low",IF(Bike_Sharing_Master6[[#This Row],[Cnt]]&lt;160,"Medium","High"))</f>
        <v>Low</v>
      </c>
      <c r="U280" s="1" t="str">
        <f>VLOOKUP(Bike_Sharing_Master6[[#This Row],[Weathersit]],[1]Lookup_Weather!A:B,2,FALSE)</f>
        <v>Clear</v>
      </c>
    </row>
    <row r="281" spans="1:21" x14ac:dyDescent="0.3">
      <c r="A281">
        <v>280</v>
      </c>
      <c r="B281" s="3">
        <v>40556</v>
      </c>
      <c r="C281" s="1">
        <v>1</v>
      </c>
      <c r="D281" s="1">
        <v>0</v>
      </c>
      <c r="E281" s="1">
        <v>1</v>
      </c>
      <c r="F281" s="1">
        <v>2</v>
      </c>
      <c r="G281" t="b">
        <v>0</v>
      </c>
      <c r="H281" s="1">
        <v>4</v>
      </c>
      <c r="I281" s="1">
        <v>1</v>
      </c>
      <c r="J281" s="2">
        <v>0.14000000000000001</v>
      </c>
      <c r="K281" s="2">
        <v>0.1212</v>
      </c>
      <c r="L281" s="2">
        <v>0.5</v>
      </c>
      <c r="M281" s="2">
        <v>0.35820000000000002</v>
      </c>
      <c r="N281" s="1">
        <v>0</v>
      </c>
      <c r="O281" s="1">
        <v>2</v>
      </c>
      <c r="P281" s="1">
        <v>2</v>
      </c>
      <c r="Q281" s="1" t="str">
        <f>IF(WEEKDAY(Bike_Sharing_Master6[[#This Row],[Dteday]],2)&gt;=6,"Weekend","Weekday")</f>
        <v>Weekday</v>
      </c>
      <c r="R281" s="1" t="str">
        <f xml:space="preserve"> IF(Bike_Sharing_Master6[[#This Row],[Hr]]&lt;6,"Late Night", IF(Bike_Sharing_Master6[[#This Row],[Hr]]&lt;10,"Morning Peak", IF(Bike_Sharing_Master6[[#This Row],[Hr]]&lt;17,"Daytime", IF(Bike_Sharing_Master6[[#This Row],[Hr]]&lt;21,"Evening Peak","Night"))))</f>
        <v>Late Night</v>
      </c>
      <c r="S281" s="1" t="str">
        <f>IF(Bike_Sharing_Master6[[#This Row],[Holiday]]=1,"Holiday","Non-Holiday")</f>
        <v>Non-Holiday</v>
      </c>
      <c r="T281" s="1" t="str">
        <f>IF(Bike_Sharing_Master6[[#This Row],[Cnt]]&lt;80,"Low",IF(Bike_Sharing_Master6[[#This Row],[Cnt]]&lt;160,"Medium","High"))</f>
        <v>Low</v>
      </c>
      <c r="U281" s="1" t="str">
        <f>VLOOKUP(Bike_Sharing_Master6[[#This Row],[Weathersit]],[1]Lookup_Weather!A:B,2,FALSE)</f>
        <v>Clear</v>
      </c>
    </row>
    <row r="282" spans="1:21" x14ac:dyDescent="0.3">
      <c r="A282">
        <v>281</v>
      </c>
      <c r="B282" s="3">
        <v>40556</v>
      </c>
      <c r="C282" s="1">
        <v>1</v>
      </c>
      <c r="D282" s="1">
        <v>0</v>
      </c>
      <c r="E282" s="1">
        <v>1</v>
      </c>
      <c r="F282" s="1">
        <v>3</v>
      </c>
      <c r="G282" t="b">
        <v>0</v>
      </c>
      <c r="H282" s="1">
        <v>4</v>
      </c>
      <c r="I282" s="1">
        <v>1</v>
      </c>
      <c r="J282" s="2">
        <v>0.14000000000000001</v>
      </c>
      <c r="K282" s="2">
        <v>0.1212</v>
      </c>
      <c r="L282" s="2">
        <v>0.5</v>
      </c>
      <c r="M282" s="2">
        <v>0.32840000000000003</v>
      </c>
      <c r="N282" s="1">
        <v>0</v>
      </c>
      <c r="O282" s="1">
        <v>3</v>
      </c>
      <c r="P282" s="1">
        <v>3</v>
      </c>
      <c r="Q282" s="1" t="str">
        <f>IF(WEEKDAY(Bike_Sharing_Master6[[#This Row],[Dteday]],2)&gt;=6,"Weekend","Weekday")</f>
        <v>Weekday</v>
      </c>
      <c r="R282" s="1" t="str">
        <f xml:space="preserve"> IF(Bike_Sharing_Master6[[#This Row],[Hr]]&lt;6,"Late Night", IF(Bike_Sharing_Master6[[#This Row],[Hr]]&lt;10,"Morning Peak", IF(Bike_Sharing_Master6[[#This Row],[Hr]]&lt;17,"Daytime", IF(Bike_Sharing_Master6[[#This Row],[Hr]]&lt;21,"Evening Peak","Night"))))</f>
        <v>Late Night</v>
      </c>
      <c r="S282" s="1" t="str">
        <f>IF(Bike_Sharing_Master6[[#This Row],[Holiday]]=1,"Holiday","Non-Holiday")</f>
        <v>Non-Holiday</v>
      </c>
      <c r="T282" s="1" t="str">
        <f>IF(Bike_Sharing_Master6[[#This Row],[Cnt]]&lt;80,"Low",IF(Bike_Sharing_Master6[[#This Row],[Cnt]]&lt;160,"Medium","High"))</f>
        <v>Low</v>
      </c>
      <c r="U282" s="1" t="str">
        <f>VLOOKUP(Bike_Sharing_Master6[[#This Row],[Weathersit]],[1]Lookup_Weather!A:B,2,FALSE)</f>
        <v>Clear</v>
      </c>
    </row>
    <row r="283" spans="1:21" x14ac:dyDescent="0.3">
      <c r="A283">
        <v>282</v>
      </c>
      <c r="B283" s="3">
        <v>40556</v>
      </c>
      <c r="C283" s="1">
        <v>1</v>
      </c>
      <c r="D283" s="1">
        <v>0</v>
      </c>
      <c r="E283" s="1">
        <v>1</v>
      </c>
      <c r="F283" s="1">
        <v>4</v>
      </c>
      <c r="G283" t="b">
        <v>0</v>
      </c>
      <c r="H283" s="1">
        <v>4</v>
      </c>
      <c r="I283" s="1">
        <v>1</v>
      </c>
      <c r="J283" s="2">
        <v>0.14000000000000001</v>
      </c>
      <c r="K283" s="2">
        <v>0.1212</v>
      </c>
      <c r="L283" s="2">
        <v>0.5</v>
      </c>
      <c r="M283" s="2">
        <v>0.25369999999999998</v>
      </c>
      <c r="N283" s="1">
        <v>0</v>
      </c>
      <c r="O283" s="1">
        <v>4</v>
      </c>
      <c r="P283" s="1">
        <v>4</v>
      </c>
      <c r="Q283" s="1" t="str">
        <f>IF(WEEKDAY(Bike_Sharing_Master6[[#This Row],[Dteday]],2)&gt;=6,"Weekend","Weekday")</f>
        <v>Weekday</v>
      </c>
      <c r="R283" s="1" t="str">
        <f xml:space="preserve"> IF(Bike_Sharing_Master6[[#This Row],[Hr]]&lt;6,"Late Night", IF(Bike_Sharing_Master6[[#This Row],[Hr]]&lt;10,"Morning Peak", IF(Bike_Sharing_Master6[[#This Row],[Hr]]&lt;17,"Daytime", IF(Bike_Sharing_Master6[[#This Row],[Hr]]&lt;21,"Evening Peak","Night"))))</f>
        <v>Late Night</v>
      </c>
      <c r="S283" s="1" t="str">
        <f>IF(Bike_Sharing_Master6[[#This Row],[Holiday]]=1,"Holiday","Non-Holiday")</f>
        <v>Non-Holiday</v>
      </c>
      <c r="T283" s="1" t="str">
        <f>IF(Bike_Sharing_Master6[[#This Row],[Cnt]]&lt;80,"Low",IF(Bike_Sharing_Master6[[#This Row],[Cnt]]&lt;160,"Medium","High"))</f>
        <v>Low</v>
      </c>
      <c r="U283" s="1" t="str">
        <f>VLOOKUP(Bike_Sharing_Master6[[#This Row],[Weathersit]],[1]Lookup_Weather!A:B,2,FALSE)</f>
        <v>Clear</v>
      </c>
    </row>
    <row r="284" spans="1:21" x14ac:dyDescent="0.3">
      <c r="A284">
        <v>283</v>
      </c>
      <c r="B284" s="3">
        <v>40556</v>
      </c>
      <c r="C284" s="1">
        <v>1</v>
      </c>
      <c r="D284" s="1">
        <v>0</v>
      </c>
      <c r="E284" s="1">
        <v>1</v>
      </c>
      <c r="F284" s="1">
        <v>5</v>
      </c>
      <c r="G284" t="b">
        <v>0</v>
      </c>
      <c r="H284" s="1">
        <v>4</v>
      </c>
      <c r="I284" s="1">
        <v>1</v>
      </c>
      <c r="J284" s="2">
        <v>0.14000000000000001</v>
      </c>
      <c r="K284" s="2">
        <v>0.1212</v>
      </c>
      <c r="L284" s="2">
        <v>0.5</v>
      </c>
      <c r="M284" s="2">
        <v>0.29849999999999999</v>
      </c>
      <c r="N284" s="1">
        <v>0</v>
      </c>
      <c r="O284" s="1">
        <v>3</v>
      </c>
      <c r="P284" s="1">
        <v>3</v>
      </c>
      <c r="Q284" s="1" t="str">
        <f>IF(WEEKDAY(Bike_Sharing_Master6[[#This Row],[Dteday]],2)&gt;=6,"Weekend","Weekday")</f>
        <v>Weekday</v>
      </c>
      <c r="R284" s="1" t="str">
        <f xml:space="preserve"> IF(Bike_Sharing_Master6[[#This Row],[Hr]]&lt;6,"Late Night", IF(Bike_Sharing_Master6[[#This Row],[Hr]]&lt;10,"Morning Peak", IF(Bike_Sharing_Master6[[#This Row],[Hr]]&lt;17,"Daytime", IF(Bike_Sharing_Master6[[#This Row],[Hr]]&lt;21,"Evening Peak","Night"))))</f>
        <v>Late Night</v>
      </c>
      <c r="S284" s="1" t="str">
        <f>IF(Bike_Sharing_Master6[[#This Row],[Holiday]]=1,"Holiday","Non-Holiday")</f>
        <v>Non-Holiday</v>
      </c>
      <c r="T284" s="1" t="str">
        <f>IF(Bike_Sharing_Master6[[#This Row],[Cnt]]&lt;80,"Low",IF(Bike_Sharing_Master6[[#This Row],[Cnt]]&lt;160,"Medium","High"))</f>
        <v>Low</v>
      </c>
      <c r="U284" s="1" t="str">
        <f>VLOOKUP(Bike_Sharing_Master6[[#This Row],[Weathersit]],[1]Lookup_Weather!A:B,2,FALSE)</f>
        <v>Clear</v>
      </c>
    </row>
    <row r="285" spans="1:21" x14ac:dyDescent="0.3">
      <c r="A285">
        <v>284</v>
      </c>
      <c r="B285" s="3">
        <v>40556</v>
      </c>
      <c r="C285" s="1">
        <v>1</v>
      </c>
      <c r="D285" s="1">
        <v>0</v>
      </c>
      <c r="E285" s="1">
        <v>1</v>
      </c>
      <c r="F285" s="1">
        <v>6</v>
      </c>
      <c r="G285" t="b">
        <v>0</v>
      </c>
      <c r="H285" s="1">
        <v>4</v>
      </c>
      <c r="I285" s="1">
        <v>1</v>
      </c>
      <c r="J285" s="2">
        <v>0.12</v>
      </c>
      <c r="K285" s="2">
        <v>0.1515</v>
      </c>
      <c r="L285" s="2">
        <v>0.54</v>
      </c>
      <c r="M285" s="2">
        <v>0.1343</v>
      </c>
      <c r="N285" s="1">
        <v>0</v>
      </c>
      <c r="O285" s="1">
        <v>28</v>
      </c>
      <c r="P285" s="1">
        <v>28</v>
      </c>
      <c r="Q285" s="1" t="str">
        <f>IF(WEEKDAY(Bike_Sharing_Master6[[#This Row],[Dteday]],2)&gt;=6,"Weekend","Weekday")</f>
        <v>Weekday</v>
      </c>
      <c r="R285" s="1" t="str">
        <f xml:space="preserve"> IF(Bike_Sharing_Master6[[#This Row],[Hr]]&lt;6,"Late Night", IF(Bike_Sharing_Master6[[#This Row],[Hr]]&lt;10,"Morning Peak", IF(Bike_Sharing_Master6[[#This Row],[Hr]]&lt;17,"Daytime", IF(Bike_Sharing_Master6[[#This Row],[Hr]]&lt;21,"Evening Peak","Night"))))</f>
        <v>Morning Peak</v>
      </c>
      <c r="S285" s="1" t="str">
        <f>IF(Bike_Sharing_Master6[[#This Row],[Holiday]]=1,"Holiday","Non-Holiday")</f>
        <v>Non-Holiday</v>
      </c>
      <c r="T285" s="1" t="str">
        <f>IF(Bike_Sharing_Master6[[#This Row],[Cnt]]&lt;80,"Low",IF(Bike_Sharing_Master6[[#This Row],[Cnt]]&lt;160,"Medium","High"))</f>
        <v>Low</v>
      </c>
      <c r="U285" s="1" t="str">
        <f>VLOOKUP(Bike_Sharing_Master6[[#This Row],[Weathersit]],[1]Lookup_Weather!A:B,2,FALSE)</f>
        <v>Clear</v>
      </c>
    </row>
    <row r="286" spans="1:21" x14ac:dyDescent="0.3">
      <c r="A286">
        <v>285</v>
      </c>
      <c r="B286" s="3">
        <v>40556</v>
      </c>
      <c r="C286" s="1">
        <v>1</v>
      </c>
      <c r="D286" s="1">
        <v>0</v>
      </c>
      <c r="E286" s="1">
        <v>1</v>
      </c>
      <c r="F286" s="1">
        <v>7</v>
      </c>
      <c r="G286" t="b">
        <v>0</v>
      </c>
      <c r="H286" s="1">
        <v>4</v>
      </c>
      <c r="I286" s="1">
        <v>1</v>
      </c>
      <c r="J286" s="2">
        <v>0.12</v>
      </c>
      <c r="K286" s="2">
        <v>0.1515</v>
      </c>
      <c r="L286" s="2">
        <v>0.54</v>
      </c>
      <c r="M286" s="2">
        <v>0.1343</v>
      </c>
      <c r="N286" s="1">
        <v>0</v>
      </c>
      <c r="O286" s="1">
        <v>72</v>
      </c>
      <c r="P286" s="1">
        <v>72</v>
      </c>
      <c r="Q286" s="1" t="str">
        <f>IF(WEEKDAY(Bike_Sharing_Master6[[#This Row],[Dteday]],2)&gt;=6,"Weekend","Weekday")</f>
        <v>Weekday</v>
      </c>
      <c r="R286" s="1" t="str">
        <f xml:space="preserve"> IF(Bike_Sharing_Master6[[#This Row],[Hr]]&lt;6,"Late Night", IF(Bike_Sharing_Master6[[#This Row],[Hr]]&lt;10,"Morning Peak", IF(Bike_Sharing_Master6[[#This Row],[Hr]]&lt;17,"Daytime", IF(Bike_Sharing_Master6[[#This Row],[Hr]]&lt;21,"Evening Peak","Night"))))</f>
        <v>Morning Peak</v>
      </c>
      <c r="S286" s="1" t="str">
        <f>IF(Bike_Sharing_Master6[[#This Row],[Holiday]]=1,"Holiday","Non-Holiday")</f>
        <v>Non-Holiday</v>
      </c>
      <c r="T286" s="1" t="str">
        <f>IF(Bike_Sharing_Master6[[#This Row],[Cnt]]&lt;80,"Low",IF(Bike_Sharing_Master6[[#This Row],[Cnt]]&lt;160,"Medium","High"))</f>
        <v>Low</v>
      </c>
      <c r="U286" s="1" t="str">
        <f>VLOOKUP(Bike_Sharing_Master6[[#This Row],[Weathersit]],[1]Lookup_Weather!A:B,2,FALSE)</f>
        <v>Clear</v>
      </c>
    </row>
    <row r="287" spans="1:21" x14ac:dyDescent="0.3">
      <c r="A287">
        <v>286</v>
      </c>
      <c r="B287" s="3">
        <v>40556</v>
      </c>
      <c r="C287" s="1">
        <v>1</v>
      </c>
      <c r="D287" s="1">
        <v>0</v>
      </c>
      <c r="E287" s="1">
        <v>1</v>
      </c>
      <c r="F287" s="1">
        <v>8</v>
      </c>
      <c r="G287" t="b">
        <v>0</v>
      </c>
      <c r="H287" s="1">
        <v>4</v>
      </c>
      <c r="I287" s="1">
        <v>1</v>
      </c>
      <c r="J287" s="2">
        <v>0.14000000000000001</v>
      </c>
      <c r="K287" s="2">
        <v>0.13639999999999999</v>
      </c>
      <c r="L287" s="2">
        <v>0.5</v>
      </c>
      <c r="M287" s="2">
        <v>0.19400000000000001</v>
      </c>
      <c r="N287" s="1">
        <v>5</v>
      </c>
      <c r="O287" s="1">
        <v>197</v>
      </c>
      <c r="P287" s="1">
        <v>202</v>
      </c>
      <c r="Q287" s="1" t="str">
        <f>IF(WEEKDAY(Bike_Sharing_Master6[[#This Row],[Dteday]],2)&gt;=6,"Weekend","Weekday")</f>
        <v>Weekday</v>
      </c>
      <c r="R287" s="1" t="str">
        <f xml:space="preserve"> IF(Bike_Sharing_Master6[[#This Row],[Hr]]&lt;6,"Late Night", IF(Bike_Sharing_Master6[[#This Row],[Hr]]&lt;10,"Morning Peak", IF(Bike_Sharing_Master6[[#This Row],[Hr]]&lt;17,"Daytime", IF(Bike_Sharing_Master6[[#This Row],[Hr]]&lt;21,"Evening Peak","Night"))))</f>
        <v>Morning Peak</v>
      </c>
      <c r="S287" s="1" t="str">
        <f>IF(Bike_Sharing_Master6[[#This Row],[Holiday]]=1,"Holiday","Non-Holiday")</f>
        <v>Non-Holiday</v>
      </c>
      <c r="T287" s="1" t="str">
        <f>IF(Bike_Sharing_Master6[[#This Row],[Cnt]]&lt;80,"Low",IF(Bike_Sharing_Master6[[#This Row],[Cnt]]&lt;160,"Medium","High"))</f>
        <v>High</v>
      </c>
      <c r="U287" s="1" t="str">
        <f>VLOOKUP(Bike_Sharing_Master6[[#This Row],[Weathersit]],[1]Lookup_Weather!A:B,2,FALSE)</f>
        <v>Clear</v>
      </c>
    </row>
    <row r="288" spans="1:21" x14ac:dyDescent="0.3">
      <c r="A288">
        <v>287</v>
      </c>
      <c r="B288" s="3">
        <v>40556</v>
      </c>
      <c r="C288" s="1">
        <v>1</v>
      </c>
      <c r="D288" s="1">
        <v>0</v>
      </c>
      <c r="E288" s="1">
        <v>1</v>
      </c>
      <c r="F288" s="1">
        <v>9</v>
      </c>
      <c r="G288" t="b">
        <v>0</v>
      </c>
      <c r="H288" s="1">
        <v>4</v>
      </c>
      <c r="I288" s="1">
        <v>1</v>
      </c>
      <c r="J288" s="2">
        <v>0.14000000000000001</v>
      </c>
      <c r="K288" s="2">
        <v>0.1212</v>
      </c>
      <c r="L288" s="2">
        <v>0.5</v>
      </c>
      <c r="M288" s="2">
        <v>0.32840000000000003</v>
      </c>
      <c r="N288" s="1">
        <v>2</v>
      </c>
      <c r="O288" s="1">
        <v>137</v>
      </c>
      <c r="P288" s="1">
        <v>139</v>
      </c>
      <c r="Q288" s="1" t="str">
        <f>IF(WEEKDAY(Bike_Sharing_Master6[[#This Row],[Dteday]],2)&gt;=6,"Weekend","Weekday")</f>
        <v>Weekday</v>
      </c>
      <c r="R288" s="1" t="str">
        <f xml:space="preserve"> IF(Bike_Sharing_Master6[[#This Row],[Hr]]&lt;6,"Late Night", IF(Bike_Sharing_Master6[[#This Row],[Hr]]&lt;10,"Morning Peak", IF(Bike_Sharing_Master6[[#This Row],[Hr]]&lt;17,"Daytime", IF(Bike_Sharing_Master6[[#This Row],[Hr]]&lt;21,"Evening Peak","Night"))))</f>
        <v>Morning Peak</v>
      </c>
      <c r="S288" s="1" t="str">
        <f>IF(Bike_Sharing_Master6[[#This Row],[Holiday]]=1,"Holiday","Non-Holiday")</f>
        <v>Non-Holiday</v>
      </c>
      <c r="T288" s="1" t="str">
        <f>IF(Bike_Sharing_Master6[[#This Row],[Cnt]]&lt;80,"Low",IF(Bike_Sharing_Master6[[#This Row],[Cnt]]&lt;160,"Medium","High"))</f>
        <v>Medium</v>
      </c>
      <c r="U288" s="1" t="str">
        <f>VLOOKUP(Bike_Sharing_Master6[[#This Row],[Weathersit]],[1]Lookup_Weather!A:B,2,FALSE)</f>
        <v>Clear</v>
      </c>
    </row>
    <row r="289" spans="1:21" x14ac:dyDescent="0.3">
      <c r="A289">
        <v>288</v>
      </c>
      <c r="B289" s="3">
        <v>40556</v>
      </c>
      <c r="C289" s="1">
        <v>1</v>
      </c>
      <c r="D289" s="1">
        <v>0</v>
      </c>
      <c r="E289" s="1">
        <v>1</v>
      </c>
      <c r="F289" s="1">
        <v>10</v>
      </c>
      <c r="G289" t="b">
        <v>0</v>
      </c>
      <c r="H289" s="1">
        <v>4</v>
      </c>
      <c r="I289" s="1">
        <v>2</v>
      </c>
      <c r="J289" s="2">
        <v>0.16</v>
      </c>
      <c r="K289" s="2">
        <v>0.13639999999999999</v>
      </c>
      <c r="L289" s="2">
        <v>0.5</v>
      </c>
      <c r="M289" s="2">
        <v>0.35820000000000002</v>
      </c>
      <c r="N289" s="1">
        <v>2</v>
      </c>
      <c r="O289" s="1">
        <v>36</v>
      </c>
      <c r="P289" s="1">
        <v>38</v>
      </c>
      <c r="Q289" s="1" t="str">
        <f>IF(WEEKDAY(Bike_Sharing_Master6[[#This Row],[Dteday]],2)&gt;=6,"Weekend","Weekday")</f>
        <v>Weekday</v>
      </c>
      <c r="R289" s="1" t="str">
        <f xml:space="preserve"> IF(Bike_Sharing_Master6[[#This Row],[Hr]]&lt;6,"Late Night", IF(Bike_Sharing_Master6[[#This Row],[Hr]]&lt;10,"Morning Peak", IF(Bike_Sharing_Master6[[#This Row],[Hr]]&lt;17,"Daytime", IF(Bike_Sharing_Master6[[#This Row],[Hr]]&lt;21,"Evening Peak","Night"))))</f>
        <v>Daytime</v>
      </c>
      <c r="S289" s="1" t="str">
        <f>IF(Bike_Sharing_Master6[[#This Row],[Holiday]]=1,"Holiday","Non-Holiday")</f>
        <v>Non-Holiday</v>
      </c>
      <c r="T289" s="1" t="str">
        <f>IF(Bike_Sharing_Master6[[#This Row],[Cnt]]&lt;80,"Low",IF(Bike_Sharing_Master6[[#This Row],[Cnt]]&lt;160,"Medium","High"))</f>
        <v>Low</v>
      </c>
      <c r="U289" s="1" t="str">
        <f>VLOOKUP(Bike_Sharing_Master6[[#This Row],[Weathersit]],[1]Lookup_Weather!A:B,2,FALSE)</f>
        <v>Mist</v>
      </c>
    </row>
    <row r="290" spans="1:21" x14ac:dyDescent="0.3">
      <c r="A290">
        <v>289</v>
      </c>
      <c r="B290" s="3">
        <v>40556</v>
      </c>
      <c r="C290" s="1">
        <v>1</v>
      </c>
      <c r="D290" s="1">
        <v>0</v>
      </c>
      <c r="E290" s="1">
        <v>1</v>
      </c>
      <c r="F290" s="1">
        <v>11</v>
      </c>
      <c r="G290" t="b">
        <v>0</v>
      </c>
      <c r="H290" s="1">
        <v>4</v>
      </c>
      <c r="I290" s="1">
        <v>2</v>
      </c>
      <c r="J290" s="2">
        <v>0.2</v>
      </c>
      <c r="K290" s="2">
        <v>0.16669999999999999</v>
      </c>
      <c r="L290" s="2">
        <v>0.44</v>
      </c>
      <c r="M290" s="2">
        <v>0.44779999999999998</v>
      </c>
      <c r="N290" s="1">
        <v>4</v>
      </c>
      <c r="O290" s="1">
        <v>33</v>
      </c>
      <c r="P290" s="1">
        <v>37</v>
      </c>
      <c r="Q290" s="1" t="str">
        <f>IF(WEEKDAY(Bike_Sharing_Master6[[#This Row],[Dteday]],2)&gt;=6,"Weekend","Weekday")</f>
        <v>Weekday</v>
      </c>
      <c r="R290" s="1" t="str">
        <f xml:space="preserve"> IF(Bike_Sharing_Master6[[#This Row],[Hr]]&lt;6,"Late Night", IF(Bike_Sharing_Master6[[#This Row],[Hr]]&lt;10,"Morning Peak", IF(Bike_Sharing_Master6[[#This Row],[Hr]]&lt;17,"Daytime", IF(Bike_Sharing_Master6[[#This Row],[Hr]]&lt;21,"Evening Peak","Night"))))</f>
        <v>Daytime</v>
      </c>
      <c r="S290" s="1" t="str">
        <f>IF(Bike_Sharing_Master6[[#This Row],[Holiday]]=1,"Holiday","Non-Holiday")</f>
        <v>Non-Holiday</v>
      </c>
      <c r="T290" s="1" t="str">
        <f>IF(Bike_Sharing_Master6[[#This Row],[Cnt]]&lt;80,"Low",IF(Bike_Sharing_Master6[[#This Row],[Cnt]]&lt;160,"Medium","High"))</f>
        <v>Low</v>
      </c>
      <c r="U290" s="1" t="str">
        <f>VLOOKUP(Bike_Sharing_Master6[[#This Row],[Weathersit]],[1]Lookup_Weather!A:B,2,FALSE)</f>
        <v>Mist</v>
      </c>
    </row>
    <row r="291" spans="1:21" x14ac:dyDescent="0.3">
      <c r="A291">
        <v>290</v>
      </c>
      <c r="B291" s="3">
        <v>40556</v>
      </c>
      <c r="C291" s="1">
        <v>1</v>
      </c>
      <c r="D291" s="1">
        <v>0</v>
      </c>
      <c r="E291" s="1">
        <v>1</v>
      </c>
      <c r="F291" s="1">
        <v>12</v>
      </c>
      <c r="G291" t="b">
        <v>0</v>
      </c>
      <c r="H291" s="1">
        <v>4</v>
      </c>
      <c r="I291" s="1">
        <v>1</v>
      </c>
      <c r="J291" s="2">
        <v>0.2</v>
      </c>
      <c r="K291" s="2">
        <v>0.16669999999999999</v>
      </c>
      <c r="L291" s="2">
        <v>0.44</v>
      </c>
      <c r="M291" s="2">
        <v>0.41789999999999999</v>
      </c>
      <c r="N291" s="1">
        <v>3</v>
      </c>
      <c r="O291" s="1">
        <v>49</v>
      </c>
      <c r="P291" s="1">
        <v>52</v>
      </c>
      <c r="Q291" s="1" t="str">
        <f>IF(WEEKDAY(Bike_Sharing_Master6[[#This Row],[Dteday]],2)&gt;=6,"Weekend","Weekday")</f>
        <v>Weekday</v>
      </c>
      <c r="R291" s="1" t="str">
        <f xml:space="preserve"> IF(Bike_Sharing_Master6[[#This Row],[Hr]]&lt;6,"Late Night", IF(Bike_Sharing_Master6[[#This Row],[Hr]]&lt;10,"Morning Peak", IF(Bike_Sharing_Master6[[#This Row],[Hr]]&lt;17,"Daytime", IF(Bike_Sharing_Master6[[#This Row],[Hr]]&lt;21,"Evening Peak","Night"))))</f>
        <v>Daytime</v>
      </c>
      <c r="S291" s="1" t="str">
        <f>IF(Bike_Sharing_Master6[[#This Row],[Holiday]]=1,"Holiday","Non-Holiday")</f>
        <v>Non-Holiday</v>
      </c>
      <c r="T291" s="1" t="str">
        <f>IF(Bike_Sharing_Master6[[#This Row],[Cnt]]&lt;80,"Low",IF(Bike_Sharing_Master6[[#This Row],[Cnt]]&lt;160,"Medium","High"))</f>
        <v>Low</v>
      </c>
      <c r="U291" s="1" t="str">
        <f>VLOOKUP(Bike_Sharing_Master6[[#This Row],[Weathersit]],[1]Lookup_Weather!A:B,2,FALSE)</f>
        <v>Clear</v>
      </c>
    </row>
    <row r="292" spans="1:21" x14ac:dyDescent="0.3">
      <c r="A292">
        <v>291</v>
      </c>
      <c r="B292" s="3">
        <v>40556</v>
      </c>
      <c r="C292" s="1">
        <v>1</v>
      </c>
      <c r="D292" s="1">
        <v>0</v>
      </c>
      <c r="E292" s="1">
        <v>1</v>
      </c>
      <c r="F292" s="1">
        <v>13</v>
      </c>
      <c r="G292" t="b">
        <v>0</v>
      </c>
      <c r="H292" s="1">
        <v>4</v>
      </c>
      <c r="I292" s="1">
        <v>1</v>
      </c>
      <c r="J292" s="2">
        <v>0.22</v>
      </c>
      <c r="K292" s="2">
        <v>0.19700000000000001</v>
      </c>
      <c r="L292" s="2">
        <v>0.41</v>
      </c>
      <c r="M292" s="2">
        <v>0.44779999999999998</v>
      </c>
      <c r="N292" s="1">
        <v>2</v>
      </c>
      <c r="O292" s="1">
        <v>81</v>
      </c>
      <c r="P292" s="1">
        <v>83</v>
      </c>
      <c r="Q292" s="1" t="str">
        <f>IF(WEEKDAY(Bike_Sharing_Master6[[#This Row],[Dteday]],2)&gt;=6,"Weekend","Weekday")</f>
        <v>Weekday</v>
      </c>
      <c r="R292" s="1" t="str">
        <f xml:space="preserve"> IF(Bike_Sharing_Master6[[#This Row],[Hr]]&lt;6,"Late Night", IF(Bike_Sharing_Master6[[#This Row],[Hr]]&lt;10,"Morning Peak", IF(Bike_Sharing_Master6[[#This Row],[Hr]]&lt;17,"Daytime", IF(Bike_Sharing_Master6[[#This Row],[Hr]]&lt;21,"Evening Peak","Night"))))</f>
        <v>Daytime</v>
      </c>
      <c r="S292" s="1" t="str">
        <f>IF(Bike_Sharing_Master6[[#This Row],[Holiday]]=1,"Holiday","Non-Holiday")</f>
        <v>Non-Holiday</v>
      </c>
      <c r="T292" s="1" t="str">
        <f>IF(Bike_Sharing_Master6[[#This Row],[Cnt]]&lt;80,"Low",IF(Bike_Sharing_Master6[[#This Row],[Cnt]]&lt;160,"Medium","High"))</f>
        <v>Medium</v>
      </c>
      <c r="U292" s="1" t="str">
        <f>VLOOKUP(Bike_Sharing_Master6[[#This Row],[Weathersit]],[1]Lookup_Weather!A:B,2,FALSE)</f>
        <v>Clear</v>
      </c>
    </row>
    <row r="293" spans="1:21" x14ac:dyDescent="0.3">
      <c r="A293">
        <v>292</v>
      </c>
      <c r="B293" s="3">
        <v>40556</v>
      </c>
      <c r="C293" s="1">
        <v>1</v>
      </c>
      <c r="D293" s="1">
        <v>0</v>
      </c>
      <c r="E293" s="1">
        <v>1</v>
      </c>
      <c r="F293" s="1">
        <v>14</v>
      </c>
      <c r="G293" t="b">
        <v>0</v>
      </c>
      <c r="H293" s="1">
        <v>4</v>
      </c>
      <c r="I293" s="1">
        <v>1</v>
      </c>
      <c r="J293" s="2">
        <v>0.22</v>
      </c>
      <c r="K293" s="2">
        <v>0.19700000000000001</v>
      </c>
      <c r="L293" s="2">
        <v>0.41</v>
      </c>
      <c r="M293" s="2">
        <v>0.3881</v>
      </c>
      <c r="N293" s="1">
        <v>3</v>
      </c>
      <c r="O293" s="1">
        <v>39</v>
      </c>
      <c r="P293" s="1">
        <v>42</v>
      </c>
      <c r="Q293" s="1" t="str">
        <f>IF(WEEKDAY(Bike_Sharing_Master6[[#This Row],[Dteday]],2)&gt;=6,"Weekend","Weekday")</f>
        <v>Weekday</v>
      </c>
      <c r="R293" s="1" t="str">
        <f xml:space="preserve"> IF(Bike_Sharing_Master6[[#This Row],[Hr]]&lt;6,"Late Night", IF(Bike_Sharing_Master6[[#This Row],[Hr]]&lt;10,"Morning Peak", IF(Bike_Sharing_Master6[[#This Row],[Hr]]&lt;17,"Daytime", IF(Bike_Sharing_Master6[[#This Row],[Hr]]&lt;21,"Evening Peak","Night"))))</f>
        <v>Daytime</v>
      </c>
      <c r="S293" s="1" t="str">
        <f>IF(Bike_Sharing_Master6[[#This Row],[Holiday]]=1,"Holiday","Non-Holiday")</f>
        <v>Non-Holiday</v>
      </c>
      <c r="T293" s="1" t="str">
        <f>IF(Bike_Sharing_Master6[[#This Row],[Cnt]]&lt;80,"Low",IF(Bike_Sharing_Master6[[#This Row],[Cnt]]&lt;160,"Medium","High"))</f>
        <v>Low</v>
      </c>
      <c r="U293" s="1" t="str">
        <f>VLOOKUP(Bike_Sharing_Master6[[#This Row],[Weathersit]],[1]Lookup_Weather!A:B,2,FALSE)</f>
        <v>Clear</v>
      </c>
    </row>
    <row r="294" spans="1:21" x14ac:dyDescent="0.3">
      <c r="A294">
        <v>293</v>
      </c>
      <c r="B294" s="3">
        <v>40556</v>
      </c>
      <c r="C294" s="1">
        <v>1</v>
      </c>
      <c r="D294" s="1">
        <v>0</v>
      </c>
      <c r="E294" s="1">
        <v>1</v>
      </c>
      <c r="F294" s="1">
        <v>15</v>
      </c>
      <c r="G294" t="b">
        <v>0</v>
      </c>
      <c r="H294" s="1">
        <v>4</v>
      </c>
      <c r="I294" s="1">
        <v>1</v>
      </c>
      <c r="J294" s="2">
        <v>0.24</v>
      </c>
      <c r="K294" s="2">
        <v>0.21210000000000001</v>
      </c>
      <c r="L294" s="2">
        <v>0.38</v>
      </c>
      <c r="M294" s="2">
        <v>0.29849999999999999</v>
      </c>
      <c r="N294" s="1">
        <v>5</v>
      </c>
      <c r="O294" s="1">
        <v>55</v>
      </c>
      <c r="P294" s="1">
        <v>60</v>
      </c>
      <c r="Q294" s="1" t="str">
        <f>IF(WEEKDAY(Bike_Sharing_Master6[[#This Row],[Dteday]],2)&gt;=6,"Weekend","Weekday")</f>
        <v>Weekday</v>
      </c>
      <c r="R294" s="1" t="str">
        <f xml:space="preserve"> IF(Bike_Sharing_Master6[[#This Row],[Hr]]&lt;6,"Late Night", IF(Bike_Sharing_Master6[[#This Row],[Hr]]&lt;10,"Morning Peak", IF(Bike_Sharing_Master6[[#This Row],[Hr]]&lt;17,"Daytime", IF(Bike_Sharing_Master6[[#This Row],[Hr]]&lt;21,"Evening Peak","Night"))))</f>
        <v>Daytime</v>
      </c>
      <c r="S294" s="1" t="str">
        <f>IF(Bike_Sharing_Master6[[#This Row],[Holiday]]=1,"Holiday","Non-Holiday")</f>
        <v>Non-Holiday</v>
      </c>
      <c r="T294" s="1" t="str">
        <f>IF(Bike_Sharing_Master6[[#This Row],[Cnt]]&lt;80,"Low",IF(Bike_Sharing_Master6[[#This Row],[Cnt]]&lt;160,"Medium","High"))</f>
        <v>Low</v>
      </c>
      <c r="U294" s="1" t="str">
        <f>VLOOKUP(Bike_Sharing_Master6[[#This Row],[Weathersit]],[1]Lookup_Weather!A:B,2,FALSE)</f>
        <v>Clear</v>
      </c>
    </row>
    <row r="295" spans="1:21" x14ac:dyDescent="0.3">
      <c r="A295">
        <v>294</v>
      </c>
      <c r="B295" s="3">
        <v>40556</v>
      </c>
      <c r="C295" s="1">
        <v>1</v>
      </c>
      <c r="D295" s="1">
        <v>0</v>
      </c>
      <c r="E295" s="1">
        <v>1</v>
      </c>
      <c r="F295" s="1">
        <v>16</v>
      </c>
      <c r="G295" t="b">
        <v>0</v>
      </c>
      <c r="H295" s="1">
        <v>4</v>
      </c>
      <c r="I295" s="1">
        <v>1</v>
      </c>
      <c r="J295" s="2">
        <v>0.24</v>
      </c>
      <c r="K295" s="2">
        <v>0.21210000000000001</v>
      </c>
      <c r="L295" s="2">
        <v>0.38</v>
      </c>
      <c r="M295" s="2">
        <v>0.35820000000000002</v>
      </c>
      <c r="N295" s="1">
        <v>2</v>
      </c>
      <c r="O295" s="1">
        <v>76</v>
      </c>
      <c r="P295" s="1">
        <v>78</v>
      </c>
      <c r="Q295" s="1" t="str">
        <f>IF(WEEKDAY(Bike_Sharing_Master6[[#This Row],[Dteday]],2)&gt;=6,"Weekend","Weekday")</f>
        <v>Weekday</v>
      </c>
      <c r="R295" s="1" t="str">
        <f xml:space="preserve"> IF(Bike_Sharing_Master6[[#This Row],[Hr]]&lt;6,"Late Night", IF(Bike_Sharing_Master6[[#This Row],[Hr]]&lt;10,"Morning Peak", IF(Bike_Sharing_Master6[[#This Row],[Hr]]&lt;17,"Daytime", IF(Bike_Sharing_Master6[[#This Row],[Hr]]&lt;21,"Evening Peak","Night"))))</f>
        <v>Daytime</v>
      </c>
      <c r="S295" s="1" t="str">
        <f>IF(Bike_Sharing_Master6[[#This Row],[Holiday]]=1,"Holiday","Non-Holiday")</f>
        <v>Non-Holiday</v>
      </c>
      <c r="T295" s="1" t="str">
        <f>IF(Bike_Sharing_Master6[[#This Row],[Cnt]]&lt;80,"Low",IF(Bike_Sharing_Master6[[#This Row],[Cnt]]&lt;160,"Medium","High"))</f>
        <v>Low</v>
      </c>
      <c r="U295" s="1" t="str">
        <f>VLOOKUP(Bike_Sharing_Master6[[#This Row],[Weathersit]],[1]Lookup_Weather!A:B,2,FALSE)</f>
        <v>Clear</v>
      </c>
    </row>
    <row r="296" spans="1:21" x14ac:dyDescent="0.3">
      <c r="A296">
        <v>295</v>
      </c>
      <c r="B296" s="3">
        <v>40556</v>
      </c>
      <c r="C296" s="1">
        <v>1</v>
      </c>
      <c r="D296" s="1">
        <v>0</v>
      </c>
      <c r="E296" s="1">
        <v>1</v>
      </c>
      <c r="F296" s="1">
        <v>17</v>
      </c>
      <c r="G296" t="b">
        <v>0</v>
      </c>
      <c r="H296" s="1">
        <v>4</v>
      </c>
      <c r="I296" s="1">
        <v>1</v>
      </c>
      <c r="J296" s="2">
        <v>0.2</v>
      </c>
      <c r="K296" s="2">
        <v>0.18179999999999999</v>
      </c>
      <c r="L296" s="2">
        <v>0.4</v>
      </c>
      <c r="M296" s="2">
        <v>0.28360000000000002</v>
      </c>
      <c r="N296" s="1">
        <v>4</v>
      </c>
      <c r="O296" s="1">
        <v>158</v>
      </c>
      <c r="P296" s="1">
        <v>162</v>
      </c>
      <c r="Q296" s="1" t="str">
        <f>IF(WEEKDAY(Bike_Sharing_Master6[[#This Row],[Dteday]],2)&gt;=6,"Weekend","Weekday")</f>
        <v>Weekday</v>
      </c>
      <c r="R296" s="1" t="str">
        <f xml:space="preserve"> IF(Bike_Sharing_Master6[[#This Row],[Hr]]&lt;6,"Late Night", IF(Bike_Sharing_Master6[[#This Row],[Hr]]&lt;10,"Morning Peak", IF(Bike_Sharing_Master6[[#This Row],[Hr]]&lt;17,"Daytime", IF(Bike_Sharing_Master6[[#This Row],[Hr]]&lt;21,"Evening Peak","Night"))))</f>
        <v>Evening Peak</v>
      </c>
      <c r="S296" s="1" t="str">
        <f>IF(Bike_Sharing_Master6[[#This Row],[Holiday]]=1,"Holiday","Non-Holiday")</f>
        <v>Non-Holiday</v>
      </c>
      <c r="T296" s="1" t="str">
        <f>IF(Bike_Sharing_Master6[[#This Row],[Cnt]]&lt;80,"Low",IF(Bike_Sharing_Master6[[#This Row],[Cnt]]&lt;160,"Medium","High"))</f>
        <v>High</v>
      </c>
      <c r="U296" s="1" t="str">
        <f>VLOOKUP(Bike_Sharing_Master6[[#This Row],[Weathersit]],[1]Lookup_Weather!A:B,2,FALSE)</f>
        <v>Clear</v>
      </c>
    </row>
    <row r="297" spans="1:21" x14ac:dyDescent="0.3">
      <c r="A297">
        <v>296</v>
      </c>
      <c r="B297" s="3">
        <v>40556</v>
      </c>
      <c r="C297" s="1">
        <v>1</v>
      </c>
      <c r="D297" s="1">
        <v>0</v>
      </c>
      <c r="E297" s="1">
        <v>1</v>
      </c>
      <c r="F297" s="1">
        <v>18</v>
      </c>
      <c r="G297" t="b">
        <v>0</v>
      </c>
      <c r="H297" s="1">
        <v>4</v>
      </c>
      <c r="I297" s="1">
        <v>1</v>
      </c>
      <c r="J297" s="2">
        <v>0.2</v>
      </c>
      <c r="K297" s="2">
        <v>0.18179999999999999</v>
      </c>
      <c r="L297" s="2">
        <v>0.4</v>
      </c>
      <c r="M297" s="2">
        <v>0.32840000000000003</v>
      </c>
      <c r="N297" s="1">
        <v>3</v>
      </c>
      <c r="O297" s="1">
        <v>141</v>
      </c>
      <c r="P297" s="1">
        <v>144</v>
      </c>
      <c r="Q297" s="1" t="str">
        <f>IF(WEEKDAY(Bike_Sharing_Master6[[#This Row],[Dteday]],2)&gt;=6,"Weekend","Weekday")</f>
        <v>Weekday</v>
      </c>
      <c r="R297" s="1" t="str">
        <f xml:space="preserve"> IF(Bike_Sharing_Master6[[#This Row],[Hr]]&lt;6,"Late Night", IF(Bike_Sharing_Master6[[#This Row],[Hr]]&lt;10,"Morning Peak", IF(Bike_Sharing_Master6[[#This Row],[Hr]]&lt;17,"Daytime", IF(Bike_Sharing_Master6[[#This Row],[Hr]]&lt;21,"Evening Peak","Night"))))</f>
        <v>Evening Peak</v>
      </c>
      <c r="S297" s="1" t="str">
        <f>IF(Bike_Sharing_Master6[[#This Row],[Holiday]]=1,"Holiday","Non-Holiday")</f>
        <v>Non-Holiday</v>
      </c>
      <c r="T297" s="1" t="str">
        <f>IF(Bike_Sharing_Master6[[#This Row],[Cnt]]&lt;80,"Low",IF(Bike_Sharing_Master6[[#This Row],[Cnt]]&lt;160,"Medium","High"))</f>
        <v>Medium</v>
      </c>
      <c r="U297" s="1" t="str">
        <f>VLOOKUP(Bike_Sharing_Master6[[#This Row],[Weathersit]],[1]Lookup_Weather!A:B,2,FALSE)</f>
        <v>Clear</v>
      </c>
    </row>
    <row r="298" spans="1:21" x14ac:dyDescent="0.3">
      <c r="A298">
        <v>297</v>
      </c>
      <c r="B298" s="3">
        <v>40556</v>
      </c>
      <c r="C298" s="1">
        <v>1</v>
      </c>
      <c r="D298" s="1">
        <v>0</v>
      </c>
      <c r="E298" s="1">
        <v>1</v>
      </c>
      <c r="F298" s="1">
        <v>19</v>
      </c>
      <c r="G298" t="b">
        <v>0</v>
      </c>
      <c r="H298" s="1">
        <v>4</v>
      </c>
      <c r="I298" s="1">
        <v>1</v>
      </c>
      <c r="J298" s="2">
        <v>0.16</v>
      </c>
      <c r="K298" s="2">
        <v>0.1515</v>
      </c>
      <c r="L298" s="2">
        <v>0.47</v>
      </c>
      <c r="M298" s="2">
        <v>0.25369999999999998</v>
      </c>
      <c r="N298" s="1">
        <v>1</v>
      </c>
      <c r="O298" s="1">
        <v>98</v>
      </c>
      <c r="P298" s="1">
        <v>99</v>
      </c>
      <c r="Q298" s="1" t="str">
        <f>IF(WEEKDAY(Bike_Sharing_Master6[[#This Row],[Dteday]],2)&gt;=6,"Weekend","Weekday")</f>
        <v>Weekday</v>
      </c>
      <c r="R298" s="1" t="str">
        <f xml:space="preserve"> IF(Bike_Sharing_Master6[[#This Row],[Hr]]&lt;6,"Late Night", IF(Bike_Sharing_Master6[[#This Row],[Hr]]&lt;10,"Morning Peak", IF(Bike_Sharing_Master6[[#This Row],[Hr]]&lt;17,"Daytime", IF(Bike_Sharing_Master6[[#This Row],[Hr]]&lt;21,"Evening Peak","Night"))))</f>
        <v>Evening Peak</v>
      </c>
      <c r="S298" s="1" t="str">
        <f>IF(Bike_Sharing_Master6[[#This Row],[Holiday]]=1,"Holiday","Non-Holiday")</f>
        <v>Non-Holiday</v>
      </c>
      <c r="T298" s="1" t="str">
        <f>IF(Bike_Sharing_Master6[[#This Row],[Cnt]]&lt;80,"Low",IF(Bike_Sharing_Master6[[#This Row],[Cnt]]&lt;160,"Medium","High"))</f>
        <v>Medium</v>
      </c>
      <c r="U298" s="1" t="str">
        <f>VLOOKUP(Bike_Sharing_Master6[[#This Row],[Weathersit]],[1]Lookup_Weather!A:B,2,FALSE)</f>
        <v>Clear</v>
      </c>
    </row>
    <row r="299" spans="1:21" x14ac:dyDescent="0.3">
      <c r="A299">
        <v>298</v>
      </c>
      <c r="B299" s="3">
        <v>40556</v>
      </c>
      <c r="C299" s="1">
        <v>1</v>
      </c>
      <c r="D299" s="1">
        <v>0</v>
      </c>
      <c r="E299" s="1">
        <v>1</v>
      </c>
      <c r="F299" s="1">
        <v>20</v>
      </c>
      <c r="G299" t="b">
        <v>0</v>
      </c>
      <c r="H299" s="1">
        <v>4</v>
      </c>
      <c r="I299" s="1">
        <v>1</v>
      </c>
      <c r="J299" s="2">
        <v>0.16</v>
      </c>
      <c r="K299" s="2">
        <v>0.1515</v>
      </c>
      <c r="L299" s="2">
        <v>0.47</v>
      </c>
      <c r="M299" s="2">
        <v>0.22389999999999999</v>
      </c>
      <c r="N299" s="1">
        <v>0</v>
      </c>
      <c r="O299" s="1">
        <v>64</v>
      </c>
      <c r="P299" s="1">
        <v>64</v>
      </c>
      <c r="Q299" s="1" t="str">
        <f>IF(WEEKDAY(Bike_Sharing_Master6[[#This Row],[Dteday]],2)&gt;=6,"Weekend","Weekday")</f>
        <v>Weekday</v>
      </c>
      <c r="R299" s="1" t="str">
        <f xml:space="preserve"> IF(Bike_Sharing_Master6[[#This Row],[Hr]]&lt;6,"Late Night", IF(Bike_Sharing_Master6[[#This Row],[Hr]]&lt;10,"Morning Peak", IF(Bike_Sharing_Master6[[#This Row],[Hr]]&lt;17,"Daytime", IF(Bike_Sharing_Master6[[#This Row],[Hr]]&lt;21,"Evening Peak","Night"))))</f>
        <v>Evening Peak</v>
      </c>
      <c r="S299" s="1" t="str">
        <f>IF(Bike_Sharing_Master6[[#This Row],[Holiday]]=1,"Holiday","Non-Holiday")</f>
        <v>Non-Holiday</v>
      </c>
      <c r="T299" s="1" t="str">
        <f>IF(Bike_Sharing_Master6[[#This Row],[Cnt]]&lt;80,"Low",IF(Bike_Sharing_Master6[[#This Row],[Cnt]]&lt;160,"Medium","High"))</f>
        <v>Low</v>
      </c>
      <c r="U299" s="1" t="str">
        <f>VLOOKUP(Bike_Sharing_Master6[[#This Row],[Weathersit]],[1]Lookup_Weather!A:B,2,FALSE)</f>
        <v>Clear</v>
      </c>
    </row>
    <row r="300" spans="1:21" x14ac:dyDescent="0.3">
      <c r="A300">
        <v>299</v>
      </c>
      <c r="B300" s="3">
        <v>40556</v>
      </c>
      <c r="C300" s="1">
        <v>1</v>
      </c>
      <c r="D300" s="1">
        <v>0</v>
      </c>
      <c r="E300" s="1">
        <v>1</v>
      </c>
      <c r="F300" s="1">
        <v>21</v>
      </c>
      <c r="G300" t="b">
        <v>0</v>
      </c>
      <c r="H300" s="1">
        <v>4</v>
      </c>
      <c r="I300" s="1">
        <v>1</v>
      </c>
      <c r="J300" s="2">
        <v>0.14000000000000001</v>
      </c>
      <c r="K300" s="2">
        <v>0.1212</v>
      </c>
      <c r="L300" s="2">
        <v>0.46</v>
      </c>
      <c r="M300" s="2">
        <v>0.29849999999999999</v>
      </c>
      <c r="N300" s="1">
        <v>0</v>
      </c>
      <c r="O300" s="1">
        <v>40</v>
      </c>
      <c r="P300" s="1">
        <v>40</v>
      </c>
      <c r="Q300" s="1" t="str">
        <f>IF(WEEKDAY(Bike_Sharing_Master6[[#This Row],[Dteday]],2)&gt;=6,"Weekend","Weekday")</f>
        <v>Weekday</v>
      </c>
      <c r="R300" s="1" t="str">
        <f xml:space="preserve"> IF(Bike_Sharing_Master6[[#This Row],[Hr]]&lt;6,"Late Night", IF(Bike_Sharing_Master6[[#This Row],[Hr]]&lt;10,"Morning Peak", IF(Bike_Sharing_Master6[[#This Row],[Hr]]&lt;17,"Daytime", IF(Bike_Sharing_Master6[[#This Row],[Hr]]&lt;21,"Evening Peak","Night"))))</f>
        <v>Night</v>
      </c>
      <c r="S300" s="1" t="str">
        <f>IF(Bike_Sharing_Master6[[#This Row],[Holiday]]=1,"Holiday","Non-Holiday")</f>
        <v>Non-Holiday</v>
      </c>
      <c r="T300" s="1" t="str">
        <f>IF(Bike_Sharing_Master6[[#This Row],[Cnt]]&lt;80,"Low",IF(Bike_Sharing_Master6[[#This Row],[Cnt]]&lt;160,"Medium","High"))</f>
        <v>Low</v>
      </c>
      <c r="U300" s="1" t="str">
        <f>VLOOKUP(Bike_Sharing_Master6[[#This Row],[Weathersit]],[1]Lookup_Weather!A:B,2,FALSE)</f>
        <v>Clear</v>
      </c>
    </row>
    <row r="301" spans="1:21" x14ac:dyDescent="0.3">
      <c r="A301">
        <v>300</v>
      </c>
      <c r="B301" s="3">
        <v>40556</v>
      </c>
      <c r="C301" s="1">
        <v>1</v>
      </c>
      <c r="D301" s="1">
        <v>0</v>
      </c>
      <c r="E301" s="1">
        <v>1</v>
      </c>
      <c r="F301" s="1">
        <v>22</v>
      </c>
      <c r="G301" t="b">
        <v>0</v>
      </c>
      <c r="H301" s="1">
        <v>4</v>
      </c>
      <c r="I301" s="1">
        <v>1</v>
      </c>
      <c r="J301" s="2">
        <v>0.14000000000000001</v>
      </c>
      <c r="K301" s="2">
        <v>0.1212</v>
      </c>
      <c r="L301" s="2">
        <v>0.46</v>
      </c>
      <c r="M301" s="2">
        <v>0.32840000000000003</v>
      </c>
      <c r="N301" s="1">
        <v>0</v>
      </c>
      <c r="O301" s="1">
        <v>30</v>
      </c>
      <c r="P301" s="1">
        <v>30</v>
      </c>
      <c r="Q301" s="1" t="str">
        <f>IF(WEEKDAY(Bike_Sharing_Master6[[#This Row],[Dteday]],2)&gt;=6,"Weekend","Weekday")</f>
        <v>Weekday</v>
      </c>
      <c r="R301" s="1" t="str">
        <f xml:space="preserve"> IF(Bike_Sharing_Master6[[#This Row],[Hr]]&lt;6,"Late Night", IF(Bike_Sharing_Master6[[#This Row],[Hr]]&lt;10,"Morning Peak", IF(Bike_Sharing_Master6[[#This Row],[Hr]]&lt;17,"Daytime", IF(Bike_Sharing_Master6[[#This Row],[Hr]]&lt;21,"Evening Peak","Night"))))</f>
        <v>Night</v>
      </c>
      <c r="S301" s="1" t="str">
        <f>IF(Bike_Sharing_Master6[[#This Row],[Holiday]]=1,"Holiday","Non-Holiday")</f>
        <v>Non-Holiday</v>
      </c>
      <c r="T301" s="1" t="str">
        <f>IF(Bike_Sharing_Master6[[#This Row],[Cnt]]&lt;80,"Low",IF(Bike_Sharing_Master6[[#This Row],[Cnt]]&lt;160,"Medium","High"))</f>
        <v>Low</v>
      </c>
      <c r="U301" s="1" t="str">
        <f>VLOOKUP(Bike_Sharing_Master6[[#This Row],[Weathersit]],[1]Lookup_Weather!A:B,2,FALSE)</f>
        <v>Clear</v>
      </c>
    </row>
    <row r="302" spans="1:21" x14ac:dyDescent="0.3">
      <c r="A302">
        <v>301</v>
      </c>
      <c r="B302" s="3">
        <v>40556</v>
      </c>
      <c r="C302" s="1">
        <v>1</v>
      </c>
      <c r="D302" s="1">
        <v>0</v>
      </c>
      <c r="E302" s="1">
        <v>1</v>
      </c>
      <c r="F302" s="1">
        <v>23</v>
      </c>
      <c r="G302" t="b">
        <v>0</v>
      </c>
      <c r="H302" s="1">
        <v>4</v>
      </c>
      <c r="I302" s="1">
        <v>1</v>
      </c>
      <c r="J302" s="2">
        <v>0.12</v>
      </c>
      <c r="K302" s="2">
        <v>0.13639999999999999</v>
      </c>
      <c r="L302" s="2">
        <v>0.5</v>
      </c>
      <c r="M302" s="2">
        <v>0.19400000000000001</v>
      </c>
      <c r="N302" s="1">
        <v>1</v>
      </c>
      <c r="O302" s="1">
        <v>14</v>
      </c>
      <c r="P302" s="1">
        <v>15</v>
      </c>
      <c r="Q302" s="1" t="str">
        <f>IF(WEEKDAY(Bike_Sharing_Master6[[#This Row],[Dteday]],2)&gt;=6,"Weekend","Weekday")</f>
        <v>Weekday</v>
      </c>
      <c r="R302" s="1" t="str">
        <f xml:space="preserve"> IF(Bike_Sharing_Master6[[#This Row],[Hr]]&lt;6,"Late Night", IF(Bike_Sharing_Master6[[#This Row],[Hr]]&lt;10,"Morning Peak", IF(Bike_Sharing_Master6[[#This Row],[Hr]]&lt;17,"Daytime", IF(Bike_Sharing_Master6[[#This Row],[Hr]]&lt;21,"Evening Peak","Night"))))</f>
        <v>Night</v>
      </c>
      <c r="S302" s="1" t="str">
        <f>IF(Bike_Sharing_Master6[[#This Row],[Holiday]]=1,"Holiday","Non-Holiday")</f>
        <v>Non-Holiday</v>
      </c>
      <c r="T302" s="1" t="str">
        <f>IF(Bike_Sharing_Master6[[#This Row],[Cnt]]&lt;80,"Low",IF(Bike_Sharing_Master6[[#This Row],[Cnt]]&lt;160,"Medium","High"))</f>
        <v>Low</v>
      </c>
      <c r="U302" s="1" t="str">
        <f>VLOOKUP(Bike_Sharing_Master6[[#This Row],[Weathersit]],[1]Lookup_Weather!A:B,2,FALSE)</f>
        <v>Clear</v>
      </c>
    </row>
    <row r="303" spans="1:21" x14ac:dyDescent="0.3">
      <c r="A303">
        <v>302</v>
      </c>
      <c r="B303" s="3">
        <v>40557</v>
      </c>
      <c r="C303" s="1">
        <v>1</v>
      </c>
      <c r="D303" s="1">
        <v>0</v>
      </c>
      <c r="E303" s="1">
        <v>1</v>
      </c>
      <c r="F303" s="1">
        <v>0</v>
      </c>
      <c r="G303" t="b">
        <v>0</v>
      </c>
      <c r="H303" s="1">
        <v>5</v>
      </c>
      <c r="I303" s="1">
        <v>1</v>
      </c>
      <c r="J303" s="2">
        <v>0.12</v>
      </c>
      <c r="K303" s="2">
        <v>0.13639999999999999</v>
      </c>
      <c r="L303" s="2">
        <v>0.5</v>
      </c>
      <c r="M303" s="2">
        <v>0.19400000000000001</v>
      </c>
      <c r="N303" s="1">
        <v>0</v>
      </c>
      <c r="O303" s="1">
        <v>14</v>
      </c>
      <c r="P303" s="1">
        <v>14</v>
      </c>
      <c r="Q303" s="1" t="str">
        <f>IF(WEEKDAY(Bike_Sharing_Master6[[#This Row],[Dteday]],2)&gt;=6,"Weekend","Weekday")</f>
        <v>Weekday</v>
      </c>
      <c r="R303" s="1" t="str">
        <f xml:space="preserve"> IF(Bike_Sharing_Master6[[#This Row],[Hr]]&lt;6,"Late Night", IF(Bike_Sharing_Master6[[#This Row],[Hr]]&lt;10,"Morning Peak", IF(Bike_Sharing_Master6[[#This Row],[Hr]]&lt;17,"Daytime", IF(Bike_Sharing_Master6[[#This Row],[Hr]]&lt;21,"Evening Peak","Night"))))</f>
        <v>Late Night</v>
      </c>
      <c r="S303" s="1" t="str">
        <f>IF(Bike_Sharing_Master6[[#This Row],[Holiday]]=1,"Holiday","Non-Holiday")</f>
        <v>Non-Holiday</v>
      </c>
      <c r="T303" s="1" t="str">
        <f>IF(Bike_Sharing_Master6[[#This Row],[Cnt]]&lt;80,"Low",IF(Bike_Sharing_Master6[[#This Row],[Cnt]]&lt;160,"Medium","High"))</f>
        <v>Low</v>
      </c>
      <c r="U303" s="1" t="str">
        <f>VLOOKUP(Bike_Sharing_Master6[[#This Row],[Weathersit]],[1]Lookup_Weather!A:B,2,FALSE)</f>
        <v>Clear</v>
      </c>
    </row>
    <row r="304" spans="1:21" x14ac:dyDescent="0.3">
      <c r="A304">
        <v>303</v>
      </c>
      <c r="B304" s="3">
        <v>40557</v>
      </c>
      <c r="C304" s="1">
        <v>1</v>
      </c>
      <c r="D304" s="1">
        <v>0</v>
      </c>
      <c r="E304" s="1">
        <v>1</v>
      </c>
      <c r="F304" s="1">
        <v>1</v>
      </c>
      <c r="G304" t="b">
        <v>0</v>
      </c>
      <c r="H304" s="1">
        <v>5</v>
      </c>
      <c r="I304" s="1">
        <v>1</v>
      </c>
      <c r="J304" s="2">
        <v>0.1</v>
      </c>
      <c r="K304" s="2">
        <v>0.1212</v>
      </c>
      <c r="L304" s="2">
        <v>0.54</v>
      </c>
      <c r="M304" s="2">
        <v>0.16420000000000001</v>
      </c>
      <c r="N304" s="1">
        <v>0</v>
      </c>
      <c r="O304" s="1">
        <v>5</v>
      </c>
      <c r="P304" s="1">
        <v>5</v>
      </c>
      <c r="Q304" s="1" t="str">
        <f>IF(WEEKDAY(Bike_Sharing_Master6[[#This Row],[Dteday]],2)&gt;=6,"Weekend","Weekday")</f>
        <v>Weekday</v>
      </c>
      <c r="R304" s="1" t="str">
        <f xml:space="preserve"> IF(Bike_Sharing_Master6[[#This Row],[Hr]]&lt;6,"Late Night", IF(Bike_Sharing_Master6[[#This Row],[Hr]]&lt;10,"Morning Peak", IF(Bike_Sharing_Master6[[#This Row],[Hr]]&lt;17,"Daytime", IF(Bike_Sharing_Master6[[#This Row],[Hr]]&lt;21,"Evening Peak","Night"))))</f>
        <v>Late Night</v>
      </c>
      <c r="S304" s="1" t="str">
        <f>IF(Bike_Sharing_Master6[[#This Row],[Holiday]]=1,"Holiday","Non-Holiday")</f>
        <v>Non-Holiday</v>
      </c>
      <c r="T304" s="1" t="str">
        <f>IF(Bike_Sharing_Master6[[#This Row],[Cnt]]&lt;80,"Low",IF(Bike_Sharing_Master6[[#This Row],[Cnt]]&lt;160,"Medium","High"))</f>
        <v>Low</v>
      </c>
      <c r="U304" s="1" t="str">
        <f>VLOOKUP(Bike_Sharing_Master6[[#This Row],[Weathersit]],[1]Lookup_Weather!A:B,2,FALSE)</f>
        <v>Clear</v>
      </c>
    </row>
    <row r="305" spans="1:21" x14ac:dyDescent="0.3">
      <c r="A305">
        <v>304</v>
      </c>
      <c r="B305" s="3">
        <v>40557</v>
      </c>
      <c r="C305" s="1">
        <v>1</v>
      </c>
      <c r="D305" s="1">
        <v>0</v>
      </c>
      <c r="E305" s="1">
        <v>1</v>
      </c>
      <c r="F305" s="1">
        <v>2</v>
      </c>
      <c r="G305" t="b">
        <v>0</v>
      </c>
      <c r="H305" s="1">
        <v>5</v>
      </c>
      <c r="I305" s="1">
        <v>1</v>
      </c>
      <c r="J305" s="2">
        <v>0.1</v>
      </c>
      <c r="K305" s="2">
        <v>0.1212</v>
      </c>
      <c r="L305" s="2">
        <v>0.54</v>
      </c>
      <c r="M305" s="2">
        <v>0.1343</v>
      </c>
      <c r="N305" s="1">
        <v>0</v>
      </c>
      <c r="O305" s="1">
        <v>1</v>
      </c>
      <c r="P305" s="1">
        <v>1</v>
      </c>
      <c r="Q305" s="1" t="str">
        <f>IF(WEEKDAY(Bike_Sharing_Master6[[#This Row],[Dteday]],2)&gt;=6,"Weekend","Weekday")</f>
        <v>Weekday</v>
      </c>
      <c r="R305" s="1" t="str">
        <f xml:space="preserve"> IF(Bike_Sharing_Master6[[#This Row],[Hr]]&lt;6,"Late Night", IF(Bike_Sharing_Master6[[#This Row],[Hr]]&lt;10,"Morning Peak", IF(Bike_Sharing_Master6[[#This Row],[Hr]]&lt;17,"Daytime", IF(Bike_Sharing_Master6[[#This Row],[Hr]]&lt;21,"Evening Peak","Night"))))</f>
        <v>Late Night</v>
      </c>
      <c r="S305" s="1" t="str">
        <f>IF(Bike_Sharing_Master6[[#This Row],[Holiday]]=1,"Holiday","Non-Holiday")</f>
        <v>Non-Holiday</v>
      </c>
      <c r="T305" s="1" t="str">
        <f>IF(Bike_Sharing_Master6[[#This Row],[Cnt]]&lt;80,"Low",IF(Bike_Sharing_Master6[[#This Row],[Cnt]]&lt;160,"Medium","High"))</f>
        <v>Low</v>
      </c>
      <c r="U305" s="1" t="str">
        <f>VLOOKUP(Bike_Sharing_Master6[[#This Row],[Weathersit]],[1]Lookup_Weather!A:B,2,FALSE)</f>
        <v>Clear</v>
      </c>
    </row>
    <row r="306" spans="1:21" x14ac:dyDescent="0.3">
      <c r="A306">
        <v>305</v>
      </c>
      <c r="B306" s="3">
        <v>40557</v>
      </c>
      <c r="C306" s="1">
        <v>1</v>
      </c>
      <c r="D306" s="1">
        <v>0</v>
      </c>
      <c r="E306" s="1">
        <v>1</v>
      </c>
      <c r="F306" s="1">
        <v>3</v>
      </c>
      <c r="G306" t="b">
        <v>0</v>
      </c>
      <c r="H306" s="1">
        <v>5</v>
      </c>
      <c r="I306" s="1">
        <v>1</v>
      </c>
      <c r="J306" s="2">
        <v>0.1</v>
      </c>
      <c r="K306" s="2">
        <v>0.13639999999999999</v>
      </c>
      <c r="L306" s="2">
        <v>0.54</v>
      </c>
      <c r="M306" s="2">
        <v>0.1045</v>
      </c>
      <c r="N306" s="1">
        <v>0</v>
      </c>
      <c r="O306" s="1">
        <v>1</v>
      </c>
      <c r="P306" s="1">
        <v>1</v>
      </c>
      <c r="Q306" s="1" t="str">
        <f>IF(WEEKDAY(Bike_Sharing_Master6[[#This Row],[Dteday]],2)&gt;=6,"Weekend","Weekday")</f>
        <v>Weekday</v>
      </c>
      <c r="R306" s="1" t="str">
        <f xml:space="preserve"> IF(Bike_Sharing_Master6[[#This Row],[Hr]]&lt;6,"Late Night", IF(Bike_Sharing_Master6[[#This Row],[Hr]]&lt;10,"Morning Peak", IF(Bike_Sharing_Master6[[#This Row],[Hr]]&lt;17,"Daytime", IF(Bike_Sharing_Master6[[#This Row],[Hr]]&lt;21,"Evening Peak","Night"))))</f>
        <v>Late Night</v>
      </c>
      <c r="S306" s="1" t="str">
        <f>IF(Bike_Sharing_Master6[[#This Row],[Holiday]]=1,"Holiday","Non-Holiday")</f>
        <v>Non-Holiday</v>
      </c>
      <c r="T306" s="1" t="str">
        <f>IF(Bike_Sharing_Master6[[#This Row],[Cnt]]&lt;80,"Low",IF(Bike_Sharing_Master6[[#This Row],[Cnt]]&lt;160,"Medium","High"))</f>
        <v>Low</v>
      </c>
      <c r="U306" s="1" t="str">
        <f>VLOOKUP(Bike_Sharing_Master6[[#This Row],[Weathersit]],[1]Lookup_Weather!A:B,2,FALSE)</f>
        <v>Clear</v>
      </c>
    </row>
    <row r="307" spans="1:21" x14ac:dyDescent="0.3">
      <c r="A307">
        <v>306</v>
      </c>
      <c r="B307" s="3">
        <v>40557</v>
      </c>
      <c r="C307" s="1">
        <v>1</v>
      </c>
      <c r="D307" s="1">
        <v>0</v>
      </c>
      <c r="E307" s="1">
        <v>1</v>
      </c>
      <c r="F307" s="1">
        <v>5</v>
      </c>
      <c r="G307" t="b">
        <v>0</v>
      </c>
      <c r="H307" s="1">
        <v>5</v>
      </c>
      <c r="I307" s="1">
        <v>1</v>
      </c>
      <c r="J307" s="2">
        <v>0.1</v>
      </c>
      <c r="K307" s="2">
        <v>0.13639999999999999</v>
      </c>
      <c r="L307" s="2">
        <v>0.54</v>
      </c>
      <c r="M307" s="2">
        <v>8.9599999999999999E-2</v>
      </c>
      <c r="N307" s="1">
        <v>0</v>
      </c>
      <c r="O307" s="1">
        <v>8</v>
      </c>
      <c r="P307" s="1">
        <v>8</v>
      </c>
      <c r="Q307" s="1" t="str">
        <f>IF(WEEKDAY(Bike_Sharing_Master6[[#This Row],[Dteday]],2)&gt;=6,"Weekend","Weekday")</f>
        <v>Weekday</v>
      </c>
      <c r="R307" s="1" t="str">
        <f xml:space="preserve"> IF(Bike_Sharing_Master6[[#This Row],[Hr]]&lt;6,"Late Night", IF(Bike_Sharing_Master6[[#This Row],[Hr]]&lt;10,"Morning Peak", IF(Bike_Sharing_Master6[[#This Row],[Hr]]&lt;17,"Daytime", IF(Bike_Sharing_Master6[[#This Row],[Hr]]&lt;21,"Evening Peak","Night"))))</f>
        <v>Late Night</v>
      </c>
      <c r="S307" s="1" t="str">
        <f>IF(Bike_Sharing_Master6[[#This Row],[Holiday]]=1,"Holiday","Non-Holiday")</f>
        <v>Non-Holiday</v>
      </c>
      <c r="T307" s="1" t="str">
        <f>IF(Bike_Sharing_Master6[[#This Row],[Cnt]]&lt;80,"Low",IF(Bike_Sharing_Master6[[#This Row],[Cnt]]&lt;160,"Medium","High"))</f>
        <v>Low</v>
      </c>
      <c r="U307" s="1" t="str">
        <f>VLOOKUP(Bike_Sharing_Master6[[#This Row],[Weathersit]],[1]Lookup_Weather!A:B,2,FALSE)</f>
        <v>Clear</v>
      </c>
    </row>
    <row r="308" spans="1:21" x14ac:dyDescent="0.3">
      <c r="A308">
        <v>307</v>
      </c>
      <c r="B308" s="3">
        <v>40557</v>
      </c>
      <c r="C308" s="1">
        <v>1</v>
      </c>
      <c r="D308" s="1">
        <v>0</v>
      </c>
      <c r="E308" s="1">
        <v>1</v>
      </c>
      <c r="F308" s="1">
        <v>6</v>
      </c>
      <c r="G308" t="b">
        <v>0</v>
      </c>
      <c r="H308" s="1">
        <v>5</v>
      </c>
      <c r="I308" s="1">
        <v>1</v>
      </c>
      <c r="J308" s="2">
        <v>0.1</v>
      </c>
      <c r="K308" s="2">
        <v>0.18179999999999999</v>
      </c>
      <c r="L308" s="2">
        <v>0.54</v>
      </c>
      <c r="M308" s="2">
        <v>0</v>
      </c>
      <c r="N308" s="1">
        <v>0</v>
      </c>
      <c r="O308" s="1">
        <v>17</v>
      </c>
      <c r="P308" s="1">
        <v>17</v>
      </c>
      <c r="Q308" s="1" t="str">
        <f>IF(WEEKDAY(Bike_Sharing_Master6[[#This Row],[Dteday]],2)&gt;=6,"Weekend","Weekday")</f>
        <v>Weekday</v>
      </c>
      <c r="R308" s="1" t="str">
        <f xml:space="preserve"> IF(Bike_Sharing_Master6[[#This Row],[Hr]]&lt;6,"Late Night", IF(Bike_Sharing_Master6[[#This Row],[Hr]]&lt;10,"Morning Peak", IF(Bike_Sharing_Master6[[#This Row],[Hr]]&lt;17,"Daytime", IF(Bike_Sharing_Master6[[#This Row],[Hr]]&lt;21,"Evening Peak","Night"))))</f>
        <v>Morning Peak</v>
      </c>
      <c r="S308" s="1" t="str">
        <f>IF(Bike_Sharing_Master6[[#This Row],[Holiday]]=1,"Holiday","Non-Holiday")</f>
        <v>Non-Holiday</v>
      </c>
      <c r="T308" s="1" t="str">
        <f>IF(Bike_Sharing_Master6[[#This Row],[Cnt]]&lt;80,"Low",IF(Bike_Sharing_Master6[[#This Row],[Cnt]]&lt;160,"Medium","High"))</f>
        <v>Low</v>
      </c>
      <c r="U308" s="1" t="str">
        <f>VLOOKUP(Bike_Sharing_Master6[[#This Row],[Weathersit]],[1]Lookup_Weather!A:B,2,FALSE)</f>
        <v>Clear</v>
      </c>
    </row>
    <row r="309" spans="1:21" x14ac:dyDescent="0.3">
      <c r="A309">
        <v>308</v>
      </c>
      <c r="B309" s="3">
        <v>40557</v>
      </c>
      <c r="C309" s="1">
        <v>1</v>
      </c>
      <c r="D309" s="1">
        <v>0</v>
      </c>
      <c r="E309" s="1">
        <v>1</v>
      </c>
      <c r="F309" s="1">
        <v>7</v>
      </c>
      <c r="G309" t="b">
        <v>0</v>
      </c>
      <c r="H309" s="1">
        <v>5</v>
      </c>
      <c r="I309" s="1">
        <v>1</v>
      </c>
      <c r="J309" s="2">
        <v>0.1</v>
      </c>
      <c r="K309" s="2">
        <v>0.1212</v>
      </c>
      <c r="L309" s="2">
        <v>0.74</v>
      </c>
      <c r="M309" s="2">
        <v>0.16420000000000001</v>
      </c>
      <c r="N309" s="1">
        <v>0</v>
      </c>
      <c r="O309" s="1">
        <v>70</v>
      </c>
      <c r="P309" s="1">
        <v>70</v>
      </c>
      <c r="Q309" s="1" t="str">
        <f>IF(WEEKDAY(Bike_Sharing_Master6[[#This Row],[Dteday]],2)&gt;=6,"Weekend","Weekday")</f>
        <v>Weekday</v>
      </c>
      <c r="R309" s="1" t="str">
        <f xml:space="preserve"> IF(Bike_Sharing_Master6[[#This Row],[Hr]]&lt;6,"Late Night", IF(Bike_Sharing_Master6[[#This Row],[Hr]]&lt;10,"Morning Peak", IF(Bike_Sharing_Master6[[#This Row],[Hr]]&lt;17,"Daytime", IF(Bike_Sharing_Master6[[#This Row],[Hr]]&lt;21,"Evening Peak","Night"))))</f>
        <v>Morning Peak</v>
      </c>
      <c r="S309" s="1" t="str">
        <f>IF(Bike_Sharing_Master6[[#This Row],[Holiday]]=1,"Holiday","Non-Holiday")</f>
        <v>Non-Holiday</v>
      </c>
      <c r="T309" s="1" t="str">
        <f>IF(Bike_Sharing_Master6[[#This Row],[Cnt]]&lt;80,"Low",IF(Bike_Sharing_Master6[[#This Row],[Cnt]]&lt;160,"Medium","High"))</f>
        <v>Low</v>
      </c>
      <c r="U309" s="1" t="str">
        <f>VLOOKUP(Bike_Sharing_Master6[[#This Row],[Weathersit]],[1]Lookup_Weather!A:B,2,FALSE)</f>
        <v>Clear</v>
      </c>
    </row>
    <row r="310" spans="1:21" x14ac:dyDescent="0.3">
      <c r="A310">
        <v>309</v>
      </c>
      <c r="B310" s="3">
        <v>40557</v>
      </c>
      <c r="C310" s="1">
        <v>1</v>
      </c>
      <c r="D310" s="1">
        <v>0</v>
      </c>
      <c r="E310" s="1">
        <v>1</v>
      </c>
      <c r="F310" s="1">
        <v>8</v>
      </c>
      <c r="G310" t="b">
        <v>0</v>
      </c>
      <c r="H310" s="1">
        <v>5</v>
      </c>
      <c r="I310" s="1">
        <v>1</v>
      </c>
      <c r="J310" s="2">
        <v>0.12</v>
      </c>
      <c r="K310" s="2">
        <v>0.16669999999999999</v>
      </c>
      <c r="L310" s="2">
        <v>0.68</v>
      </c>
      <c r="M310" s="2">
        <v>0</v>
      </c>
      <c r="N310" s="1">
        <v>2</v>
      </c>
      <c r="O310" s="1">
        <v>156</v>
      </c>
      <c r="P310" s="1">
        <v>158</v>
      </c>
      <c r="Q310" s="1" t="str">
        <f>IF(WEEKDAY(Bike_Sharing_Master6[[#This Row],[Dteday]],2)&gt;=6,"Weekend","Weekday")</f>
        <v>Weekday</v>
      </c>
      <c r="R310" s="1" t="str">
        <f xml:space="preserve"> IF(Bike_Sharing_Master6[[#This Row],[Hr]]&lt;6,"Late Night", IF(Bike_Sharing_Master6[[#This Row],[Hr]]&lt;10,"Morning Peak", IF(Bike_Sharing_Master6[[#This Row],[Hr]]&lt;17,"Daytime", IF(Bike_Sharing_Master6[[#This Row],[Hr]]&lt;21,"Evening Peak","Night"))))</f>
        <v>Morning Peak</v>
      </c>
      <c r="S310" s="1" t="str">
        <f>IF(Bike_Sharing_Master6[[#This Row],[Holiday]]=1,"Holiday","Non-Holiday")</f>
        <v>Non-Holiday</v>
      </c>
      <c r="T310" s="1" t="str">
        <f>IF(Bike_Sharing_Master6[[#This Row],[Cnt]]&lt;80,"Low",IF(Bike_Sharing_Master6[[#This Row],[Cnt]]&lt;160,"Medium","High"))</f>
        <v>Medium</v>
      </c>
      <c r="U310" s="1" t="str">
        <f>VLOOKUP(Bike_Sharing_Master6[[#This Row],[Weathersit]],[1]Lookup_Weather!A:B,2,FALSE)</f>
        <v>Clear</v>
      </c>
    </row>
    <row r="311" spans="1:21" x14ac:dyDescent="0.3">
      <c r="A311">
        <v>310</v>
      </c>
      <c r="B311" s="3">
        <v>40557</v>
      </c>
      <c r="C311" s="1">
        <v>1</v>
      </c>
      <c r="D311" s="1">
        <v>0</v>
      </c>
      <c r="E311" s="1">
        <v>1</v>
      </c>
      <c r="F311" s="1">
        <v>9</v>
      </c>
      <c r="G311" t="b">
        <v>0</v>
      </c>
      <c r="H311" s="1">
        <v>5</v>
      </c>
      <c r="I311" s="1">
        <v>1</v>
      </c>
      <c r="J311" s="2">
        <v>0.14000000000000001</v>
      </c>
      <c r="K311" s="2">
        <v>0.1515</v>
      </c>
      <c r="L311" s="2">
        <v>0.69</v>
      </c>
      <c r="M311" s="2">
        <v>0.1343</v>
      </c>
      <c r="N311" s="1">
        <v>0</v>
      </c>
      <c r="O311" s="1">
        <v>117</v>
      </c>
      <c r="P311" s="1">
        <v>117</v>
      </c>
      <c r="Q311" s="1" t="str">
        <f>IF(WEEKDAY(Bike_Sharing_Master6[[#This Row],[Dteday]],2)&gt;=6,"Weekend","Weekday")</f>
        <v>Weekday</v>
      </c>
      <c r="R311" s="1" t="str">
        <f xml:space="preserve"> IF(Bike_Sharing_Master6[[#This Row],[Hr]]&lt;6,"Late Night", IF(Bike_Sharing_Master6[[#This Row],[Hr]]&lt;10,"Morning Peak", IF(Bike_Sharing_Master6[[#This Row],[Hr]]&lt;17,"Daytime", IF(Bike_Sharing_Master6[[#This Row],[Hr]]&lt;21,"Evening Peak","Night"))))</f>
        <v>Morning Peak</v>
      </c>
      <c r="S311" s="1" t="str">
        <f>IF(Bike_Sharing_Master6[[#This Row],[Holiday]]=1,"Holiday","Non-Holiday")</f>
        <v>Non-Holiday</v>
      </c>
      <c r="T311" s="1" t="str">
        <f>IF(Bike_Sharing_Master6[[#This Row],[Cnt]]&lt;80,"Low",IF(Bike_Sharing_Master6[[#This Row],[Cnt]]&lt;160,"Medium","High"))</f>
        <v>Medium</v>
      </c>
      <c r="U311" s="1" t="str">
        <f>VLOOKUP(Bike_Sharing_Master6[[#This Row],[Weathersit]],[1]Lookup_Weather!A:B,2,FALSE)</f>
        <v>Clear</v>
      </c>
    </row>
    <row r="312" spans="1:21" x14ac:dyDescent="0.3">
      <c r="A312">
        <v>311</v>
      </c>
      <c r="B312" s="3">
        <v>40557</v>
      </c>
      <c r="C312" s="1">
        <v>1</v>
      </c>
      <c r="D312" s="1">
        <v>0</v>
      </c>
      <c r="E312" s="1">
        <v>1</v>
      </c>
      <c r="F312" s="1">
        <v>10</v>
      </c>
      <c r="G312" t="b">
        <v>0</v>
      </c>
      <c r="H312" s="1">
        <v>5</v>
      </c>
      <c r="I312" s="1">
        <v>1</v>
      </c>
      <c r="J312" s="2">
        <v>0.18</v>
      </c>
      <c r="K312" s="2">
        <v>0.18179999999999999</v>
      </c>
      <c r="L312" s="2">
        <v>0.55000000000000004</v>
      </c>
      <c r="M312" s="2">
        <v>0.19400000000000001</v>
      </c>
      <c r="N312" s="1">
        <v>4</v>
      </c>
      <c r="O312" s="1">
        <v>40</v>
      </c>
      <c r="P312" s="1">
        <v>44</v>
      </c>
      <c r="Q312" s="1" t="str">
        <f>IF(WEEKDAY(Bike_Sharing_Master6[[#This Row],[Dteday]],2)&gt;=6,"Weekend","Weekday")</f>
        <v>Weekday</v>
      </c>
      <c r="R312" s="1" t="str">
        <f xml:space="preserve"> IF(Bike_Sharing_Master6[[#This Row],[Hr]]&lt;6,"Late Night", IF(Bike_Sharing_Master6[[#This Row],[Hr]]&lt;10,"Morning Peak", IF(Bike_Sharing_Master6[[#This Row],[Hr]]&lt;17,"Daytime", IF(Bike_Sharing_Master6[[#This Row],[Hr]]&lt;21,"Evening Peak","Night"))))</f>
        <v>Daytime</v>
      </c>
      <c r="S312" s="1" t="str">
        <f>IF(Bike_Sharing_Master6[[#This Row],[Holiday]]=1,"Holiday","Non-Holiday")</f>
        <v>Non-Holiday</v>
      </c>
      <c r="T312" s="1" t="str">
        <f>IF(Bike_Sharing_Master6[[#This Row],[Cnt]]&lt;80,"Low",IF(Bike_Sharing_Master6[[#This Row],[Cnt]]&lt;160,"Medium","High"))</f>
        <v>Low</v>
      </c>
      <c r="U312" s="1" t="str">
        <f>VLOOKUP(Bike_Sharing_Master6[[#This Row],[Weathersit]],[1]Lookup_Weather!A:B,2,FALSE)</f>
        <v>Clear</v>
      </c>
    </row>
    <row r="313" spans="1:21" x14ac:dyDescent="0.3">
      <c r="A313">
        <v>312</v>
      </c>
      <c r="B313" s="3">
        <v>40557</v>
      </c>
      <c r="C313" s="1">
        <v>1</v>
      </c>
      <c r="D313" s="1">
        <v>0</v>
      </c>
      <c r="E313" s="1">
        <v>1</v>
      </c>
      <c r="F313" s="1">
        <v>11</v>
      </c>
      <c r="G313" t="b">
        <v>0</v>
      </c>
      <c r="H313" s="1">
        <v>5</v>
      </c>
      <c r="I313" s="1">
        <v>1</v>
      </c>
      <c r="J313" s="2">
        <v>0.18</v>
      </c>
      <c r="K313" s="2">
        <v>0.16669999999999999</v>
      </c>
      <c r="L313" s="2">
        <v>0.51</v>
      </c>
      <c r="M313" s="2">
        <v>0.28360000000000002</v>
      </c>
      <c r="N313" s="1">
        <v>6</v>
      </c>
      <c r="O313" s="1">
        <v>47</v>
      </c>
      <c r="P313" s="1">
        <v>53</v>
      </c>
      <c r="Q313" s="1" t="str">
        <f>IF(WEEKDAY(Bike_Sharing_Master6[[#This Row],[Dteday]],2)&gt;=6,"Weekend","Weekday")</f>
        <v>Weekday</v>
      </c>
      <c r="R313" s="1" t="str">
        <f xml:space="preserve"> IF(Bike_Sharing_Master6[[#This Row],[Hr]]&lt;6,"Late Night", IF(Bike_Sharing_Master6[[#This Row],[Hr]]&lt;10,"Morning Peak", IF(Bike_Sharing_Master6[[#This Row],[Hr]]&lt;17,"Daytime", IF(Bike_Sharing_Master6[[#This Row],[Hr]]&lt;21,"Evening Peak","Night"))))</f>
        <v>Daytime</v>
      </c>
      <c r="S313" s="1" t="str">
        <f>IF(Bike_Sharing_Master6[[#This Row],[Holiday]]=1,"Holiday","Non-Holiday")</f>
        <v>Non-Holiday</v>
      </c>
      <c r="T313" s="1" t="str">
        <f>IF(Bike_Sharing_Master6[[#This Row],[Cnt]]&lt;80,"Low",IF(Bike_Sharing_Master6[[#This Row],[Cnt]]&lt;160,"Medium","High"))</f>
        <v>Low</v>
      </c>
      <c r="U313" s="1" t="str">
        <f>VLOOKUP(Bike_Sharing_Master6[[#This Row],[Weathersit]],[1]Lookup_Weather!A:B,2,FALSE)</f>
        <v>Clear</v>
      </c>
    </row>
    <row r="314" spans="1:21" x14ac:dyDescent="0.3">
      <c r="A314">
        <v>313</v>
      </c>
      <c r="B314" s="3">
        <v>40557</v>
      </c>
      <c r="C314" s="1">
        <v>1</v>
      </c>
      <c r="D314" s="1">
        <v>0</v>
      </c>
      <c r="E314" s="1">
        <v>1</v>
      </c>
      <c r="F314" s="1">
        <v>12</v>
      </c>
      <c r="G314" t="b">
        <v>0</v>
      </c>
      <c r="H314" s="1">
        <v>5</v>
      </c>
      <c r="I314" s="1">
        <v>1</v>
      </c>
      <c r="J314" s="2">
        <v>0.2</v>
      </c>
      <c r="K314" s="2">
        <v>0.19700000000000001</v>
      </c>
      <c r="L314" s="2">
        <v>0.44</v>
      </c>
      <c r="M314" s="2">
        <v>0.25369999999999998</v>
      </c>
      <c r="N314" s="1">
        <v>2</v>
      </c>
      <c r="O314" s="1">
        <v>59</v>
      </c>
      <c r="P314" s="1">
        <v>61</v>
      </c>
      <c r="Q314" s="1" t="str">
        <f>IF(WEEKDAY(Bike_Sharing_Master6[[#This Row],[Dteday]],2)&gt;=6,"Weekend","Weekday")</f>
        <v>Weekday</v>
      </c>
      <c r="R314" s="1" t="str">
        <f xml:space="preserve"> IF(Bike_Sharing_Master6[[#This Row],[Hr]]&lt;6,"Late Night", IF(Bike_Sharing_Master6[[#This Row],[Hr]]&lt;10,"Morning Peak", IF(Bike_Sharing_Master6[[#This Row],[Hr]]&lt;17,"Daytime", IF(Bike_Sharing_Master6[[#This Row],[Hr]]&lt;21,"Evening Peak","Night"))))</f>
        <v>Daytime</v>
      </c>
      <c r="S314" s="1" t="str">
        <f>IF(Bike_Sharing_Master6[[#This Row],[Holiday]]=1,"Holiday","Non-Holiday")</f>
        <v>Non-Holiday</v>
      </c>
      <c r="T314" s="1" t="str">
        <f>IF(Bike_Sharing_Master6[[#This Row],[Cnt]]&lt;80,"Low",IF(Bike_Sharing_Master6[[#This Row],[Cnt]]&lt;160,"Medium","High"))</f>
        <v>Low</v>
      </c>
      <c r="U314" s="1" t="str">
        <f>VLOOKUP(Bike_Sharing_Master6[[#This Row],[Weathersit]],[1]Lookup_Weather!A:B,2,FALSE)</f>
        <v>Clear</v>
      </c>
    </row>
    <row r="315" spans="1:21" x14ac:dyDescent="0.3">
      <c r="A315">
        <v>314</v>
      </c>
      <c r="B315" s="3">
        <v>40557</v>
      </c>
      <c r="C315" s="1">
        <v>1</v>
      </c>
      <c r="D315" s="1">
        <v>0</v>
      </c>
      <c r="E315" s="1">
        <v>1</v>
      </c>
      <c r="F315" s="1">
        <v>13</v>
      </c>
      <c r="G315" t="b">
        <v>0</v>
      </c>
      <c r="H315" s="1">
        <v>5</v>
      </c>
      <c r="I315" s="1">
        <v>1</v>
      </c>
      <c r="J315" s="2">
        <v>0.22</v>
      </c>
      <c r="K315" s="2">
        <v>0.19700000000000001</v>
      </c>
      <c r="L315" s="2">
        <v>0.37</v>
      </c>
      <c r="M315" s="2">
        <v>0.3881</v>
      </c>
      <c r="N315" s="1">
        <v>4</v>
      </c>
      <c r="O315" s="1">
        <v>73</v>
      </c>
      <c r="P315" s="1">
        <v>77</v>
      </c>
      <c r="Q315" s="1" t="str">
        <f>IF(WEEKDAY(Bike_Sharing_Master6[[#This Row],[Dteday]],2)&gt;=6,"Weekend","Weekday")</f>
        <v>Weekday</v>
      </c>
      <c r="R315" s="1" t="str">
        <f xml:space="preserve"> IF(Bike_Sharing_Master6[[#This Row],[Hr]]&lt;6,"Late Night", IF(Bike_Sharing_Master6[[#This Row],[Hr]]&lt;10,"Morning Peak", IF(Bike_Sharing_Master6[[#This Row],[Hr]]&lt;17,"Daytime", IF(Bike_Sharing_Master6[[#This Row],[Hr]]&lt;21,"Evening Peak","Night"))))</f>
        <v>Daytime</v>
      </c>
      <c r="S315" s="1" t="str">
        <f>IF(Bike_Sharing_Master6[[#This Row],[Holiday]]=1,"Holiday","Non-Holiday")</f>
        <v>Non-Holiday</v>
      </c>
      <c r="T315" s="1" t="str">
        <f>IF(Bike_Sharing_Master6[[#This Row],[Cnt]]&lt;80,"Low",IF(Bike_Sharing_Master6[[#This Row],[Cnt]]&lt;160,"Medium","High"))</f>
        <v>Low</v>
      </c>
      <c r="U315" s="1" t="str">
        <f>VLOOKUP(Bike_Sharing_Master6[[#This Row],[Weathersit]],[1]Lookup_Weather!A:B,2,FALSE)</f>
        <v>Clear</v>
      </c>
    </row>
    <row r="316" spans="1:21" x14ac:dyDescent="0.3">
      <c r="A316">
        <v>315</v>
      </c>
      <c r="B316" s="3">
        <v>40557</v>
      </c>
      <c r="C316" s="1">
        <v>1</v>
      </c>
      <c r="D316" s="1">
        <v>0</v>
      </c>
      <c r="E316" s="1">
        <v>1</v>
      </c>
      <c r="F316" s="1">
        <v>14</v>
      </c>
      <c r="G316" t="b">
        <v>0</v>
      </c>
      <c r="H316" s="1">
        <v>5</v>
      </c>
      <c r="I316" s="1">
        <v>1</v>
      </c>
      <c r="J316" s="2">
        <v>0.22</v>
      </c>
      <c r="K316" s="2">
        <v>0.21210000000000001</v>
      </c>
      <c r="L316" s="2">
        <v>0.41</v>
      </c>
      <c r="M316" s="2">
        <v>0.28360000000000002</v>
      </c>
      <c r="N316" s="1">
        <v>5</v>
      </c>
      <c r="O316" s="1">
        <v>59</v>
      </c>
      <c r="P316" s="1">
        <v>64</v>
      </c>
      <c r="Q316" s="1" t="str">
        <f>IF(WEEKDAY(Bike_Sharing_Master6[[#This Row],[Dteday]],2)&gt;=6,"Weekend","Weekday")</f>
        <v>Weekday</v>
      </c>
      <c r="R316" s="1" t="str">
        <f xml:space="preserve"> IF(Bike_Sharing_Master6[[#This Row],[Hr]]&lt;6,"Late Night", IF(Bike_Sharing_Master6[[#This Row],[Hr]]&lt;10,"Morning Peak", IF(Bike_Sharing_Master6[[#This Row],[Hr]]&lt;17,"Daytime", IF(Bike_Sharing_Master6[[#This Row],[Hr]]&lt;21,"Evening Peak","Night"))))</f>
        <v>Daytime</v>
      </c>
      <c r="S316" s="1" t="str">
        <f>IF(Bike_Sharing_Master6[[#This Row],[Holiday]]=1,"Holiday","Non-Holiday")</f>
        <v>Non-Holiday</v>
      </c>
      <c r="T316" s="1" t="str">
        <f>IF(Bike_Sharing_Master6[[#This Row],[Cnt]]&lt;80,"Low",IF(Bike_Sharing_Master6[[#This Row],[Cnt]]&lt;160,"Medium","High"))</f>
        <v>Low</v>
      </c>
      <c r="U316" s="1" t="str">
        <f>VLOOKUP(Bike_Sharing_Master6[[#This Row],[Weathersit]],[1]Lookup_Weather!A:B,2,FALSE)</f>
        <v>Clear</v>
      </c>
    </row>
    <row r="317" spans="1:21" x14ac:dyDescent="0.3">
      <c r="A317">
        <v>316</v>
      </c>
      <c r="B317" s="3">
        <v>40557</v>
      </c>
      <c r="C317" s="1">
        <v>1</v>
      </c>
      <c r="D317" s="1">
        <v>0</v>
      </c>
      <c r="E317" s="1">
        <v>1</v>
      </c>
      <c r="F317" s="1">
        <v>15</v>
      </c>
      <c r="G317" t="b">
        <v>0</v>
      </c>
      <c r="H317" s="1">
        <v>5</v>
      </c>
      <c r="I317" s="1">
        <v>1</v>
      </c>
      <c r="J317" s="2">
        <v>0.24</v>
      </c>
      <c r="K317" s="2">
        <v>0.2424</v>
      </c>
      <c r="L317" s="2">
        <v>0.38</v>
      </c>
      <c r="M317" s="2">
        <v>0.16420000000000001</v>
      </c>
      <c r="N317" s="1">
        <v>9</v>
      </c>
      <c r="O317" s="1">
        <v>59</v>
      </c>
      <c r="P317" s="1">
        <v>68</v>
      </c>
      <c r="Q317" s="1" t="str">
        <f>IF(WEEKDAY(Bike_Sharing_Master6[[#This Row],[Dteday]],2)&gt;=6,"Weekend","Weekday")</f>
        <v>Weekday</v>
      </c>
      <c r="R317" s="1" t="str">
        <f xml:space="preserve"> IF(Bike_Sharing_Master6[[#This Row],[Hr]]&lt;6,"Late Night", IF(Bike_Sharing_Master6[[#This Row],[Hr]]&lt;10,"Morning Peak", IF(Bike_Sharing_Master6[[#This Row],[Hr]]&lt;17,"Daytime", IF(Bike_Sharing_Master6[[#This Row],[Hr]]&lt;21,"Evening Peak","Night"))))</f>
        <v>Daytime</v>
      </c>
      <c r="S317" s="1" t="str">
        <f>IF(Bike_Sharing_Master6[[#This Row],[Holiday]]=1,"Holiday","Non-Holiday")</f>
        <v>Non-Holiday</v>
      </c>
      <c r="T317" s="1" t="str">
        <f>IF(Bike_Sharing_Master6[[#This Row],[Cnt]]&lt;80,"Low",IF(Bike_Sharing_Master6[[#This Row],[Cnt]]&lt;160,"Medium","High"))</f>
        <v>Low</v>
      </c>
      <c r="U317" s="1" t="str">
        <f>VLOOKUP(Bike_Sharing_Master6[[#This Row],[Weathersit]],[1]Lookup_Weather!A:B,2,FALSE)</f>
        <v>Clear</v>
      </c>
    </row>
    <row r="318" spans="1:21" x14ac:dyDescent="0.3">
      <c r="A318">
        <v>317</v>
      </c>
      <c r="B318" s="3">
        <v>40557</v>
      </c>
      <c r="C318" s="1">
        <v>1</v>
      </c>
      <c r="D318" s="1">
        <v>0</v>
      </c>
      <c r="E318" s="1">
        <v>1</v>
      </c>
      <c r="F318" s="1">
        <v>16</v>
      </c>
      <c r="G318" t="b">
        <v>0</v>
      </c>
      <c r="H318" s="1">
        <v>5</v>
      </c>
      <c r="I318" s="1">
        <v>1</v>
      </c>
      <c r="J318" s="2">
        <v>0.22</v>
      </c>
      <c r="K318" s="2">
        <v>0.2424</v>
      </c>
      <c r="L318" s="2">
        <v>0.41</v>
      </c>
      <c r="M318" s="2">
        <v>0.1045</v>
      </c>
      <c r="N318" s="1">
        <v>3</v>
      </c>
      <c r="O318" s="1">
        <v>87</v>
      </c>
      <c r="P318" s="1">
        <v>90</v>
      </c>
      <c r="Q318" s="1" t="str">
        <f>IF(WEEKDAY(Bike_Sharing_Master6[[#This Row],[Dteday]],2)&gt;=6,"Weekend","Weekday")</f>
        <v>Weekday</v>
      </c>
      <c r="R318" s="1" t="str">
        <f xml:space="preserve"> IF(Bike_Sharing_Master6[[#This Row],[Hr]]&lt;6,"Late Night", IF(Bike_Sharing_Master6[[#This Row],[Hr]]&lt;10,"Morning Peak", IF(Bike_Sharing_Master6[[#This Row],[Hr]]&lt;17,"Daytime", IF(Bike_Sharing_Master6[[#This Row],[Hr]]&lt;21,"Evening Peak","Night"))))</f>
        <v>Daytime</v>
      </c>
      <c r="S318" s="1" t="str">
        <f>IF(Bike_Sharing_Master6[[#This Row],[Holiday]]=1,"Holiday","Non-Holiday")</f>
        <v>Non-Holiday</v>
      </c>
      <c r="T318" s="1" t="str">
        <f>IF(Bike_Sharing_Master6[[#This Row],[Cnt]]&lt;80,"Low",IF(Bike_Sharing_Master6[[#This Row],[Cnt]]&lt;160,"Medium","High"))</f>
        <v>Medium</v>
      </c>
      <c r="U318" s="1" t="str">
        <f>VLOOKUP(Bike_Sharing_Master6[[#This Row],[Weathersit]],[1]Lookup_Weather!A:B,2,FALSE)</f>
        <v>Clear</v>
      </c>
    </row>
    <row r="319" spans="1:21" x14ac:dyDescent="0.3">
      <c r="A319">
        <v>318</v>
      </c>
      <c r="B319" s="3">
        <v>40557</v>
      </c>
      <c r="C319" s="1">
        <v>1</v>
      </c>
      <c r="D319" s="1">
        <v>0</v>
      </c>
      <c r="E319" s="1">
        <v>1</v>
      </c>
      <c r="F319" s="1">
        <v>17</v>
      </c>
      <c r="G319" t="b">
        <v>0</v>
      </c>
      <c r="H319" s="1">
        <v>5</v>
      </c>
      <c r="I319" s="1">
        <v>1</v>
      </c>
      <c r="J319" s="2">
        <v>0.22</v>
      </c>
      <c r="K319" s="2">
        <v>0.2273</v>
      </c>
      <c r="L319" s="2">
        <v>0.41</v>
      </c>
      <c r="M319" s="2">
        <v>0.16420000000000001</v>
      </c>
      <c r="N319" s="1">
        <v>4</v>
      </c>
      <c r="O319" s="1">
        <v>155</v>
      </c>
      <c r="P319" s="1">
        <v>159</v>
      </c>
      <c r="Q319" s="1" t="str">
        <f>IF(WEEKDAY(Bike_Sharing_Master6[[#This Row],[Dteday]],2)&gt;=6,"Weekend","Weekday")</f>
        <v>Weekday</v>
      </c>
      <c r="R319" s="1" t="str">
        <f xml:space="preserve"> IF(Bike_Sharing_Master6[[#This Row],[Hr]]&lt;6,"Late Night", IF(Bike_Sharing_Master6[[#This Row],[Hr]]&lt;10,"Morning Peak", IF(Bike_Sharing_Master6[[#This Row],[Hr]]&lt;17,"Daytime", IF(Bike_Sharing_Master6[[#This Row],[Hr]]&lt;21,"Evening Peak","Night"))))</f>
        <v>Evening Peak</v>
      </c>
      <c r="S319" s="1" t="str">
        <f>IF(Bike_Sharing_Master6[[#This Row],[Holiday]]=1,"Holiday","Non-Holiday")</f>
        <v>Non-Holiday</v>
      </c>
      <c r="T319" s="1" t="str">
        <f>IF(Bike_Sharing_Master6[[#This Row],[Cnt]]&lt;80,"Low",IF(Bike_Sharing_Master6[[#This Row],[Cnt]]&lt;160,"Medium","High"))</f>
        <v>Medium</v>
      </c>
      <c r="U319" s="1" t="str">
        <f>VLOOKUP(Bike_Sharing_Master6[[#This Row],[Weathersit]],[1]Lookup_Weather!A:B,2,FALSE)</f>
        <v>Clear</v>
      </c>
    </row>
    <row r="320" spans="1:21" x14ac:dyDescent="0.3">
      <c r="A320">
        <v>319</v>
      </c>
      <c r="B320" s="3">
        <v>40557</v>
      </c>
      <c r="C320" s="1">
        <v>1</v>
      </c>
      <c r="D320" s="1">
        <v>0</v>
      </c>
      <c r="E320" s="1">
        <v>1</v>
      </c>
      <c r="F320" s="1">
        <v>18</v>
      </c>
      <c r="G320" t="b">
        <v>0</v>
      </c>
      <c r="H320" s="1">
        <v>5</v>
      </c>
      <c r="I320" s="1">
        <v>1</v>
      </c>
      <c r="J320" s="2">
        <v>0.2</v>
      </c>
      <c r="K320" s="2">
        <v>0.2576</v>
      </c>
      <c r="L320" s="2">
        <v>0.47</v>
      </c>
      <c r="M320" s="2">
        <v>0</v>
      </c>
      <c r="N320" s="1">
        <v>5</v>
      </c>
      <c r="O320" s="1">
        <v>134</v>
      </c>
      <c r="P320" s="1">
        <v>139</v>
      </c>
      <c r="Q320" s="1" t="str">
        <f>IF(WEEKDAY(Bike_Sharing_Master6[[#This Row],[Dteday]],2)&gt;=6,"Weekend","Weekday")</f>
        <v>Weekday</v>
      </c>
      <c r="R320" s="1" t="str">
        <f xml:space="preserve"> IF(Bike_Sharing_Master6[[#This Row],[Hr]]&lt;6,"Late Night", IF(Bike_Sharing_Master6[[#This Row],[Hr]]&lt;10,"Morning Peak", IF(Bike_Sharing_Master6[[#This Row],[Hr]]&lt;17,"Daytime", IF(Bike_Sharing_Master6[[#This Row],[Hr]]&lt;21,"Evening Peak","Night"))))</f>
        <v>Evening Peak</v>
      </c>
      <c r="S320" s="1" t="str">
        <f>IF(Bike_Sharing_Master6[[#This Row],[Holiday]]=1,"Holiday","Non-Holiday")</f>
        <v>Non-Holiday</v>
      </c>
      <c r="T320" s="1" t="str">
        <f>IF(Bike_Sharing_Master6[[#This Row],[Cnt]]&lt;80,"Low",IF(Bike_Sharing_Master6[[#This Row],[Cnt]]&lt;160,"Medium","High"))</f>
        <v>Medium</v>
      </c>
      <c r="U320" s="1" t="str">
        <f>VLOOKUP(Bike_Sharing_Master6[[#This Row],[Weathersit]],[1]Lookup_Weather!A:B,2,FALSE)</f>
        <v>Clear</v>
      </c>
    </row>
    <row r="321" spans="1:21" x14ac:dyDescent="0.3">
      <c r="A321">
        <v>320</v>
      </c>
      <c r="B321" s="3">
        <v>40557</v>
      </c>
      <c r="C321" s="1">
        <v>1</v>
      </c>
      <c r="D321" s="1">
        <v>0</v>
      </c>
      <c r="E321" s="1">
        <v>1</v>
      </c>
      <c r="F321" s="1">
        <v>19</v>
      </c>
      <c r="G321" t="b">
        <v>0</v>
      </c>
      <c r="H321" s="1">
        <v>5</v>
      </c>
      <c r="I321" s="1">
        <v>1</v>
      </c>
      <c r="J321" s="2">
        <v>0.16</v>
      </c>
      <c r="K321" s="2">
        <v>0.19700000000000001</v>
      </c>
      <c r="L321" s="2">
        <v>0.59</v>
      </c>
      <c r="M321" s="2">
        <v>8.9599999999999999E-2</v>
      </c>
      <c r="N321" s="1">
        <v>3</v>
      </c>
      <c r="O321" s="1">
        <v>89</v>
      </c>
      <c r="P321" s="1">
        <v>92</v>
      </c>
      <c r="Q321" s="1" t="str">
        <f>IF(WEEKDAY(Bike_Sharing_Master6[[#This Row],[Dteday]],2)&gt;=6,"Weekend","Weekday")</f>
        <v>Weekday</v>
      </c>
      <c r="R321" s="1" t="str">
        <f xml:space="preserve"> IF(Bike_Sharing_Master6[[#This Row],[Hr]]&lt;6,"Late Night", IF(Bike_Sharing_Master6[[#This Row],[Hr]]&lt;10,"Morning Peak", IF(Bike_Sharing_Master6[[#This Row],[Hr]]&lt;17,"Daytime", IF(Bike_Sharing_Master6[[#This Row],[Hr]]&lt;21,"Evening Peak","Night"))))</f>
        <v>Evening Peak</v>
      </c>
      <c r="S321" s="1" t="str">
        <f>IF(Bike_Sharing_Master6[[#This Row],[Holiday]]=1,"Holiday","Non-Holiday")</f>
        <v>Non-Holiday</v>
      </c>
      <c r="T321" s="1" t="str">
        <f>IF(Bike_Sharing_Master6[[#This Row],[Cnt]]&lt;80,"Low",IF(Bike_Sharing_Master6[[#This Row],[Cnt]]&lt;160,"Medium","High"))</f>
        <v>Medium</v>
      </c>
      <c r="U321" s="1" t="str">
        <f>VLOOKUP(Bike_Sharing_Master6[[#This Row],[Weathersit]],[1]Lookup_Weather!A:B,2,FALSE)</f>
        <v>Clear</v>
      </c>
    </row>
    <row r="322" spans="1:21" x14ac:dyDescent="0.3">
      <c r="A322">
        <v>321</v>
      </c>
      <c r="B322" s="3">
        <v>40557</v>
      </c>
      <c r="C322" s="1">
        <v>1</v>
      </c>
      <c r="D322" s="1">
        <v>0</v>
      </c>
      <c r="E322" s="1">
        <v>1</v>
      </c>
      <c r="F322" s="1">
        <v>20</v>
      </c>
      <c r="G322" t="b">
        <v>0</v>
      </c>
      <c r="H322" s="1">
        <v>5</v>
      </c>
      <c r="I322" s="1">
        <v>1</v>
      </c>
      <c r="J322" s="2">
        <v>0.18</v>
      </c>
      <c r="K322" s="2">
        <v>0.2424</v>
      </c>
      <c r="L322" s="2">
        <v>0.59</v>
      </c>
      <c r="M322" s="2">
        <v>0</v>
      </c>
      <c r="N322" s="1">
        <v>0</v>
      </c>
      <c r="O322" s="1">
        <v>68</v>
      </c>
      <c r="P322" s="1">
        <v>68</v>
      </c>
      <c r="Q322" s="1" t="str">
        <f>IF(WEEKDAY(Bike_Sharing_Master6[[#This Row],[Dteday]],2)&gt;=6,"Weekend","Weekday")</f>
        <v>Weekday</v>
      </c>
      <c r="R322" s="1" t="str">
        <f xml:space="preserve"> IF(Bike_Sharing_Master6[[#This Row],[Hr]]&lt;6,"Late Night", IF(Bike_Sharing_Master6[[#This Row],[Hr]]&lt;10,"Morning Peak", IF(Bike_Sharing_Master6[[#This Row],[Hr]]&lt;17,"Daytime", IF(Bike_Sharing_Master6[[#This Row],[Hr]]&lt;21,"Evening Peak","Night"))))</f>
        <v>Evening Peak</v>
      </c>
      <c r="S322" s="1" t="str">
        <f>IF(Bike_Sharing_Master6[[#This Row],[Holiday]]=1,"Holiday","Non-Holiday")</f>
        <v>Non-Holiday</v>
      </c>
      <c r="T322" s="1" t="str">
        <f>IF(Bike_Sharing_Master6[[#This Row],[Cnt]]&lt;80,"Low",IF(Bike_Sharing_Master6[[#This Row],[Cnt]]&lt;160,"Medium","High"))</f>
        <v>Low</v>
      </c>
      <c r="U322" s="1" t="str">
        <f>VLOOKUP(Bike_Sharing_Master6[[#This Row],[Weathersit]],[1]Lookup_Weather!A:B,2,FALSE)</f>
        <v>Clear</v>
      </c>
    </row>
    <row r="323" spans="1:21" x14ac:dyDescent="0.3">
      <c r="A323">
        <v>322</v>
      </c>
      <c r="B323" s="3">
        <v>40557</v>
      </c>
      <c r="C323" s="1">
        <v>1</v>
      </c>
      <c r="D323" s="1">
        <v>0</v>
      </c>
      <c r="E323" s="1">
        <v>1</v>
      </c>
      <c r="F323" s="1">
        <v>21</v>
      </c>
      <c r="G323" t="b">
        <v>0</v>
      </c>
      <c r="H323" s="1">
        <v>5</v>
      </c>
      <c r="I323" s="1">
        <v>1</v>
      </c>
      <c r="J323" s="2">
        <v>0.16</v>
      </c>
      <c r="K323" s="2">
        <v>0.2273</v>
      </c>
      <c r="L323" s="2">
        <v>0.69</v>
      </c>
      <c r="M323" s="2">
        <v>0</v>
      </c>
      <c r="N323" s="1">
        <v>4</v>
      </c>
      <c r="O323" s="1">
        <v>48</v>
      </c>
      <c r="P323" s="1">
        <v>52</v>
      </c>
      <c r="Q323" s="1" t="str">
        <f>IF(WEEKDAY(Bike_Sharing_Master6[[#This Row],[Dteday]],2)&gt;=6,"Weekend","Weekday")</f>
        <v>Weekday</v>
      </c>
      <c r="R323" s="1" t="str">
        <f xml:space="preserve"> IF(Bike_Sharing_Master6[[#This Row],[Hr]]&lt;6,"Late Night", IF(Bike_Sharing_Master6[[#This Row],[Hr]]&lt;10,"Morning Peak", IF(Bike_Sharing_Master6[[#This Row],[Hr]]&lt;17,"Daytime", IF(Bike_Sharing_Master6[[#This Row],[Hr]]&lt;21,"Evening Peak","Night"))))</f>
        <v>Night</v>
      </c>
      <c r="S323" s="1" t="str">
        <f>IF(Bike_Sharing_Master6[[#This Row],[Holiday]]=1,"Holiday","Non-Holiday")</f>
        <v>Non-Holiday</v>
      </c>
      <c r="T323" s="1" t="str">
        <f>IF(Bike_Sharing_Master6[[#This Row],[Cnt]]&lt;80,"Low",IF(Bike_Sharing_Master6[[#This Row],[Cnt]]&lt;160,"Medium","High"))</f>
        <v>Low</v>
      </c>
      <c r="U323" s="1" t="str">
        <f>VLOOKUP(Bike_Sharing_Master6[[#This Row],[Weathersit]],[1]Lookup_Weather!A:B,2,FALSE)</f>
        <v>Clear</v>
      </c>
    </row>
    <row r="324" spans="1:21" x14ac:dyDescent="0.3">
      <c r="A324">
        <v>323</v>
      </c>
      <c r="B324" s="3">
        <v>40557</v>
      </c>
      <c r="C324" s="1">
        <v>1</v>
      </c>
      <c r="D324" s="1">
        <v>0</v>
      </c>
      <c r="E324" s="1">
        <v>1</v>
      </c>
      <c r="F324" s="1">
        <v>22</v>
      </c>
      <c r="G324" t="b">
        <v>0</v>
      </c>
      <c r="H324" s="1">
        <v>5</v>
      </c>
      <c r="I324" s="1">
        <v>2</v>
      </c>
      <c r="J324" s="2">
        <v>0.16</v>
      </c>
      <c r="K324" s="2">
        <v>0.2273</v>
      </c>
      <c r="L324" s="2">
        <v>0.69</v>
      </c>
      <c r="M324" s="2">
        <v>0</v>
      </c>
      <c r="N324" s="1">
        <v>2</v>
      </c>
      <c r="O324" s="1">
        <v>34</v>
      </c>
      <c r="P324" s="1">
        <v>36</v>
      </c>
      <c r="Q324" s="1" t="str">
        <f>IF(WEEKDAY(Bike_Sharing_Master6[[#This Row],[Dteday]],2)&gt;=6,"Weekend","Weekday")</f>
        <v>Weekday</v>
      </c>
      <c r="R324" s="1" t="str">
        <f xml:space="preserve"> IF(Bike_Sharing_Master6[[#This Row],[Hr]]&lt;6,"Late Night", IF(Bike_Sharing_Master6[[#This Row],[Hr]]&lt;10,"Morning Peak", IF(Bike_Sharing_Master6[[#This Row],[Hr]]&lt;17,"Daytime", IF(Bike_Sharing_Master6[[#This Row],[Hr]]&lt;21,"Evening Peak","Night"))))</f>
        <v>Night</v>
      </c>
      <c r="S324" s="1" t="str">
        <f>IF(Bike_Sharing_Master6[[#This Row],[Holiday]]=1,"Holiday","Non-Holiday")</f>
        <v>Non-Holiday</v>
      </c>
      <c r="T324" s="1" t="str">
        <f>IF(Bike_Sharing_Master6[[#This Row],[Cnt]]&lt;80,"Low",IF(Bike_Sharing_Master6[[#This Row],[Cnt]]&lt;160,"Medium","High"))</f>
        <v>Low</v>
      </c>
      <c r="U324" s="1" t="str">
        <f>VLOOKUP(Bike_Sharing_Master6[[#This Row],[Weathersit]],[1]Lookup_Weather!A:B,2,FALSE)</f>
        <v>Mist</v>
      </c>
    </row>
    <row r="325" spans="1:21" x14ac:dyDescent="0.3">
      <c r="A325">
        <v>324</v>
      </c>
      <c r="B325" s="3">
        <v>40557</v>
      </c>
      <c r="C325" s="1">
        <v>1</v>
      </c>
      <c r="D325" s="1">
        <v>0</v>
      </c>
      <c r="E325" s="1">
        <v>1</v>
      </c>
      <c r="F325" s="1">
        <v>23</v>
      </c>
      <c r="G325" t="b">
        <v>0</v>
      </c>
      <c r="H325" s="1">
        <v>5</v>
      </c>
      <c r="I325" s="1">
        <v>2</v>
      </c>
      <c r="J325" s="2">
        <v>0.18</v>
      </c>
      <c r="K325" s="2">
        <v>0.2424</v>
      </c>
      <c r="L325" s="2">
        <v>0.55000000000000004</v>
      </c>
      <c r="M325" s="2">
        <v>0</v>
      </c>
      <c r="N325" s="1">
        <v>1</v>
      </c>
      <c r="O325" s="1">
        <v>26</v>
      </c>
      <c r="P325" s="1">
        <v>27</v>
      </c>
      <c r="Q325" s="1" t="str">
        <f>IF(WEEKDAY(Bike_Sharing_Master6[[#This Row],[Dteday]],2)&gt;=6,"Weekend","Weekday")</f>
        <v>Weekday</v>
      </c>
      <c r="R325" s="1" t="str">
        <f xml:space="preserve"> IF(Bike_Sharing_Master6[[#This Row],[Hr]]&lt;6,"Late Night", IF(Bike_Sharing_Master6[[#This Row],[Hr]]&lt;10,"Morning Peak", IF(Bike_Sharing_Master6[[#This Row],[Hr]]&lt;17,"Daytime", IF(Bike_Sharing_Master6[[#This Row],[Hr]]&lt;21,"Evening Peak","Night"))))</f>
        <v>Night</v>
      </c>
      <c r="S325" s="1" t="str">
        <f>IF(Bike_Sharing_Master6[[#This Row],[Holiday]]=1,"Holiday","Non-Holiday")</f>
        <v>Non-Holiday</v>
      </c>
      <c r="T325" s="1" t="str">
        <f>IF(Bike_Sharing_Master6[[#This Row],[Cnt]]&lt;80,"Low",IF(Bike_Sharing_Master6[[#This Row],[Cnt]]&lt;160,"Medium","High"))</f>
        <v>Low</v>
      </c>
      <c r="U325" s="1" t="str">
        <f>VLOOKUP(Bike_Sharing_Master6[[#This Row],[Weathersit]],[1]Lookup_Weather!A:B,2,FALSE)</f>
        <v>Mist</v>
      </c>
    </row>
    <row r="326" spans="1:21" x14ac:dyDescent="0.3">
      <c r="A326">
        <v>325</v>
      </c>
      <c r="B326" s="3">
        <v>40558</v>
      </c>
      <c r="C326" s="1">
        <v>1</v>
      </c>
      <c r="D326" s="1">
        <v>0</v>
      </c>
      <c r="E326" s="1">
        <v>1</v>
      </c>
      <c r="F326" s="1">
        <v>0</v>
      </c>
      <c r="G326" t="b">
        <v>0</v>
      </c>
      <c r="H326" s="1">
        <v>6</v>
      </c>
      <c r="I326" s="1">
        <v>1</v>
      </c>
      <c r="J326" s="2">
        <v>0.18</v>
      </c>
      <c r="K326" s="2">
        <v>0.2424</v>
      </c>
      <c r="L326" s="2">
        <v>0.55000000000000004</v>
      </c>
      <c r="M326" s="2">
        <v>0</v>
      </c>
      <c r="N326" s="1">
        <v>3</v>
      </c>
      <c r="O326" s="1">
        <v>25</v>
      </c>
      <c r="P326" s="1">
        <v>28</v>
      </c>
      <c r="Q326" s="1" t="str">
        <f>IF(WEEKDAY(Bike_Sharing_Master6[[#This Row],[Dteday]],2)&gt;=6,"Weekend","Weekday")</f>
        <v>Weekend</v>
      </c>
      <c r="R326" s="1" t="str">
        <f xml:space="preserve"> IF(Bike_Sharing_Master6[[#This Row],[Hr]]&lt;6,"Late Night", IF(Bike_Sharing_Master6[[#This Row],[Hr]]&lt;10,"Morning Peak", IF(Bike_Sharing_Master6[[#This Row],[Hr]]&lt;17,"Daytime", IF(Bike_Sharing_Master6[[#This Row],[Hr]]&lt;21,"Evening Peak","Night"))))</f>
        <v>Late Night</v>
      </c>
      <c r="S326" s="1" t="str">
        <f>IF(Bike_Sharing_Master6[[#This Row],[Holiday]]=1,"Holiday","Non-Holiday")</f>
        <v>Non-Holiday</v>
      </c>
      <c r="T326" s="1" t="str">
        <f>IF(Bike_Sharing_Master6[[#This Row],[Cnt]]&lt;80,"Low",IF(Bike_Sharing_Master6[[#This Row],[Cnt]]&lt;160,"Medium","High"))</f>
        <v>Low</v>
      </c>
      <c r="U326" s="1" t="str">
        <f>VLOOKUP(Bike_Sharing_Master6[[#This Row],[Weathersit]],[1]Lookup_Weather!A:B,2,FALSE)</f>
        <v>Clear</v>
      </c>
    </row>
    <row r="327" spans="1:21" x14ac:dyDescent="0.3">
      <c r="A327">
        <v>326</v>
      </c>
      <c r="B327" s="3">
        <v>40558</v>
      </c>
      <c r="C327" s="1">
        <v>1</v>
      </c>
      <c r="D327" s="1">
        <v>0</v>
      </c>
      <c r="E327" s="1">
        <v>1</v>
      </c>
      <c r="F327" s="1">
        <v>1</v>
      </c>
      <c r="G327" t="b">
        <v>0</v>
      </c>
      <c r="H327" s="1">
        <v>6</v>
      </c>
      <c r="I327" s="1">
        <v>2</v>
      </c>
      <c r="J327" s="2">
        <v>0.16</v>
      </c>
      <c r="K327" s="2">
        <v>0.19700000000000001</v>
      </c>
      <c r="L327" s="2">
        <v>0.59</v>
      </c>
      <c r="M327" s="2">
        <v>8.9599999999999999E-2</v>
      </c>
      <c r="N327" s="1">
        <v>2</v>
      </c>
      <c r="O327" s="1">
        <v>18</v>
      </c>
      <c r="P327" s="1">
        <v>20</v>
      </c>
      <c r="Q327" s="1" t="str">
        <f>IF(WEEKDAY(Bike_Sharing_Master6[[#This Row],[Dteday]],2)&gt;=6,"Weekend","Weekday")</f>
        <v>Weekend</v>
      </c>
      <c r="R327" s="1" t="str">
        <f xml:space="preserve"> IF(Bike_Sharing_Master6[[#This Row],[Hr]]&lt;6,"Late Night", IF(Bike_Sharing_Master6[[#This Row],[Hr]]&lt;10,"Morning Peak", IF(Bike_Sharing_Master6[[#This Row],[Hr]]&lt;17,"Daytime", IF(Bike_Sharing_Master6[[#This Row],[Hr]]&lt;21,"Evening Peak","Night"))))</f>
        <v>Late Night</v>
      </c>
      <c r="S327" s="1" t="str">
        <f>IF(Bike_Sharing_Master6[[#This Row],[Holiday]]=1,"Holiday","Non-Holiday")</f>
        <v>Non-Holiday</v>
      </c>
      <c r="T327" s="1" t="str">
        <f>IF(Bike_Sharing_Master6[[#This Row],[Cnt]]&lt;80,"Low",IF(Bike_Sharing_Master6[[#This Row],[Cnt]]&lt;160,"Medium","High"))</f>
        <v>Low</v>
      </c>
      <c r="U327" s="1" t="str">
        <f>VLOOKUP(Bike_Sharing_Master6[[#This Row],[Weathersit]],[1]Lookup_Weather!A:B,2,FALSE)</f>
        <v>Mist</v>
      </c>
    </row>
    <row r="328" spans="1:21" x14ac:dyDescent="0.3">
      <c r="A328">
        <v>327</v>
      </c>
      <c r="B328" s="3">
        <v>40558</v>
      </c>
      <c r="C328" s="1">
        <v>1</v>
      </c>
      <c r="D328" s="1">
        <v>0</v>
      </c>
      <c r="E328" s="1">
        <v>1</v>
      </c>
      <c r="F328" s="1">
        <v>2</v>
      </c>
      <c r="G328" t="b">
        <v>0</v>
      </c>
      <c r="H328" s="1">
        <v>6</v>
      </c>
      <c r="I328" s="1">
        <v>2</v>
      </c>
      <c r="J328" s="2">
        <v>0.16</v>
      </c>
      <c r="K328" s="2">
        <v>0.19700000000000001</v>
      </c>
      <c r="L328" s="2">
        <v>0.59</v>
      </c>
      <c r="M328" s="2">
        <v>8.9599999999999999E-2</v>
      </c>
      <c r="N328" s="1">
        <v>0</v>
      </c>
      <c r="O328" s="1">
        <v>12</v>
      </c>
      <c r="P328" s="1">
        <v>12</v>
      </c>
      <c r="Q328" s="1" t="str">
        <f>IF(WEEKDAY(Bike_Sharing_Master6[[#This Row],[Dteday]],2)&gt;=6,"Weekend","Weekday")</f>
        <v>Weekend</v>
      </c>
      <c r="R328" s="1" t="str">
        <f xml:space="preserve"> IF(Bike_Sharing_Master6[[#This Row],[Hr]]&lt;6,"Late Night", IF(Bike_Sharing_Master6[[#This Row],[Hr]]&lt;10,"Morning Peak", IF(Bike_Sharing_Master6[[#This Row],[Hr]]&lt;17,"Daytime", IF(Bike_Sharing_Master6[[#This Row],[Hr]]&lt;21,"Evening Peak","Night"))))</f>
        <v>Late Night</v>
      </c>
      <c r="S328" s="1" t="str">
        <f>IF(Bike_Sharing_Master6[[#This Row],[Holiday]]=1,"Holiday","Non-Holiday")</f>
        <v>Non-Holiday</v>
      </c>
      <c r="T328" s="1" t="str">
        <f>IF(Bike_Sharing_Master6[[#This Row],[Cnt]]&lt;80,"Low",IF(Bike_Sharing_Master6[[#This Row],[Cnt]]&lt;160,"Medium","High"))</f>
        <v>Low</v>
      </c>
      <c r="U328" s="1" t="str">
        <f>VLOOKUP(Bike_Sharing_Master6[[#This Row],[Weathersit]],[1]Lookup_Weather!A:B,2,FALSE)</f>
        <v>Mist</v>
      </c>
    </row>
    <row r="329" spans="1:21" x14ac:dyDescent="0.3">
      <c r="A329">
        <v>328</v>
      </c>
      <c r="B329" s="3">
        <v>40558</v>
      </c>
      <c r="C329" s="1">
        <v>1</v>
      </c>
      <c r="D329" s="1">
        <v>0</v>
      </c>
      <c r="E329" s="1">
        <v>1</v>
      </c>
      <c r="F329" s="1">
        <v>3</v>
      </c>
      <c r="G329" t="b">
        <v>0</v>
      </c>
      <c r="H329" s="1">
        <v>6</v>
      </c>
      <c r="I329" s="1">
        <v>2</v>
      </c>
      <c r="J329" s="2">
        <v>0.16</v>
      </c>
      <c r="K329" s="2">
        <v>0.2273</v>
      </c>
      <c r="L329" s="2">
        <v>0.59</v>
      </c>
      <c r="M329" s="2">
        <v>0</v>
      </c>
      <c r="N329" s="1">
        <v>1</v>
      </c>
      <c r="O329" s="1">
        <v>7</v>
      </c>
      <c r="P329" s="1">
        <v>8</v>
      </c>
      <c r="Q329" s="1" t="str">
        <f>IF(WEEKDAY(Bike_Sharing_Master6[[#This Row],[Dteday]],2)&gt;=6,"Weekend","Weekday")</f>
        <v>Weekend</v>
      </c>
      <c r="R329" s="1" t="str">
        <f xml:space="preserve"> IF(Bike_Sharing_Master6[[#This Row],[Hr]]&lt;6,"Late Night", IF(Bike_Sharing_Master6[[#This Row],[Hr]]&lt;10,"Morning Peak", IF(Bike_Sharing_Master6[[#This Row],[Hr]]&lt;17,"Daytime", IF(Bike_Sharing_Master6[[#This Row],[Hr]]&lt;21,"Evening Peak","Night"))))</f>
        <v>Late Night</v>
      </c>
      <c r="S329" s="1" t="str">
        <f>IF(Bike_Sharing_Master6[[#This Row],[Holiday]]=1,"Holiday","Non-Holiday")</f>
        <v>Non-Holiday</v>
      </c>
      <c r="T329" s="1" t="str">
        <f>IF(Bike_Sharing_Master6[[#This Row],[Cnt]]&lt;80,"Low",IF(Bike_Sharing_Master6[[#This Row],[Cnt]]&lt;160,"Medium","High"))</f>
        <v>Low</v>
      </c>
      <c r="U329" s="1" t="str">
        <f>VLOOKUP(Bike_Sharing_Master6[[#This Row],[Weathersit]],[1]Lookup_Weather!A:B,2,FALSE)</f>
        <v>Mist</v>
      </c>
    </row>
    <row r="330" spans="1:21" x14ac:dyDescent="0.3">
      <c r="A330">
        <v>329</v>
      </c>
      <c r="B330" s="3">
        <v>40558</v>
      </c>
      <c r="C330" s="1">
        <v>1</v>
      </c>
      <c r="D330" s="1">
        <v>0</v>
      </c>
      <c r="E330" s="1">
        <v>1</v>
      </c>
      <c r="F330" s="1">
        <v>4</v>
      </c>
      <c r="G330" t="b">
        <v>0</v>
      </c>
      <c r="H330" s="1">
        <v>6</v>
      </c>
      <c r="I330" s="1">
        <v>2</v>
      </c>
      <c r="J330" s="2">
        <v>0.16</v>
      </c>
      <c r="K330" s="2">
        <v>0.2273</v>
      </c>
      <c r="L330" s="2">
        <v>0.59</v>
      </c>
      <c r="M330" s="2">
        <v>0</v>
      </c>
      <c r="N330" s="1">
        <v>0</v>
      </c>
      <c r="O330" s="1">
        <v>5</v>
      </c>
      <c r="P330" s="1">
        <v>5</v>
      </c>
      <c r="Q330" s="1" t="str">
        <f>IF(WEEKDAY(Bike_Sharing_Master6[[#This Row],[Dteday]],2)&gt;=6,"Weekend","Weekday")</f>
        <v>Weekend</v>
      </c>
      <c r="R330" s="1" t="str">
        <f xml:space="preserve"> IF(Bike_Sharing_Master6[[#This Row],[Hr]]&lt;6,"Late Night", IF(Bike_Sharing_Master6[[#This Row],[Hr]]&lt;10,"Morning Peak", IF(Bike_Sharing_Master6[[#This Row],[Hr]]&lt;17,"Daytime", IF(Bike_Sharing_Master6[[#This Row],[Hr]]&lt;21,"Evening Peak","Night"))))</f>
        <v>Late Night</v>
      </c>
      <c r="S330" s="1" t="str">
        <f>IF(Bike_Sharing_Master6[[#This Row],[Holiday]]=1,"Holiday","Non-Holiday")</f>
        <v>Non-Holiday</v>
      </c>
      <c r="T330" s="1" t="str">
        <f>IF(Bike_Sharing_Master6[[#This Row],[Cnt]]&lt;80,"Low",IF(Bike_Sharing_Master6[[#This Row],[Cnt]]&lt;160,"Medium","High"))</f>
        <v>Low</v>
      </c>
      <c r="U330" s="1" t="str">
        <f>VLOOKUP(Bike_Sharing_Master6[[#This Row],[Weathersit]],[1]Lookup_Weather!A:B,2,FALSE)</f>
        <v>Mist</v>
      </c>
    </row>
    <row r="331" spans="1:21" x14ac:dyDescent="0.3">
      <c r="A331">
        <v>330</v>
      </c>
      <c r="B331" s="3">
        <v>40558</v>
      </c>
      <c r="C331" s="1">
        <v>1</v>
      </c>
      <c r="D331" s="1">
        <v>0</v>
      </c>
      <c r="E331" s="1">
        <v>1</v>
      </c>
      <c r="F331" s="1">
        <v>5</v>
      </c>
      <c r="G331" t="b">
        <v>0</v>
      </c>
      <c r="H331" s="1">
        <v>6</v>
      </c>
      <c r="I331" s="1">
        <v>1</v>
      </c>
      <c r="J331" s="2">
        <v>0.16</v>
      </c>
      <c r="K331" s="2">
        <v>0.2273</v>
      </c>
      <c r="L331" s="2">
        <v>0.59</v>
      </c>
      <c r="M331" s="2">
        <v>0</v>
      </c>
      <c r="N331" s="1">
        <v>0</v>
      </c>
      <c r="O331" s="1">
        <v>1</v>
      </c>
      <c r="P331" s="1">
        <v>1</v>
      </c>
      <c r="Q331" s="1" t="str">
        <f>IF(WEEKDAY(Bike_Sharing_Master6[[#This Row],[Dteday]],2)&gt;=6,"Weekend","Weekday")</f>
        <v>Weekend</v>
      </c>
      <c r="R331" s="1" t="str">
        <f xml:space="preserve"> IF(Bike_Sharing_Master6[[#This Row],[Hr]]&lt;6,"Late Night", IF(Bike_Sharing_Master6[[#This Row],[Hr]]&lt;10,"Morning Peak", IF(Bike_Sharing_Master6[[#This Row],[Hr]]&lt;17,"Daytime", IF(Bike_Sharing_Master6[[#This Row],[Hr]]&lt;21,"Evening Peak","Night"))))</f>
        <v>Late Night</v>
      </c>
      <c r="S331" s="1" t="str">
        <f>IF(Bike_Sharing_Master6[[#This Row],[Holiday]]=1,"Holiday","Non-Holiday")</f>
        <v>Non-Holiday</v>
      </c>
      <c r="T331" s="1" t="str">
        <f>IF(Bike_Sharing_Master6[[#This Row],[Cnt]]&lt;80,"Low",IF(Bike_Sharing_Master6[[#This Row],[Cnt]]&lt;160,"Medium","High"))</f>
        <v>Low</v>
      </c>
      <c r="U331" s="1" t="str">
        <f>VLOOKUP(Bike_Sharing_Master6[[#This Row],[Weathersit]],[1]Lookup_Weather!A:B,2,FALSE)</f>
        <v>Clear</v>
      </c>
    </row>
    <row r="332" spans="1:21" x14ac:dyDescent="0.3">
      <c r="A332">
        <v>331</v>
      </c>
      <c r="B332" s="3">
        <v>40558</v>
      </c>
      <c r="C332" s="1">
        <v>1</v>
      </c>
      <c r="D332" s="1">
        <v>0</v>
      </c>
      <c r="E332" s="1">
        <v>1</v>
      </c>
      <c r="F332" s="1">
        <v>6</v>
      </c>
      <c r="G332" t="b">
        <v>0</v>
      </c>
      <c r="H332" s="1">
        <v>6</v>
      </c>
      <c r="I332" s="1">
        <v>1</v>
      </c>
      <c r="J332" s="2">
        <v>0.14000000000000001</v>
      </c>
      <c r="K332" s="2">
        <v>0.16669999999999999</v>
      </c>
      <c r="L332" s="2">
        <v>0.63</v>
      </c>
      <c r="M332" s="2">
        <v>0.1045</v>
      </c>
      <c r="N332" s="1">
        <v>1</v>
      </c>
      <c r="O332" s="1">
        <v>2</v>
      </c>
      <c r="P332" s="1">
        <v>3</v>
      </c>
      <c r="Q332" s="1" t="str">
        <f>IF(WEEKDAY(Bike_Sharing_Master6[[#This Row],[Dteday]],2)&gt;=6,"Weekend","Weekday")</f>
        <v>Weekend</v>
      </c>
      <c r="R332" s="1" t="str">
        <f xml:space="preserve"> IF(Bike_Sharing_Master6[[#This Row],[Hr]]&lt;6,"Late Night", IF(Bike_Sharing_Master6[[#This Row],[Hr]]&lt;10,"Morning Peak", IF(Bike_Sharing_Master6[[#This Row],[Hr]]&lt;17,"Daytime", IF(Bike_Sharing_Master6[[#This Row],[Hr]]&lt;21,"Evening Peak","Night"))))</f>
        <v>Morning Peak</v>
      </c>
      <c r="S332" s="1" t="str">
        <f>IF(Bike_Sharing_Master6[[#This Row],[Holiday]]=1,"Holiday","Non-Holiday")</f>
        <v>Non-Holiday</v>
      </c>
      <c r="T332" s="1" t="str">
        <f>IF(Bike_Sharing_Master6[[#This Row],[Cnt]]&lt;80,"Low",IF(Bike_Sharing_Master6[[#This Row],[Cnt]]&lt;160,"Medium","High"))</f>
        <v>Low</v>
      </c>
      <c r="U332" s="1" t="str">
        <f>VLOOKUP(Bike_Sharing_Master6[[#This Row],[Weathersit]],[1]Lookup_Weather!A:B,2,FALSE)</f>
        <v>Clear</v>
      </c>
    </row>
    <row r="333" spans="1:21" x14ac:dyDescent="0.3">
      <c r="A333">
        <v>332</v>
      </c>
      <c r="B333" s="3">
        <v>40558</v>
      </c>
      <c r="C333" s="1">
        <v>1</v>
      </c>
      <c r="D333" s="1">
        <v>0</v>
      </c>
      <c r="E333" s="1">
        <v>1</v>
      </c>
      <c r="F333" s="1">
        <v>7</v>
      </c>
      <c r="G333" t="b">
        <v>0</v>
      </c>
      <c r="H333" s="1">
        <v>6</v>
      </c>
      <c r="I333" s="1">
        <v>1</v>
      </c>
      <c r="J333" s="2">
        <v>0.14000000000000001</v>
      </c>
      <c r="K333" s="2">
        <v>0.21210000000000001</v>
      </c>
      <c r="L333" s="2">
        <v>0.63</v>
      </c>
      <c r="M333" s="2">
        <v>0</v>
      </c>
      <c r="N333" s="1">
        <v>1</v>
      </c>
      <c r="O333" s="1">
        <v>9</v>
      </c>
      <c r="P333" s="1">
        <v>10</v>
      </c>
      <c r="Q333" s="1" t="str">
        <f>IF(WEEKDAY(Bike_Sharing_Master6[[#This Row],[Dteday]],2)&gt;=6,"Weekend","Weekday")</f>
        <v>Weekend</v>
      </c>
      <c r="R333" s="1" t="str">
        <f xml:space="preserve"> IF(Bike_Sharing_Master6[[#This Row],[Hr]]&lt;6,"Late Night", IF(Bike_Sharing_Master6[[#This Row],[Hr]]&lt;10,"Morning Peak", IF(Bike_Sharing_Master6[[#This Row],[Hr]]&lt;17,"Daytime", IF(Bike_Sharing_Master6[[#This Row],[Hr]]&lt;21,"Evening Peak","Night"))))</f>
        <v>Morning Peak</v>
      </c>
      <c r="S333" s="1" t="str">
        <f>IF(Bike_Sharing_Master6[[#This Row],[Holiday]]=1,"Holiday","Non-Holiday")</f>
        <v>Non-Holiday</v>
      </c>
      <c r="T333" s="1" t="str">
        <f>IF(Bike_Sharing_Master6[[#This Row],[Cnt]]&lt;80,"Low",IF(Bike_Sharing_Master6[[#This Row],[Cnt]]&lt;160,"Medium","High"))</f>
        <v>Low</v>
      </c>
      <c r="U333" s="1" t="str">
        <f>VLOOKUP(Bike_Sharing_Master6[[#This Row],[Weathersit]],[1]Lookup_Weather!A:B,2,FALSE)</f>
        <v>Clear</v>
      </c>
    </row>
    <row r="334" spans="1:21" x14ac:dyDescent="0.3">
      <c r="A334">
        <v>333</v>
      </c>
      <c r="B334" s="3">
        <v>40558</v>
      </c>
      <c r="C334" s="1">
        <v>1</v>
      </c>
      <c r="D334" s="1">
        <v>0</v>
      </c>
      <c r="E334" s="1">
        <v>1</v>
      </c>
      <c r="F334" s="1">
        <v>8</v>
      </c>
      <c r="G334" t="b">
        <v>0</v>
      </c>
      <c r="H334" s="1">
        <v>6</v>
      </c>
      <c r="I334" s="1">
        <v>1</v>
      </c>
      <c r="J334" s="2">
        <v>0.14000000000000001</v>
      </c>
      <c r="K334" s="2">
        <v>0.1515</v>
      </c>
      <c r="L334" s="2">
        <v>0.63</v>
      </c>
      <c r="M334" s="2">
        <v>0.1343</v>
      </c>
      <c r="N334" s="1">
        <v>1</v>
      </c>
      <c r="O334" s="1">
        <v>22</v>
      </c>
      <c r="P334" s="1">
        <v>23</v>
      </c>
      <c r="Q334" s="1" t="str">
        <f>IF(WEEKDAY(Bike_Sharing_Master6[[#This Row],[Dteday]],2)&gt;=6,"Weekend","Weekday")</f>
        <v>Weekend</v>
      </c>
      <c r="R334" s="1" t="str">
        <f xml:space="preserve"> IF(Bike_Sharing_Master6[[#This Row],[Hr]]&lt;6,"Late Night", IF(Bike_Sharing_Master6[[#This Row],[Hr]]&lt;10,"Morning Peak", IF(Bike_Sharing_Master6[[#This Row],[Hr]]&lt;17,"Daytime", IF(Bike_Sharing_Master6[[#This Row],[Hr]]&lt;21,"Evening Peak","Night"))))</f>
        <v>Morning Peak</v>
      </c>
      <c r="S334" s="1" t="str">
        <f>IF(Bike_Sharing_Master6[[#This Row],[Holiday]]=1,"Holiday","Non-Holiday")</f>
        <v>Non-Holiday</v>
      </c>
      <c r="T334" s="1" t="str">
        <f>IF(Bike_Sharing_Master6[[#This Row],[Cnt]]&lt;80,"Low",IF(Bike_Sharing_Master6[[#This Row],[Cnt]]&lt;160,"Medium","High"))</f>
        <v>Low</v>
      </c>
      <c r="U334" s="1" t="str">
        <f>VLOOKUP(Bike_Sharing_Master6[[#This Row],[Weathersit]],[1]Lookup_Weather!A:B,2,FALSE)</f>
        <v>Clear</v>
      </c>
    </row>
    <row r="335" spans="1:21" x14ac:dyDescent="0.3">
      <c r="A335">
        <v>334</v>
      </c>
      <c r="B335" s="3">
        <v>40558</v>
      </c>
      <c r="C335" s="1">
        <v>1</v>
      </c>
      <c r="D335" s="1">
        <v>0</v>
      </c>
      <c r="E335" s="1">
        <v>1</v>
      </c>
      <c r="F335" s="1">
        <v>9</v>
      </c>
      <c r="G335" t="b">
        <v>0</v>
      </c>
      <c r="H335" s="1">
        <v>6</v>
      </c>
      <c r="I335" s="1">
        <v>1</v>
      </c>
      <c r="J335" s="2">
        <v>0.16</v>
      </c>
      <c r="K335" s="2">
        <v>0.18179999999999999</v>
      </c>
      <c r="L335" s="2">
        <v>0.64</v>
      </c>
      <c r="M335" s="2">
        <v>0.1343</v>
      </c>
      <c r="N335" s="1">
        <v>2</v>
      </c>
      <c r="O335" s="1">
        <v>31</v>
      </c>
      <c r="P335" s="1">
        <v>33</v>
      </c>
      <c r="Q335" s="1" t="str">
        <f>IF(WEEKDAY(Bike_Sharing_Master6[[#This Row],[Dteday]],2)&gt;=6,"Weekend","Weekday")</f>
        <v>Weekend</v>
      </c>
      <c r="R335" s="1" t="str">
        <f xml:space="preserve"> IF(Bike_Sharing_Master6[[#This Row],[Hr]]&lt;6,"Late Night", IF(Bike_Sharing_Master6[[#This Row],[Hr]]&lt;10,"Morning Peak", IF(Bike_Sharing_Master6[[#This Row],[Hr]]&lt;17,"Daytime", IF(Bike_Sharing_Master6[[#This Row],[Hr]]&lt;21,"Evening Peak","Night"))))</f>
        <v>Morning Peak</v>
      </c>
      <c r="S335" s="1" t="str">
        <f>IF(Bike_Sharing_Master6[[#This Row],[Holiday]]=1,"Holiday","Non-Holiday")</f>
        <v>Non-Holiday</v>
      </c>
      <c r="T335" s="1" t="str">
        <f>IF(Bike_Sharing_Master6[[#This Row],[Cnt]]&lt;80,"Low",IF(Bike_Sharing_Master6[[#This Row],[Cnt]]&lt;160,"Medium","High"))</f>
        <v>Low</v>
      </c>
      <c r="U335" s="1" t="str">
        <f>VLOOKUP(Bike_Sharing_Master6[[#This Row],[Weathersit]],[1]Lookup_Weather!A:B,2,FALSE)</f>
        <v>Clear</v>
      </c>
    </row>
    <row r="336" spans="1:21" x14ac:dyDescent="0.3">
      <c r="A336">
        <v>335</v>
      </c>
      <c r="B336" s="3">
        <v>40558</v>
      </c>
      <c r="C336" s="1">
        <v>1</v>
      </c>
      <c r="D336" s="1">
        <v>0</v>
      </c>
      <c r="E336" s="1">
        <v>1</v>
      </c>
      <c r="F336" s="1">
        <v>10</v>
      </c>
      <c r="G336" t="b">
        <v>0</v>
      </c>
      <c r="H336" s="1">
        <v>6</v>
      </c>
      <c r="I336" s="1">
        <v>1</v>
      </c>
      <c r="J336" s="2">
        <v>0.18</v>
      </c>
      <c r="K336" s="2">
        <v>0.19700000000000001</v>
      </c>
      <c r="L336" s="2">
        <v>0.59</v>
      </c>
      <c r="M336" s="2">
        <v>0.16420000000000001</v>
      </c>
      <c r="N336" s="1">
        <v>2</v>
      </c>
      <c r="O336" s="1">
        <v>57</v>
      </c>
      <c r="P336" s="1">
        <v>59</v>
      </c>
      <c r="Q336" s="1" t="str">
        <f>IF(WEEKDAY(Bike_Sharing_Master6[[#This Row],[Dteday]],2)&gt;=6,"Weekend","Weekday")</f>
        <v>Weekend</v>
      </c>
      <c r="R336" s="1" t="str">
        <f xml:space="preserve"> IF(Bike_Sharing_Master6[[#This Row],[Hr]]&lt;6,"Late Night", IF(Bike_Sharing_Master6[[#This Row],[Hr]]&lt;10,"Morning Peak", IF(Bike_Sharing_Master6[[#This Row],[Hr]]&lt;17,"Daytime", IF(Bike_Sharing_Master6[[#This Row],[Hr]]&lt;21,"Evening Peak","Night"))))</f>
        <v>Daytime</v>
      </c>
      <c r="S336" s="1" t="str">
        <f>IF(Bike_Sharing_Master6[[#This Row],[Holiday]]=1,"Holiday","Non-Holiday")</f>
        <v>Non-Holiday</v>
      </c>
      <c r="T336" s="1" t="str">
        <f>IF(Bike_Sharing_Master6[[#This Row],[Cnt]]&lt;80,"Low",IF(Bike_Sharing_Master6[[#This Row],[Cnt]]&lt;160,"Medium","High"))</f>
        <v>Low</v>
      </c>
      <c r="U336" s="1" t="str">
        <f>VLOOKUP(Bike_Sharing_Master6[[#This Row],[Weathersit]],[1]Lookup_Weather!A:B,2,FALSE)</f>
        <v>Clear</v>
      </c>
    </row>
    <row r="337" spans="1:21" x14ac:dyDescent="0.3">
      <c r="A337">
        <v>336</v>
      </c>
      <c r="B337" s="3">
        <v>40558</v>
      </c>
      <c r="C337" s="1">
        <v>1</v>
      </c>
      <c r="D337" s="1">
        <v>0</v>
      </c>
      <c r="E337" s="1">
        <v>1</v>
      </c>
      <c r="F337" s="1">
        <v>11</v>
      </c>
      <c r="G337" t="b">
        <v>0</v>
      </c>
      <c r="H337" s="1">
        <v>6</v>
      </c>
      <c r="I337" s="1">
        <v>1</v>
      </c>
      <c r="J337" s="2">
        <v>0.2</v>
      </c>
      <c r="K337" s="2">
        <v>0.19700000000000001</v>
      </c>
      <c r="L337" s="2">
        <v>0.55000000000000004</v>
      </c>
      <c r="M337" s="2">
        <v>0.22389999999999999</v>
      </c>
      <c r="N337" s="1">
        <v>18</v>
      </c>
      <c r="O337" s="1">
        <v>54</v>
      </c>
      <c r="P337" s="1">
        <v>72</v>
      </c>
      <c r="Q337" s="1" t="str">
        <f>IF(WEEKDAY(Bike_Sharing_Master6[[#This Row],[Dteday]],2)&gt;=6,"Weekend","Weekday")</f>
        <v>Weekend</v>
      </c>
      <c r="R337" s="1" t="str">
        <f xml:space="preserve"> IF(Bike_Sharing_Master6[[#This Row],[Hr]]&lt;6,"Late Night", IF(Bike_Sharing_Master6[[#This Row],[Hr]]&lt;10,"Morning Peak", IF(Bike_Sharing_Master6[[#This Row],[Hr]]&lt;17,"Daytime", IF(Bike_Sharing_Master6[[#This Row],[Hr]]&lt;21,"Evening Peak","Night"))))</f>
        <v>Daytime</v>
      </c>
      <c r="S337" s="1" t="str">
        <f>IF(Bike_Sharing_Master6[[#This Row],[Holiday]]=1,"Holiday","Non-Holiday")</f>
        <v>Non-Holiday</v>
      </c>
      <c r="T337" s="1" t="str">
        <f>IF(Bike_Sharing_Master6[[#This Row],[Cnt]]&lt;80,"Low",IF(Bike_Sharing_Master6[[#This Row],[Cnt]]&lt;160,"Medium","High"))</f>
        <v>Low</v>
      </c>
      <c r="U337" s="1" t="str">
        <f>VLOOKUP(Bike_Sharing_Master6[[#This Row],[Weathersit]],[1]Lookup_Weather!A:B,2,FALSE)</f>
        <v>Clear</v>
      </c>
    </row>
    <row r="338" spans="1:21" x14ac:dyDescent="0.3">
      <c r="A338">
        <v>337</v>
      </c>
      <c r="B338" s="3">
        <v>40558</v>
      </c>
      <c r="C338" s="1">
        <v>1</v>
      </c>
      <c r="D338" s="1">
        <v>0</v>
      </c>
      <c r="E338" s="1">
        <v>1</v>
      </c>
      <c r="F338" s="1">
        <v>12</v>
      </c>
      <c r="G338" t="b">
        <v>0</v>
      </c>
      <c r="H338" s="1">
        <v>6</v>
      </c>
      <c r="I338" s="1">
        <v>1</v>
      </c>
      <c r="J338" s="2">
        <v>0.24</v>
      </c>
      <c r="K338" s="2">
        <v>0.2273</v>
      </c>
      <c r="L338" s="2">
        <v>0.48</v>
      </c>
      <c r="M338" s="2">
        <v>0.22389999999999999</v>
      </c>
      <c r="N338" s="1">
        <v>15</v>
      </c>
      <c r="O338" s="1">
        <v>74</v>
      </c>
      <c r="P338" s="1">
        <v>89</v>
      </c>
      <c r="Q338" s="1" t="str">
        <f>IF(WEEKDAY(Bike_Sharing_Master6[[#This Row],[Dteday]],2)&gt;=6,"Weekend","Weekday")</f>
        <v>Weekend</v>
      </c>
      <c r="R338" s="1" t="str">
        <f xml:space="preserve"> IF(Bike_Sharing_Master6[[#This Row],[Hr]]&lt;6,"Late Night", IF(Bike_Sharing_Master6[[#This Row],[Hr]]&lt;10,"Morning Peak", IF(Bike_Sharing_Master6[[#This Row],[Hr]]&lt;17,"Daytime", IF(Bike_Sharing_Master6[[#This Row],[Hr]]&lt;21,"Evening Peak","Night"))))</f>
        <v>Daytime</v>
      </c>
      <c r="S338" s="1" t="str">
        <f>IF(Bike_Sharing_Master6[[#This Row],[Holiday]]=1,"Holiday","Non-Holiday")</f>
        <v>Non-Holiday</v>
      </c>
      <c r="T338" s="1" t="str">
        <f>IF(Bike_Sharing_Master6[[#This Row],[Cnt]]&lt;80,"Low",IF(Bike_Sharing_Master6[[#This Row],[Cnt]]&lt;160,"Medium","High"))</f>
        <v>Medium</v>
      </c>
      <c r="U338" s="1" t="str">
        <f>VLOOKUP(Bike_Sharing_Master6[[#This Row],[Weathersit]],[1]Lookup_Weather!A:B,2,FALSE)</f>
        <v>Clear</v>
      </c>
    </row>
    <row r="339" spans="1:21" x14ac:dyDescent="0.3">
      <c r="A339">
        <v>338</v>
      </c>
      <c r="B339" s="3">
        <v>40558</v>
      </c>
      <c r="C339" s="1">
        <v>1</v>
      </c>
      <c r="D339" s="1">
        <v>0</v>
      </c>
      <c r="E339" s="1">
        <v>1</v>
      </c>
      <c r="F339" s="1">
        <v>13</v>
      </c>
      <c r="G339" t="b">
        <v>0</v>
      </c>
      <c r="H339" s="1">
        <v>6</v>
      </c>
      <c r="I339" s="1">
        <v>1</v>
      </c>
      <c r="J339" s="2">
        <v>0.28000000000000003</v>
      </c>
      <c r="K339" s="2">
        <v>0.2576</v>
      </c>
      <c r="L339" s="2">
        <v>0.38</v>
      </c>
      <c r="M339" s="2">
        <v>0.29849999999999999</v>
      </c>
      <c r="N339" s="1">
        <v>21</v>
      </c>
      <c r="O339" s="1">
        <v>80</v>
      </c>
      <c r="P339" s="1">
        <v>101</v>
      </c>
      <c r="Q339" s="1" t="str">
        <f>IF(WEEKDAY(Bike_Sharing_Master6[[#This Row],[Dteday]],2)&gt;=6,"Weekend","Weekday")</f>
        <v>Weekend</v>
      </c>
      <c r="R339" s="1" t="str">
        <f xml:space="preserve"> IF(Bike_Sharing_Master6[[#This Row],[Hr]]&lt;6,"Late Night", IF(Bike_Sharing_Master6[[#This Row],[Hr]]&lt;10,"Morning Peak", IF(Bike_Sharing_Master6[[#This Row],[Hr]]&lt;17,"Daytime", IF(Bike_Sharing_Master6[[#This Row],[Hr]]&lt;21,"Evening Peak","Night"))))</f>
        <v>Daytime</v>
      </c>
      <c r="S339" s="1" t="str">
        <f>IF(Bike_Sharing_Master6[[#This Row],[Holiday]]=1,"Holiday","Non-Holiday")</f>
        <v>Non-Holiday</v>
      </c>
      <c r="T339" s="1" t="str">
        <f>IF(Bike_Sharing_Master6[[#This Row],[Cnt]]&lt;80,"Low",IF(Bike_Sharing_Master6[[#This Row],[Cnt]]&lt;160,"Medium","High"))</f>
        <v>Medium</v>
      </c>
      <c r="U339" s="1" t="str">
        <f>VLOOKUP(Bike_Sharing_Master6[[#This Row],[Weathersit]],[1]Lookup_Weather!A:B,2,FALSE)</f>
        <v>Clear</v>
      </c>
    </row>
    <row r="340" spans="1:21" x14ac:dyDescent="0.3">
      <c r="A340">
        <v>339</v>
      </c>
      <c r="B340" s="3">
        <v>40558</v>
      </c>
      <c r="C340" s="1">
        <v>1</v>
      </c>
      <c r="D340" s="1">
        <v>0</v>
      </c>
      <c r="E340" s="1">
        <v>1</v>
      </c>
      <c r="F340" s="1">
        <v>14</v>
      </c>
      <c r="G340" t="b">
        <v>0</v>
      </c>
      <c r="H340" s="1">
        <v>6</v>
      </c>
      <c r="I340" s="1">
        <v>1</v>
      </c>
      <c r="J340" s="2">
        <v>0.3</v>
      </c>
      <c r="K340" s="2">
        <v>0.28789999999999999</v>
      </c>
      <c r="L340" s="2">
        <v>0.39</v>
      </c>
      <c r="M340" s="2">
        <v>0.28360000000000002</v>
      </c>
      <c r="N340" s="1">
        <v>26</v>
      </c>
      <c r="O340" s="1">
        <v>92</v>
      </c>
      <c r="P340" s="1">
        <v>118</v>
      </c>
      <c r="Q340" s="1" t="str">
        <f>IF(WEEKDAY(Bike_Sharing_Master6[[#This Row],[Dteday]],2)&gt;=6,"Weekend","Weekday")</f>
        <v>Weekend</v>
      </c>
      <c r="R340" s="1" t="str">
        <f xml:space="preserve"> IF(Bike_Sharing_Master6[[#This Row],[Hr]]&lt;6,"Late Night", IF(Bike_Sharing_Master6[[#This Row],[Hr]]&lt;10,"Morning Peak", IF(Bike_Sharing_Master6[[#This Row],[Hr]]&lt;17,"Daytime", IF(Bike_Sharing_Master6[[#This Row],[Hr]]&lt;21,"Evening Peak","Night"))))</f>
        <v>Daytime</v>
      </c>
      <c r="S340" s="1" t="str">
        <f>IF(Bike_Sharing_Master6[[#This Row],[Holiday]]=1,"Holiday","Non-Holiday")</f>
        <v>Non-Holiday</v>
      </c>
      <c r="T340" s="1" t="str">
        <f>IF(Bike_Sharing_Master6[[#This Row],[Cnt]]&lt;80,"Low",IF(Bike_Sharing_Master6[[#This Row],[Cnt]]&lt;160,"Medium","High"))</f>
        <v>Medium</v>
      </c>
      <c r="U340" s="1" t="str">
        <f>VLOOKUP(Bike_Sharing_Master6[[#This Row],[Weathersit]],[1]Lookup_Weather!A:B,2,FALSE)</f>
        <v>Clear</v>
      </c>
    </row>
    <row r="341" spans="1:21" x14ac:dyDescent="0.3">
      <c r="A341">
        <v>340</v>
      </c>
      <c r="B341" s="3">
        <v>40558</v>
      </c>
      <c r="C341" s="1">
        <v>1</v>
      </c>
      <c r="D341" s="1">
        <v>0</v>
      </c>
      <c r="E341" s="1">
        <v>1</v>
      </c>
      <c r="F341" s="1">
        <v>15</v>
      </c>
      <c r="G341" t="b">
        <v>0</v>
      </c>
      <c r="H341" s="1">
        <v>6</v>
      </c>
      <c r="I341" s="1">
        <v>2</v>
      </c>
      <c r="J341" s="2">
        <v>0.32</v>
      </c>
      <c r="K341" s="2">
        <v>0.31819999999999998</v>
      </c>
      <c r="L341" s="2">
        <v>0.36</v>
      </c>
      <c r="M341" s="2">
        <v>0.19400000000000001</v>
      </c>
      <c r="N341" s="1">
        <v>21</v>
      </c>
      <c r="O341" s="1">
        <v>108</v>
      </c>
      <c r="P341" s="1">
        <v>129</v>
      </c>
      <c r="Q341" s="1" t="str">
        <f>IF(WEEKDAY(Bike_Sharing_Master6[[#This Row],[Dteday]],2)&gt;=6,"Weekend","Weekday")</f>
        <v>Weekend</v>
      </c>
      <c r="R341" s="1" t="str">
        <f xml:space="preserve"> IF(Bike_Sharing_Master6[[#This Row],[Hr]]&lt;6,"Late Night", IF(Bike_Sharing_Master6[[#This Row],[Hr]]&lt;10,"Morning Peak", IF(Bike_Sharing_Master6[[#This Row],[Hr]]&lt;17,"Daytime", IF(Bike_Sharing_Master6[[#This Row],[Hr]]&lt;21,"Evening Peak","Night"))))</f>
        <v>Daytime</v>
      </c>
      <c r="S341" s="1" t="str">
        <f>IF(Bike_Sharing_Master6[[#This Row],[Holiday]]=1,"Holiday","Non-Holiday")</f>
        <v>Non-Holiday</v>
      </c>
      <c r="T341" s="1" t="str">
        <f>IF(Bike_Sharing_Master6[[#This Row],[Cnt]]&lt;80,"Low",IF(Bike_Sharing_Master6[[#This Row],[Cnt]]&lt;160,"Medium","High"))</f>
        <v>Medium</v>
      </c>
      <c r="U341" s="1" t="str">
        <f>VLOOKUP(Bike_Sharing_Master6[[#This Row],[Weathersit]],[1]Lookup_Weather!A:B,2,FALSE)</f>
        <v>Mist</v>
      </c>
    </row>
    <row r="342" spans="1:21" x14ac:dyDescent="0.3">
      <c r="A342">
        <v>341</v>
      </c>
      <c r="B342" s="3">
        <v>40558</v>
      </c>
      <c r="C342" s="1">
        <v>1</v>
      </c>
      <c r="D342" s="1">
        <v>0</v>
      </c>
      <c r="E342" s="1">
        <v>1</v>
      </c>
      <c r="F342" s="1">
        <v>16</v>
      </c>
      <c r="G342" t="b">
        <v>0</v>
      </c>
      <c r="H342" s="1">
        <v>6</v>
      </c>
      <c r="I342" s="1">
        <v>2</v>
      </c>
      <c r="J342" s="2">
        <v>0.34</v>
      </c>
      <c r="K342" s="2">
        <v>0.33329999999999999</v>
      </c>
      <c r="L342" s="2">
        <v>0.34</v>
      </c>
      <c r="M342" s="2">
        <v>0.19400000000000001</v>
      </c>
      <c r="N342" s="1">
        <v>33</v>
      </c>
      <c r="O342" s="1">
        <v>95</v>
      </c>
      <c r="P342" s="1">
        <v>128</v>
      </c>
      <c r="Q342" s="1" t="str">
        <f>IF(WEEKDAY(Bike_Sharing_Master6[[#This Row],[Dteday]],2)&gt;=6,"Weekend","Weekday")</f>
        <v>Weekend</v>
      </c>
      <c r="R342" s="1" t="str">
        <f xml:space="preserve"> IF(Bike_Sharing_Master6[[#This Row],[Hr]]&lt;6,"Late Night", IF(Bike_Sharing_Master6[[#This Row],[Hr]]&lt;10,"Morning Peak", IF(Bike_Sharing_Master6[[#This Row],[Hr]]&lt;17,"Daytime", IF(Bike_Sharing_Master6[[#This Row],[Hr]]&lt;21,"Evening Peak","Night"))))</f>
        <v>Daytime</v>
      </c>
      <c r="S342" s="1" t="str">
        <f>IF(Bike_Sharing_Master6[[#This Row],[Holiday]]=1,"Holiday","Non-Holiday")</f>
        <v>Non-Holiday</v>
      </c>
      <c r="T342" s="1" t="str">
        <f>IF(Bike_Sharing_Master6[[#This Row],[Cnt]]&lt;80,"Low",IF(Bike_Sharing_Master6[[#This Row],[Cnt]]&lt;160,"Medium","High"))</f>
        <v>Medium</v>
      </c>
      <c r="U342" s="1" t="str">
        <f>VLOOKUP(Bike_Sharing_Master6[[#This Row],[Weathersit]],[1]Lookup_Weather!A:B,2,FALSE)</f>
        <v>Mist</v>
      </c>
    </row>
    <row r="343" spans="1:21" x14ac:dyDescent="0.3">
      <c r="A343">
        <v>342</v>
      </c>
      <c r="B343" s="3">
        <v>40558</v>
      </c>
      <c r="C343" s="1">
        <v>1</v>
      </c>
      <c r="D343" s="1">
        <v>0</v>
      </c>
      <c r="E343" s="1">
        <v>1</v>
      </c>
      <c r="F343" s="1">
        <v>17</v>
      </c>
      <c r="G343" t="b">
        <v>0</v>
      </c>
      <c r="H343" s="1">
        <v>6</v>
      </c>
      <c r="I343" s="1">
        <v>2</v>
      </c>
      <c r="J343" s="2">
        <v>0.32</v>
      </c>
      <c r="K343" s="2">
        <v>0.30299999999999999</v>
      </c>
      <c r="L343" s="2">
        <v>0.36</v>
      </c>
      <c r="M343" s="2">
        <v>0.28360000000000002</v>
      </c>
      <c r="N343" s="1">
        <v>29</v>
      </c>
      <c r="O343" s="1">
        <v>54</v>
      </c>
      <c r="P343" s="1">
        <v>83</v>
      </c>
      <c r="Q343" s="1" t="str">
        <f>IF(WEEKDAY(Bike_Sharing_Master6[[#This Row],[Dteday]],2)&gt;=6,"Weekend","Weekday")</f>
        <v>Weekend</v>
      </c>
      <c r="R343" s="1" t="str">
        <f xml:space="preserve"> IF(Bike_Sharing_Master6[[#This Row],[Hr]]&lt;6,"Late Night", IF(Bike_Sharing_Master6[[#This Row],[Hr]]&lt;10,"Morning Peak", IF(Bike_Sharing_Master6[[#This Row],[Hr]]&lt;17,"Daytime", IF(Bike_Sharing_Master6[[#This Row],[Hr]]&lt;21,"Evening Peak","Night"))))</f>
        <v>Evening Peak</v>
      </c>
      <c r="S343" s="1" t="str">
        <f>IF(Bike_Sharing_Master6[[#This Row],[Holiday]]=1,"Holiday","Non-Holiday")</f>
        <v>Non-Holiday</v>
      </c>
      <c r="T343" s="1" t="str">
        <f>IF(Bike_Sharing_Master6[[#This Row],[Cnt]]&lt;80,"Low",IF(Bike_Sharing_Master6[[#This Row],[Cnt]]&lt;160,"Medium","High"))</f>
        <v>Medium</v>
      </c>
      <c r="U343" s="1" t="str">
        <f>VLOOKUP(Bike_Sharing_Master6[[#This Row],[Weathersit]],[1]Lookup_Weather!A:B,2,FALSE)</f>
        <v>Mist</v>
      </c>
    </row>
    <row r="344" spans="1:21" x14ac:dyDescent="0.3">
      <c r="A344">
        <v>343</v>
      </c>
      <c r="B344" s="3">
        <v>40558</v>
      </c>
      <c r="C344" s="1">
        <v>1</v>
      </c>
      <c r="D344" s="1">
        <v>0</v>
      </c>
      <c r="E344" s="1">
        <v>1</v>
      </c>
      <c r="F344" s="1">
        <v>18</v>
      </c>
      <c r="G344" t="b">
        <v>0</v>
      </c>
      <c r="H344" s="1">
        <v>6</v>
      </c>
      <c r="I344" s="1">
        <v>2</v>
      </c>
      <c r="J344" s="2">
        <v>0.3</v>
      </c>
      <c r="K344" s="2">
        <v>0.28789999999999999</v>
      </c>
      <c r="L344" s="2">
        <v>0.45</v>
      </c>
      <c r="M344" s="2">
        <v>0.25369999999999998</v>
      </c>
      <c r="N344" s="1">
        <v>15</v>
      </c>
      <c r="O344" s="1">
        <v>69</v>
      </c>
      <c r="P344" s="1">
        <v>84</v>
      </c>
      <c r="Q344" s="1" t="str">
        <f>IF(WEEKDAY(Bike_Sharing_Master6[[#This Row],[Dteday]],2)&gt;=6,"Weekend","Weekday")</f>
        <v>Weekend</v>
      </c>
      <c r="R344" s="1" t="str">
        <f xml:space="preserve"> IF(Bike_Sharing_Master6[[#This Row],[Hr]]&lt;6,"Late Night", IF(Bike_Sharing_Master6[[#This Row],[Hr]]&lt;10,"Morning Peak", IF(Bike_Sharing_Master6[[#This Row],[Hr]]&lt;17,"Daytime", IF(Bike_Sharing_Master6[[#This Row],[Hr]]&lt;21,"Evening Peak","Night"))))</f>
        <v>Evening Peak</v>
      </c>
      <c r="S344" s="1" t="str">
        <f>IF(Bike_Sharing_Master6[[#This Row],[Holiday]]=1,"Holiday","Non-Holiday")</f>
        <v>Non-Holiday</v>
      </c>
      <c r="T344" s="1" t="str">
        <f>IF(Bike_Sharing_Master6[[#This Row],[Cnt]]&lt;80,"Low",IF(Bike_Sharing_Master6[[#This Row],[Cnt]]&lt;160,"Medium","High"))</f>
        <v>Medium</v>
      </c>
      <c r="U344" s="1" t="str">
        <f>VLOOKUP(Bike_Sharing_Master6[[#This Row],[Weathersit]],[1]Lookup_Weather!A:B,2,FALSE)</f>
        <v>Mist</v>
      </c>
    </row>
    <row r="345" spans="1:21" x14ac:dyDescent="0.3">
      <c r="A345">
        <v>344</v>
      </c>
      <c r="B345" s="3">
        <v>40558</v>
      </c>
      <c r="C345" s="1">
        <v>1</v>
      </c>
      <c r="D345" s="1">
        <v>0</v>
      </c>
      <c r="E345" s="1">
        <v>1</v>
      </c>
      <c r="F345" s="1">
        <v>19</v>
      </c>
      <c r="G345" t="b">
        <v>0</v>
      </c>
      <c r="H345" s="1">
        <v>6</v>
      </c>
      <c r="I345" s="1">
        <v>2</v>
      </c>
      <c r="J345" s="2">
        <v>0.32</v>
      </c>
      <c r="K345" s="2">
        <v>0.30299999999999999</v>
      </c>
      <c r="L345" s="2">
        <v>0.39</v>
      </c>
      <c r="M345" s="2">
        <v>0.25369999999999998</v>
      </c>
      <c r="N345" s="1">
        <v>14</v>
      </c>
      <c r="O345" s="1">
        <v>60</v>
      </c>
      <c r="P345" s="1">
        <v>74</v>
      </c>
      <c r="Q345" s="1" t="str">
        <f>IF(WEEKDAY(Bike_Sharing_Master6[[#This Row],[Dteday]],2)&gt;=6,"Weekend","Weekday")</f>
        <v>Weekend</v>
      </c>
      <c r="R345" s="1" t="str">
        <f xml:space="preserve"> IF(Bike_Sharing_Master6[[#This Row],[Hr]]&lt;6,"Late Night", IF(Bike_Sharing_Master6[[#This Row],[Hr]]&lt;10,"Morning Peak", IF(Bike_Sharing_Master6[[#This Row],[Hr]]&lt;17,"Daytime", IF(Bike_Sharing_Master6[[#This Row],[Hr]]&lt;21,"Evening Peak","Night"))))</f>
        <v>Evening Peak</v>
      </c>
      <c r="S345" s="1" t="str">
        <f>IF(Bike_Sharing_Master6[[#This Row],[Holiday]]=1,"Holiday","Non-Holiday")</f>
        <v>Non-Holiday</v>
      </c>
      <c r="T345" s="1" t="str">
        <f>IF(Bike_Sharing_Master6[[#This Row],[Cnt]]&lt;80,"Low",IF(Bike_Sharing_Master6[[#This Row],[Cnt]]&lt;160,"Medium","High"))</f>
        <v>Low</v>
      </c>
      <c r="U345" s="1" t="str">
        <f>VLOOKUP(Bike_Sharing_Master6[[#This Row],[Weathersit]],[1]Lookup_Weather!A:B,2,FALSE)</f>
        <v>Mist</v>
      </c>
    </row>
    <row r="346" spans="1:21" x14ac:dyDescent="0.3">
      <c r="A346">
        <v>345</v>
      </c>
      <c r="B346" s="3">
        <v>40558</v>
      </c>
      <c r="C346" s="1">
        <v>1</v>
      </c>
      <c r="D346" s="1">
        <v>0</v>
      </c>
      <c r="E346" s="1">
        <v>1</v>
      </c>
      <c r="F346" s="1">
        <v>20</v>
      </c>
      <c r="G346" t="b">
        <v>0</v>
      </c>
      <c r="H346" s="1">
        <v>6</v>
      </c>
      <c r="I346" s="1">
        <v>2</v>
      </c>
      <c r="J346" s="2">
        <v>0.32</v>
      </c>
      <c r="K346" s="2">
        <v>0.30299999999999999</v>
      </c>
      <c r="L346" s="2">
        <v>0.39</v>
      </c>
      <c r="M346" s="2">
        <v>0.25369999999999998</v>
      </c>
      <c r="N346" s="1">
        <v>6</v>
      </c>
      <c r="O346" s="1">
        <v>35</v>
      </c>
      <c r="P346" s="1">
        <v>41</v>
      </c>
      <c r="Q346" s="1" t="str">
        <f>IF(WEEKDAY(Bike_Sharing_Master6[[#This Row],[Dteday]],2)&gt;=6,"Weekend","Weekday")</f>
        <v>Weekend</v>
      </c>
      <c r="R346" s="1" t="str">
        <f xml:space="preserve"> IF(Bike_Sharing_Master6[[#This Row],[Hr]]&lt;6,"Late Night", IF(Bike_Sharing_Master6[[#This Row],[Hr]]&lt;10,"Morning Peak", IF(Bike_Sharing_Master6[[#This Row],[Hr]]&lt;17,"Daytime", IF(Bike_Sharing_Master6[[#This Row],[Hr]]&lt;21,"Evening Peak","Night"))))</f>
        <v>Evening Peak</v>
      </c>
      <c r="S346" s="1" t="str">
        <f>IF(Bike_Sharing_Master6[[#This Row],[Holiday]]=1,"Holiday","Non-Holiday")</f>
        <v>Non-Holiday</v>
      </c>
      <c r="T346" s="1" t="str">
        <f>IF(Bike_Sharing_Master6[[#This Row],[Cnt]]&lt;80,"Low",IF(Bike_Sharing_Master6[[#This Row],[Cnt]]&lt;160,"Medium","High"))</f>
        <v>Low</v>
      </c>
      <c r="U346" s="1" t="str">
        <f>VLOOKUP(Bike_Sharing_Master6[[#This Row],[Weathersit]],[1]Lookup_Weather!A:B,2,FALSE)</f>
        <v>Mist</v>
      </c>
    </row>
    <row r="347" spans="1:21" x14ac:dyDescent="0.3">
      <c r="A347">
        <v>346</v>
      </c>
      <c r="B347" s="3">
        <v>40558</v>
      </c>
      <c r="C347" s="1">
        <v>1</v>
      </c>
      <c r="D347" s="1">
        <v>0</v>
      </c>
      <c r="E347" s="1">
        <v>1</v>
      </c>
      <c r="F347" s="1">
        <v>21</v>
      </c>
      <c r="G347" t="b">
        <v>0</v>
      </c>
      <c r="H347" s="1">
        <v>6</v>
      </c>
      <c r="I347" s="1">
        <v>2</v>
      </c>
      <c r="J347" s="2">
        <v>0.32</v>
      </c>
      <c r="K347" s="2">
        <v>0.30299999999999999</v>
      </c>
      <c r="L347" s="2">
        <v>0.39</v>
      </c>
      <c r="M347" s="2">
        <v>0.22389999999999999</v>
      </c>
      <c r="N347" s="1">
        <v>6</v>
      </c>
      <c r="O347" s="1">
        <v>51</v>
      </c>
      <c r="P347" s="1">
        <v>57</v>
      </c>
      <c r="Q347" s="1" t="str">
        <f>IF(WEEKDAY(Bike_Sharing_Master6[[#This Row],[Dteday]],2)&gt;=6,"Weekend","Weekday")</f>
        <v>Weekend</v>
      </c>
      <c r="R347" s="1" t="str">
        <f xml:space="preserve"> IF(Bike_Sharing_Master6[[#This Row],[Hr]]&lt;6,"Late Night", IF(Bike_Sharing_Master6[[#This Row],[Hr]]&lt;10,"Morning Peak", IF(Bike_Sharing_Master6[[#This Row],[Hr]]&lt;17,"Daytime", IF(Bike_Sharing_Master6[[#This Row],[Hr]]&lt;21,"Evening Peak","Night"))))</f>
        <v>Night</v>
      </c>
      <c r="S347" s="1" t="str">
        <f>IF(Bike_Sharing_Master6[[#This Row],[Holiday]]=1,"Holiday","Non-Holiday")</f>
        <v>Non-Holiday</v>
      </c>
      <c r="T347" s="1" t="str">
        <f>IF(Bike_Sharing_Master6[[#This Row],[Cnt]]&lt;80,"Low",IF(Bike_Sharing_Master6[[#This Row],[Cnt]]&lt;160,"Medium","High"))</f>
        <v>Low</v>
      </c>
      <c r="U347" s="1" t="str">
        <f>VLOOKUP(Bike_Sharing_Master6[[#This Row],[Weathersit]],[1]Lookup_Weather!A:B,2,FALSE)</f>
        <v>Mist</v>
      </c>
    </row>
    <row r="348" spans="1:21" x14ac:dyDescent="0.3">
      <c r="A348">
        <v>347</v>
      </c>
      <c r="B348" s="3">
        <v>40558</v>
      </c>
      <c r="C348" s="1">
        <v>1</v>
      </c>
      <c r="D348" s="1">
        <v>0</v>
      </c>
      <c r="E348" s="1">
        <v>1</v>
      </c>
      <c r="F348" s="1">
        <v>22</v>
      </c>
      <c r="G348" t="b">
        <v>0</v>
      </c>
      <c r="H348" s="1">
        <v>6</v>
      </c>
      <c r="I348" s="1">
        <v>2</v>
      </c>
      <c r="J348" s="2">
        <v>0.3</v>
      </c>
      <c r="K348" s="2">
        <v>0.31819999999999998</v>
      </c>
      <c r="L348" s="2">
        <v>0.42</v>
      </c>
      <c r="M348" s="2">
        <v>0.1045</v>
      </c>
      <c r="N348" s="1">
        <v>0</v>
      </c>
      <c r="O348" s="1">
        <v>26</v>
      </c>
      <c r="P348" s="1">
        <v>26</v>
      </c>
      <c r="Q348" s="1" t="str">
        <f>IF(WEEKDAY(Bike_Sharing_Master6[[#This Row],[Dteday]],2)&gt;=6,"Weekend","Weekday")</f>
        <v>Weekend</v>
      </c>
      <c r="R348" s="1" t="str">
        <f xml:space="preserve"> IF(Bike_Sharing_Master6[[#This Row],[Hr]]&lt;6,"Late Night", IF(Bike_Sharing_Master6[[#This Row],[Hr]]&lt;10,"Morning Peak", IF(Bike_Sharing_Master6[[#This Row],[Hr]]&lt;17,"Daytime", IF(Bike_Sharing_Master6[[#This Row],[Hr]]&lt;21,"Evening Peak","Night"))))</f>
        <v>Night</v>
      </c>
      <c r="S348" s="1" t="str">
        <f>IF(Bike_Sharing_Master6[[#This Row],[Holiday]]=1,"Holiday","Non-Holiday")</f>
        <v>Non-Holiday</v>
      </c>
      <c r="T348" s="1" t="str">
        <f>IF(Bike_Sharing_Master6[[#This Row],[Cnt]]&lt;80,"Low",IF(Bike_Sharing_Master6[[#This Row],[Cnt]]&lt;160,"Medium","High"))</f>
        <v>Low</v>
      </c>
      <c r="U348" s="1" t="str">
        <f>VLOOKUP(Bike_Sharing_Master6[[#This Row],[Weathersit]],[1]Lookup_Weather!A:B,2,FALSE)</f>
        <v>Mist</v>
      </c>
    </row>
    <row r="349" spans="1:21" x14ac:dyDescent="0.3">
      <c r="A349">
        <v>348</v>
      </c>
      <c r="B349" s="3">
        <v>40558</v>
      </c>
      <c r="C349" s="1">
        <v>1</v>
      </c>
      <c r="D349" s="1">
        <v>0</v>
      </c>
      <c r="E349" s="1">
        <v>1</v>
      </c>
      <c r="F349" s="1">
        <v>23</v>
      </c>
      <c r="G349" t="b">
        <v>0</v>
      </c>
      <c r="H349" s="1">
        <v>6</v>
      </c>
      <c r="I349" s="1">
        <v>1</v>
      </c>
      <c r="J349" s="2">
        <v>0.3</v>
      </c>
      <c r="K349" s="2">
        <v>0.28789999999999999</v>
      </c>
      <c r="L349" s="2">
        <v>0.45</v>
      </c>
      <c r="M349" s="2">
        <v>0.28360000000000002</v>
      </c>
      <c r="N349" s="1">
        <v>5</v>
      </c>
      <c r="O349" s="1">
        <v>39</v>
      </c>
      <c r="P349" s="1">
        <v>44</v>
      </c>
      <c r="Q349" s="1" t="str">
        <f>IF(WEEKDAY(Bike_Sharing_Master6[[#This Row],[Dteday]],2)&gt;=6,"Weekend","Weekday")</f>
        <v>Weekend</v>
      </c>
      <c r="R349" s="1" t="str">
        <f xml:space="preserve"> IF(Bike_Sharing_Master6[[#This Row],[Hr]]&lt;6,"Late Night", IF(Bike_Sharing_Master6[[#This Row],[Hr]]&lt;10,"Morning Peak", IF(Bike_Sharing_Master6[[#This Row],[Hr]]&lt;17,"Daytime", IF(Bike_Sharing_Master6[[#This Row],[Hr]]&lt;21,"Evening Peak","Night"))))</f>
        <v>Night</v>
      </c>
      <c r="S349" s="1" t="str">
        <f>IF(Bike_Sharing_Master6[[#This Row],[Holiday]]=1,"Holiday","Non-Holiday")</f>
        <v>Non-Holiday</v>
      </c>
      <c r="T349" s="1" t="str">
        <f>IF(Bike_Sharing_Master6[[#This Row],[Cnt]]&lt;80,"Low",IF(Bike_Sharing_Master6[[#This Row],[Cnt]]&lt;160,"Medium","High"))</f>
        <v>Low</v>
      </c>
      <c r="U349" s="1" t="str">
        <f>VLOOKUP(Bike_Sharing_Master6[[#This Row],[Weathersit]],[1]Lookup_Weather!A:B,2,FALSE)</f>
        <v>Clear</v>
      </c>
    </row>
    <row r="350" spans="1:21" x14ac:dyDescent="0.3">
      <c r="A350">
        <v>349</v>
      </c>
      <c r="B350" s="3">
        <v>40559</v>
      </c>
      <c r="C350" s="1">
        <v>1</v>
      </c>
      <c r="D350" s="1">
        <v>0</v>
      </c>
      <c r="E350" s="1">
        <v>1</v>
      </c>
      <c r="F350" s="1">
        <v>0</v>
      </c>
      <c r="G350" t="b">
        <v>0</v>
      </c>
      <c r="H350" s="1">
        <v>0</v>
      </c>
      <c r="I350" s="1">
        <v>1</v>
      </c>
      <c r="J350" s="2">
        <v>0.26</v>
      </c>
      <c r="K350" s="2">
        <v>0.30299999999999999</v>
      </c>
      <c r="L350" s="2">
        <v>0.56000000000000005</v>
      </c>
      <c r="M350" s="2">
        <v>0</v>
      </c>
      <c r="N350" s="1">
        <v>6</v>
      </c>
      <c r="O350" s="1">
        <v>33</v>
      </c>
      <c r="P350" s="1">
        <v>39</v>
      </c>
      <c r="Q350" s="1" t="str">
        <f>IF(WEEKDAY(Bike_Sharing_Master6[[#This Row],[Dteday]],2)&gt;=6,"Weekend","Weekday")</f>
        <v>Weekend</v>
      </c>
      <c r="R350" s="1" t="str">
        <f xml:space="preserve"> IF(Bike_Sharing_Master6[[#This Row],[Hr]]&lt;6,"Late Night", IF(Bike_Sharing_Master6[[#This Row],[Hr]]&lt;10,"Morning Peak", IF(Bike_Sharing_Master6[[#This Row],[Hr]]&lt;17,"Daytime", IF(Bike_Sharing_Master6[[#This Row],[Hr]]&lt;21,"Evening Peak","Night"))))</f>
        <v>Late Night</v>
      </c>
      <c r="S350" s="1" t="str">
        <f>IF(Bike_Sharing_Master6[[#This Row],[Holiday]]=1,"Holiday","Non-Holiday")</f>
        <v>Non-Holiday</v>
      </c>
      <c r="T350" s="1" t="str">
        <f>IF(Bike_Sharing_Master6[[#This Row],[Cnt]]&lt;80,"Low",IF(Bike_Sharing_Master6[[#This Row],[Cnt]]&lt;160,"Medium","High"))</f>
        <v>Low</v>
      </c>
      <c r="U350" s="1" t="str">
        <f>VLOOKUP(Bike_Sharing_Master6[[#This Row],[Weathersit]],[1]Lookup_Weather!A:B,2,FALSE)</f>
        <v>Clear</v>
      </c>
    </row>
    <row r="351" spans="1:21" x14ac:dyDescent="0.3">
      <c r="A351">
        <v>350</v>
      </c>
      <c r="B351" s="3">
        <v>40559</v>
      </c>
      <c r="C351" s="1">
        <v>1</v>
      </c>
      <c r="D351" s="1">
        <v>0</v>
      </c>
      <c r="E351" s="1">
        <v>1</v>
      </c>
      <c r="F351" s="1">
        <v>1</v>
      </c>
      <c r="G351" t="b">
        <v>0</v>
      </c>
      <c r="H351" s="1">
        <v>0</v>
      </c>
      <c r="I351" s="1">
        <v>1</v>
      </c>
      <c r="J351" s="2">
        <v>0.26</v>
      </c>
      <c r="K351" s="2">
        <v>0.2727</v>
      </c>
      <c r="L351" s="2">
        <v>0.56000000000000005</v>
      </c>
      <c r="M351" s="2">
        <v>0.1343</v>
      </c>
      <c r="N351" s="1">
        <v>4</v>
      </c>
      <c r="O351" s="1">
        <v>19</v>
      </c>
      <c r="P351" s="1">
        <v>23</v>
      </c>
      <c r="Q351" s="1" t="str">
        <f>IF(WEEKDAY(Bike_Sharing_Master6[[#This Row],[Dteday]],2)&gt;=6,"Weekend","Weekday")</f>
        <v>Weekend</v>
      </c>
      <c r="R351" s="1" t="str">
        <f xml:space="preserve"> IF(Bike_Sharing_Master6[[#This Row],[Hr]]&lt;6,"Late Night", IF(Bike_Sharing_Master6[[#This Row],[Hr]]&lt;10,"Morning Peak", IF(Bike_Sharing_Master6[[#This Row],[Hr]]&lt;17,"Daytime", IF(Bike_Sharing_Master6[[#This Row],[Hr]]&lt;21,"Evening Peak","Night"))))</f>
        <v>Late Night</v>
      </c>
      <c r="S351" s="1" t="str">
        <f>IF(Bike_Sharing_Master6[[#This Row],[Holiday]]=1,"Holiday","Non-Holiday")</f>
        <v>Non-Holiday</v>
      </c>
      <c r="T351" s="1" t="str">
        <f>IF(Bike_Sharing_Master6[[#This Row],[Cnt]]&lt;80,"Low",IF(Bike_Sharing_Master6[[#This Row],[Cnt]]&lt;160,"Medium","High"))</f>
        <v>Low</v>
      </c>
      <c r="U351" s="1" t="str">
        <f>VLOOKUP(Bike_Sharing_Master6[[#This Row],[Weathersit]],[1]Lookup_Weather!A:B,2,FALSE)</f>
        <v>Clear</v>
      </c>
    </row>
    <row r="352" spans="1:21" x14ac:dyDescent="0.3">
      <c r="A352">
        <v>351</v>
      </c>
      <c r="B352" s="3">
        <v>40559</v>
      </c>
      <c r="C352" s="1">
        <v>1</v>
      </c>
      <c r="D352" s="1">
        <v>0</v>
      </c>
      <c r="E352" s="1">
        <v>1</v>
      </c>
      <c r="F352" s="1">
        <v>2</v>
      </c>
      <c r="G352" t="b">
        <v>0</v>
      </c>
      <c r="H352" s="1">
        <v>0</v>
      </c>
      <c r="I352" s="1">
        <v>1</v>
      </c>
      <c r="J352" s="2">
        <v>0.26</v>
      </c>
      <c r="K352" s="2">
        <v>0.28789999999999999</v>
      </c>
      <c r="L352" s="2">
        <v>0.56000000000000005</v>
      </c>
      <c r="M352" s="2">
        <v>8.9599999999999999E-2</v>
      </c>
      <c r="N352" s="1">
        <v>3</v>
      </c>
      <c r="O352" s="1">
        <v>13</v>
      </c>
      <c r="P352" s="1">
        <v>16</v>
      </c>
      <c r="Q352" s="1" t="str">
        <f>IF(WEEKDAY(Bike_Sharing_Master6[[#This Row],[Dteday]],2)&gt;=6,"Weekend","Weekday")</f>
        <v>Weekend</v>
      </c>
      <c r="R352" s="1" t="str">
        <f xml:space="preserve"> IF(Bike_Sharing_Master6[[#This Row],[Hr]]&lt;6,"Late Night", IF(Bike_Sharing_Master6[[#This Row],[Hr]]&lt;10,"Morning Peak", IF(Bike_Sharing_Master6[[#This Row],[Hr]]&lt;17,"Daytime", IF(Bike_Sharing_Master6[[#This Row],[Hr]]&lt;21,"Evening Peak","Night"))))</f>
        <v>Late Night</v>
      </c>
      <c r="S352" s="1" t="str">
        <f>IF(Bike_Sharing_Master6[[#This Row],[Holiday]]=1,"Holiday","Non-Holiday")</f>
        <v>Non-Holiday</v>
      </c>
      <c r="T352" s="1" t="str">
        <f>IF(Bike_Sharing_Master6[[#This Row],[Cnt]]&lt;80,"Low",IF(Bike_Sharing_Master6[[#This Row],[Cnt]]&lt;160,"Medium","High"))</f>
        <v>Low</v>
      </c>
      <c r="U352" s="1" t="str">
        <f>VLOOKUP(Bike_Sharing_Master6[[#This Row],[Weathersit]],[1]Lookup_Weather!A:B,2,FALSE)</f>
        <v>Clear</v>
      </c>
    </row>
    <row r="353" spans="1:21" x14ac:dyDescent="0.3">
      <c r="A353">
        <v>352</v>
      </c>
      <c r="B353" s="3">
        <v>40559</v>
      </c>
      <c r="C353" s="1">
        <v>1</v>
      </c>
      <c r="D353" s="1">
        <v>0</v>
      </c>
      <c r="E353" s="1">
        <v>1</v>
      </c>
      <c r="F353" s="1">
        <v>3</v>
      </c>
      <c r="G353" t="b">
        <v>0</v>
      </c>
      <c r="H353" s="1">
        <v>0</v>
      </c>
      <c r="I353" s="1">
        <v>1</v>
      </c>
      <c r="J353" s="2">
        <v>0.22</v>
      </c>
      <c r="K353" s="2">
        <v>0.2727</v>
      </c>
      <c r="L353" s="2">
        <v>0.69</v>
      </c>
      <c r="M353" s="2">
        <v>0</v>
      </c>
      <c r="N353" s="1">
        <v>9</v>
      </c>
      <c r="O353" s="1">
        <v>6</v>
      </c>
      <c r="P353" s="1">
        <v>15</v>
      </c>
      <c r="Q353" s="1" t="str">
        <f>IF(WEEKDAY(Bike_Sharing_Master6[[#This Row],[Dteday]],2)&gt;=6,"Weekend","Weekday")</f>
        <v>Weekend</v>
      </c>
      <c r="R353" s="1" t="str">
        <f xml:space="preserve"> IF(Bike_Sharing_Master6[[#This Row],[Hr]]&lt;6,"Late Night", IF(Bike_Sharing_Master6[[#This Row],[Hr]]&lt;10,"Morning Peak", IF(Bike_Sharing_Master6[[#This Row],[Hr]]&lt;17,"Daytime", IF(Bike_Sharing_Master6[[#This Row],[Hr]]&lt;21,"Evening Peak","Night"))))</f>
        <v>Late Night</v>
      </c>
      <c r="S353" s="1" t="str">
        <f>IF(Bike_Sharing_Master6[[#This Row],[Holiday]]=1,"Holiday","Non-Holiday")</f>
        <v>Non-Holiday</v>
      </c>
      <c r="T353" s="1" t="str">
        <f>IF(Bike_Sharing_Master6[[#This Row],[Cnt]]&lt;80,"Low",IF(Bike_Sharing_Master6[[#This Row],[Cnt]]&lt;160,"Medium","High"))</f>
        <v>Low</v>
      </c>
      <c r="U353" s="1" t="str">
        <f>VLOOKUP(Bike_Sharing_Master6[[#This Row],[Weathersit]],[1]Lookup_Weather!A:B,2,FALSE)</f>
        <v>Clear</v>
      </c>
    </row>
    <row r="354" spans="1:21" x14ac:dyDescent="0.3">
      <c r="A354">
        <v>353</v>
      </c>
      <c r="B354" s="3">
        <v>40559</v>
      </c>
      <c r="C354" s="1">
        <v>1</v>
      </c>
      <c r="D354" s="1">
        <v>0</v>
      </c>
      <c r="E354" s="1">
        <v>1</v>
      </c>
      <c r="F354" s="1">
        <v>4</v>
      </c>
      <c r="G354" t="b">
        <v>0</v>
      </c>
      <c r="H354" s="1">
        <v>0</v>
      </c>
      <c r="I354" s="1">
        <v>1</v>
      </c>
      <c r="J354" s="2">
        <v>0.26</v>
      </c>
      <c r="K354" s="2">
        <v>0.2576</v>
      </c>
      <c r="L354" s="2">
        <v>0.56000000000000005</v>
      </c>
      <c r="M354" s="2">
        <v>0.16420000000000001</v>
      </c>
      <c r="N354" s="1">
        <v>0</v>
      </c>
      <c r="O354" s="1">
        <v>1</v>
      </c>
      <c r="P354" s="1">
        <v>1</v>
      </c>
      <c r="Q354" s="1" t="str">
        <f>IF(WEEKDAY(Bike_Sharing_Master6[[#This Row],[Dteday]],2)&gt;=6,"Weekend","Weekday")</f>
        <v>Weekend</v>
      </c>
      <c r="R354" s="1" t="str">
        <f xml:space="preserve"> IF(Bike_Sharing_Master6[[#This Row],[Hr]]&lt;6,"Late Night", IF(Bike_Sharing_Master6[[#This Row],[Hr]]&lt;10,"Morning Peak", IF(Bike_Sharing_Master6[[#This Row],[Hr]]&lt;17,"Daytime", IF(Bike_Sharing_Master6[[#This Row],[Hr]]&lt;21,"Evening Peak","Night"))))</f>
        <v>Late Night</v>
      </c>
      <c r="S354" s="1" t="str">
        <f>IF(Bike_Sharing_Master6[[#This Row],[Holiday]]=1,"Holiday","Non-Holiday")</f>
        <v>Non-Holiday</v>
      </c>
      <c r="T354" s="1" t="str">
        <f>IF(Bike_Sharing_Master6[[#This Row],[Cnt]]&lt;80,"Low",IF(Bike_Sharing_Master6[[#This Row],[Cnt]]&lt;160,"Medium","High"))</f>
        <v>Low</v>
      </c>
      <c r="U354" s="1" t="str">
        <f>VLOOKUP(Bike_Sharing_Master6[[#This Row],[Weathersit]],[1]Lookup_Weather!A:B,2,FALSE)</f>
        <v>Clear</v>
      </c>
    </row>
    <row r="355" spans="1:21" x14ac:dyDescent="0.3">
      <c r="A355">
        <v>354</v>
      </c>
      <c r="B355" s="3">
        <v>40559</v>
      </c>
      <c r="C355" s="1">
        <v>1</v>
      </c>
      <c r="D355" s="1">
        <v>0</v>
      </c>
      <c r="E355" s="1">
        <v>1</v>
      </c>
      <c r="F355" s="1">
        <v>5</v>
      </c>
      <c r="G355" t="b">
        <v>0</v>
      </c>
      <c r="H355" s="1">
        <v>0</v>
      </c>
      <c r="I355" s="1">
        <v>2</v>
      </c>
      <c r="J355" s="2">
        <v>0.26</v>
      </c>
      <c r="K355" s="2">
        <v>0.2576</v>
      </c>
      <c r="L355" s="2">
        <v>0.56000000000000005</v>
      </c>
      <c r="M355" s="2">
        <v>0.16420000000000001</v>
      </c>
      <c r="N355" s="1">
        <v>1</v>
      </c>
      <c r="O355" s="1">
        <v>1</v>
      </c>
      <c r="P355" s="1">
        <v>2</v>
      </c>
      <c r="Q355" s="1" t="str">
        <f>IF(WEEKDAY(Bike_Sharing_Master6[[#This Row],[Dteday]],2)&gt;=6,"Weekend","Weekday")</f>
        <v>Weekend</v>
      </c>
      <c r="R355" s="1" t="str">
        <f xml:space="preserve"> IF(Bike_Sharing_Master6[[#This Row],[Hr]]&lt;6,"Late Night", IF(Bike_Sharing_Master6[[#This Row],[Hr]]&lt;10,"Morning Peak", IF(Bike_Sharing_Master6[[#This Row],[Hr]]&lt;17,"Daytime", IF(Bike_Sharing_Master6[[#This Row],[Hr]]&lt;21,"Evening Peak","Night"))))</f>
        <v>Late Night</v>
      </c>
      <c r="S355" s="1" t="str">
        <f>IF(Bike_Sharing_Master6[[#This Row],[Holiday]]=1,"Holiday","Non-Holiday")</f>
        <v>Non-Holiday</v>
      </c>
      <c r="T355" s="1" t="str">
        <f>IF(Bike_Sharing_Master6[[#This Row],[Cnt]]&lt;80,"Low",IF(Bike_Sharing_Master6[[#This Row],[Cnt]]&lt;160,"Medium","High"))</f>
        <v>Low</v>
      </c>
      <c r="U355" s="1" t="str">
        <f>VLOOKUP(Bike_Sharing_Master6[[#This Row],[Weathersit]],[1]Lookup_Weather!A:B,2,FALSE)</f>
        <v>Mist</v>
      </c>
    </row>
    <row r="356" spans="1:21" x14ac:dyDescent="0.3">
      <c r="A356">
        <v>355</v>
      </c>
      <c r="B356" s="3">
        <v>40559</v>
      </c>
      <c r="C356" s="1">
        <v>1</v>
      </c>
      <c r="D356" s="1">
        <v>0</v>
      </c>
      <c r="E356" s="1">
        <v>1</v>
      </c>
      <c r="F356" s="1">
        <v>6</v>
      </c>
      <c r="G356" t="b">
        <v>0</v>
      </c>
      <c r="H356" s="1">
        <v>0</v>
      </c>
      <c r="I356" s="1">
        <v>2</v>
      </c>
      <c r="J356" s="2">
        <v>0.26</v>
      </c>
      <c r="K356" s="2">
        <v>0.2576</v>
      </c>
      <c r="L356" s="2">
        <v>0.56000000000000005</v>
      </c>
      <c r="M356" s="2">
        <v>0.16420000000000001</v>
      </c>
      <c r="N356" s="1">
        <v>0</v>
      </c>
      <c r="O356" s="1">
        <v>1</v>
      </c>
      <c r="P356" s="1">
        <v>1</v>
      </c>
      <c r="Q356" s="1" t="str">
        <f>IF(WEEKDAY(Bike_Sharing_Master6[[#This Row],[Dteday]],2)&gt;=6,"Weekend","Weekday")</f>
        <v>Weekend</v>
      </c>
      <c r="R356" s="1" t="str">
        <f xml:space="preserve"> IF(Bike_Sharing_Master6[[#This Row],[Hr]]&lt;6,"Late Night", IF(Bike_Sharing_Master6[[#This Row],[Hr]]&lt;10,"Morning Peak", IF(Bike_Sharing_Master6[[#This Row],[Hr]]&lt;17,"Daytime", IF(Bike_Sharing_Master6[[#This Row],[Hr]]&lt;21,"Evening Peak","Night"))))</f>
        <v>Morning Peak</v>
      </c>
      <c r="S356" s="1" t="str">
        <f>IF(Bike_Sharing_Master6[[#This Row],[Holiday]]=1,"Holiday","Non-Holiday")</f>
        <v>Non-Holiday</v>
      </c>
      <c r="T356" s="1" t="str">
        <f>IF(Bike_Sharing_Master6[[#This Row],[Cnt]]&lt;80,"Low",IF(Bike_Sharing_Master6[[#This Row],[Cnt]]&lt;160,"Medium","High"))</f>
        <v>Low</v>
      </c>
      <c r="U356" s="1" t="str">
        <f>VLOOKUP(Bike_Sharing_Master6[[#This Row],[Weathersit]],[1]Lookup_Weather!A:B,2,FALSE)</f>
        <v>Mist</v>
      </c>
    </row>
    <row r="357" spans="1:21" x14ac:dyDescent="0.3">
      <c r="A357">
        <v>356</v>
      </c>
      <c r="B357" s="3">
        <v>40559</v>
      </c>
      <c r="C357" s="1">
        <v>1</v>
      </c>
      <c r="D357" s="1">
        <v>0</v>
      </c>
      <c r="E357" s="1">
        <v>1</v>
      </c>
      <c r="F357" s="1">
        <v>7</v>
      </c>
      <c r="G357" t="b">
        <v>0</v>
      </c>
      <c r="H357" s="1">
        <v>0</v>
      </c>
      <c r="I357" s="1">
        <v>2</v>
      </c>
      <c r="J357" s="2">
        <v>0.24</v>
      </c>
      <c r="K357" s="2">
        <v>0.21210000000000001</v>
      </c>
      <c r="L357" s="2">
        <v>0.56000000000000005</v>
      </c>
      <c r="M357" s="2">
        <v>0.29849999999999999</v>
      </c>
      <c r="N357" s="1">
        <v>0</v>
      </c>
      <c r="O357" s="1">
        <v>3</v>
      </c>
      <c r="P357" s="1">
        <v>3</v>
      </c>
      <c r="Q357" s="1" t="str">
        <f>IF(WEEKDAY(Bike_Sharing_Master6[[#This Row],[Dteday]],2)&gt;=6,"Weekend","Weekday")</f>
        <v>Weekend</v>
      </c>
      <c r="R357" s="1" t="str">
        <f xml:space="preserve"> IF(Bike_Sharing_Master6[[#This Row],[Hr]]&lt;6,"Late Night", IF(Bike_Sharing_Master6[[#This Row],[Hr]]&lt;10,"Morning Peak", IF(Bike_Sharing_Master6[[#This Row],[Hr]]&lt;17,"Daytime", IF(Bike_Sharing_Master6[[#This Row],[Hr]]&lt;21,"Evening Peak","Night"))))</f>
        <v>Morning Peak</v>
      </c>
      <c r="S357" s="1" t="str">
        <f>IF(Bike_Sharing_Master6[[#This Row],[Holiday]]=1,"Holiday","Non-Holiday")</f>
        <v>Non-Holiday</v>
      </c>
      <c r="T357" s="1" t="str">
        <f>IF(Bike_Sharing_Master6[[#This Row],[Cnt]]&lt;80,"Low",IF(Bike_Sharing_Master6[[#This Row],[Cnt]]&lt;160,"Medium","High"))</f>
        <v>Low</v>
      </c>
      <c r="U357" s="1" t="str">
        <f>VLOOKUP(Bike_Sharing_Master6[[#This Row],[Weathersit]],[1]Lookup_Weather!A:B,2,FALSE)</f>
        <v>Mist</v>
      </c>
    </row>
    <row r="358" spans="1:21" x14ac:dyDescent="0.3">
      <c r="A358">
        <v>357</v>
      </c>
      <c r="B358" s="3">
        <v>40559</v>
      </c>
      <c r="C358" s="1">
        <v>1</v>
      </c>
      <c r="D358" s="1">
        <v>0</v>
      </c>
      <c r="E358" s="1">
        <v>1</v>
      </c>
      <c r="F358" s="1">
        <v>8</v>
      </c>
      <c r="G358" t="b">
        <v>0</v>
      </c>
      <c r="H358" s="1">
        <v>0</v>
      </c>
      <c r="I358" s="1">
        <v>1</v>
      </c>
      <c r="J358" s="2">
        <v>0.22</v>
      </c>
      <c r="K358" s="2">
        <v>0.21210000000000001</v>
      </c>
      <c r="L358" s="2">
        <v>0.55000000000000004</v>
      </c>
      <c r="M358" s="2">
        <v>0.28360000000000002</v>
      </c>
      <c r="N358" s="1">
        <v>0</v>
      </c>
      <c r="O358" s="1">
        <v>18</v>
      </c>
      <c r="P358" s="1">
        <v>18</v>
      </c>
      <c r="Q358" s="1" t="str">
        <f>IF(WEEKDAY(Bike_Sharing_Master6[[#This Row],[Dteday]],2)&gt;=6,"Weekend","Weekday")</f>
        <v>Weekend</v>
      </c>
      <c r="R358" s="1" t="str">
        <f xml:space="preserve"> IF(Bike_Sharing_Master6[[#This Row],[Hr]]&lt;6,"Late Night", IF(Bike_Sharing_Master6[[#This Row],[Hr]]&lt;10,"Morning Peak", IF(Bike_Sharing_Master6[[#This Row],[Hr]]&lt;17,"Daytime", IF(Bike_Sharing_Master6[[#This Row],[Hr]]&lt;21,"Evening Peak","Night"))))</f>
        <v>Morning Peak</v>
      </c>
      <c r="S358" s="1" t="str">
        <f>IF(Bike_Sharing_Master6[[#This Row],[Holiday]]=1,"Holiday","Non-Holiday")</f>
        <v>Non-Holiday</v>
      </c>
      <c r="T358" s="1" t="str">
        <f>IF(Bike_Sharing_Master6[[#This Row],[Cnt]]&lt;80,"Low",IF(Bike_Sharing_Master6[[#This Row],[Cnt]]&lt;160,"Medium","High"))</f>
        <v>Low</v>
      </c>
      <c r="U358" s="1" t="str">
        <f>VLOOKUP(Bike_Sharing_Master6[[#This Row],[Weathersit]],[1]Lookup_Weather!A:B,2,FALSE)</f>
        <v>Clear</v>
      </c>
    </row>
    <row r="359" spans="1:21" x14ac:dyDescent="0.3">
      <c r="A359">
        <v>358</v>
      </c>
      <c r="B359" s="3">
        <v>40559</v>
      </c>
      <c r="C359" s="1">
        <v>1</v>
      </c>
      <c r="D359" s="1">
        <v>0</v>
      </c>
      <c r="E359" s="1">
        <v>1</v>
      </c>
      <c r="F359" s="1">
        <v>9</v>
      </c>
      <c r="G359" t="b">
        <v>0</v>
      </c>
      <c r="H359" s="1">
        <v>0</v>
      </c>
      <c r="I359" s="1">
        <v>1</v>
      </c>
      <c r="J359" s="2">
        <v>0.22</v>
      </c>
      <c r="K359" s="2">
        <v>0.21210000000000001</v>
      </c>
      <c r="L359" s="2">
        <v>0.51</v>
      </c>
      <c r="M359" s="2">
        <v>0.25369999999999998</v>
      </c>
      <c r="N359" s="1">
        <v>3</v>
      </c>
      <c r="O359" s="1">
        <v>29</v>
      </c>
      <c r="P359" s="1">
        <v>32</v>
      </c>
      <c r="Q359" s="1" t="str">
        <f>IF(WEEKDAY(Bike_Sharing_Master6[[#This Row],[Dteday]],2)&gt;=6,"Weekend","Weekday")</f>
        <v>Weekend</v>
      </c>
      <c r="R359" s="1" t="str">
        <f xml:space="preserve"> IF(Bike_Sharing_Master6[[#This Row],[Hr]]&lt;6,"Late Night", IF(Bike_Sharing_Master6[[#This Row],[Hr]]&lt;10,"Morning Peak", IF(Bike_Sharing_Master6[[#This Row],[Hr]]&lt;17,"Daytime", IF(Bike_Sharing_Master6[[#This Row],[Hr]]&lt;21,"Evening Peak","Night"))))</f>
        <v>Morning Peak</v>
      </c>
      <c r="S359" s="1" t="str">
        <f>IF(Bike_Sharing_Master6[[#This Row],[Holiday]]=1,"Holiday","Non-Holiday")</f>
        <v>Non-Holiday</v>
      </c>
      <c r="T359" s="1" t="str">
        <f>IF(Bike_Sharing_Master6[[#This Row],[Cnt]]&lt;80,"Low",IF(Bike_Sharing_Master6[[#This Row],[Cnt]]&lt;160,"Medium","High"))</f>
        <v>Low</v>
      </c>
      <c r="U359" s="1" t="str">
        <f>VLOOKUP(Bike_Sharing_Master6[[#This Row],[Weathersit]],[1]Lookup_Weather!A:B,2,FALSE)</f>
        <v>Clear</v>
      </c>
    </row>
    <row r="360" spans="1:21" x14ac:dyDescent="0.3">
      <c r="A360">
        <v>359</v>
      </c>
      <c r="B360" s="3">
        <v>40559</v>
      </c>
      <c r="C360" s="1">
        <v>1</v>
      </c>
      <c r="D360" s="1">
        <v>0</v>
      </c>
      <c r="E360" s="1">
        <v>1</v>
      </c>
      <c r="F360" s="1">
        <v>10</v>
      </c>
      <c r="G360" t="b">
        <v>0</v>
      </c>
      <c r="H360" s="1">
        <v>0</v>
      </c>
      <c r="I360" s="1">
        <v>1</v>
      </c>
      <c r="J360" s="2">
        <v>0.22</v>
      </c>
      <c r="K360" s="2">
        <v>0.21210000000000001</v>
      </c>
      <c r="L360" s="2">
        <v>0.51</v>
      </c>
      <c r="M360" s="2">
        <v>0.28360000000000002</v>
      </c>
      <c r="N360" s="1">
        <v>8</v>
      </c>
      <c r="O360" s="1">
        <v>71</v>
      </c>
      <c r="P360" s="1">
        <v>79</v>
      </c>
      <c r="Q360" s="1" t="str">
        <f>IF(WEEKDAY(Bike_Sharing_Master6[[#This Row],[Dteday]],2)&gt;=6,"Weekend","Weekday")</f>
        <v>Weekend</v>
      </c>
      <c r="R360" s="1" t="str">
        <f xml:space="preserve"> IF(Bike_Sharing_Master6[[#This Row],[Hr]]&lt;6,"Late Night", IF(Bike_Sharing_Master6[[#This Row],[Hr]]&lt;10,"Morning Peak", IF(Bike_Sharing_Master6[[#This Row],[Hr]]&lt;17,"Daytime", IF(Bike_Sharing_Master6[[#This Row],[Hr]]&lt;21,"Evening Peak","Night"))))</f>
        <v>Daytime</v>
      </c>
      <c r="S360" s="1" t="str">
        <f>IF(Bike_Sharing_Master6[[#This Row],[Holiday]]=1,"Holiday","Non-Holiday")</f>
        <v>Non-Holiday</v>
      </c>
      <c r="T360" s="1" t="str">
        <f>IF(Bike_Sharing_Master6[[#This Row],[Cnt]]&lt;80,"Low",IF(Bike_Sharing_Master6[[#This Row],[Cnt]]&lt;160,"Medium","High"))</f>
        <v>Low</v>
      </c>
      <c r="U360" s="1" t="str">
        <f>VLOOKUP(Bike_Sharing_Master6[[#This Row],[Weathersit]],[1]Lookup_Weather!A:B,2,FALSE)</f>
        <v>Clear</v>
      </c>
    </row>
    <row r="361" spans="1:21" x14ac:dyDescent="0.3">
      <c r="A361">
        <v>360</v>
      </c>
      <c r="B361" s="3">
        <v>40559</v>
      </c>
      <c r="C361" s="1">
        <v>1</v>
      </c>
      <c r="D361" s="1">
        <v>0</v>
      </c>
      <c r="E361" s="1">
        <v>1</v>
      </c>
      <c r="F361" s="1">
        <v>11</v>
      </c>
      <c r="G361" t="b">
        <v>0</v>
      </c>
      <c r="H361" s="1">
        <v>0</v>
      </c>
      <c r="I361" s="1">
        <v>1</v>
      </c>
      <c r="J361" s="2">
        <v>0.24</v>
      </c>
      <c r="K361" s="2">
        <v>0.2273</v>
      </c>
      <c r="L361" s="2">
        <v>0.44</v>
      </c>
      <c r="M361" s="2">
        <v>0.25369999999999998</v>
      </c>
      <c r="N361" s="1">
        <v>23</v>
      </c>
      <c r="O361" s="1">
        <v>70</v>
      </c>
      <c r="P361" s="1">
        <v>93</v>
      </c>
      <c r="Q361" s="1" t="str">
        <f>IF(WEEKDAY(Bike_Sharing_Master6[[#This Row],[Dteday]],2)&gt;=6,"Weekend","Weekday")</f>
        <v>Weekend</v>
      </c>
      <c r="R361" s="1" t="str">
        <f xml:space="preserve"> IF(Bike_Sharing_Master6[[#This Row],[Hr]]&lt;6,"Late Night", IF(Bike_Sharing_Master6[[#This Row],[Hr]]&lt;10,"Morning Peak", IF(Bike_Sharing_Master6[[#This Row],[Hr]]&lt;17,"Daytime", IF(Bike_Sharing_Master6[[#This Row],[Hr]]&lt;21,"Evening Peak","Night"))))</f>
        <v>Daytime</v>
      </c>
      <c r="S361" s="1" t="str">
        <f>IF(Bike_Sharing_Master6[[#This Row],[Holiday]]=1,"Holiday","Non-Holiday")</f>
        <v>Non-Holiday</v>
      </c>
      <c r="T361" s="1" t="str">
        <f>IF(Bike_Sharing_Master6[[#This Row],[Cnt]]&lt;80,"Low",IF(Bike_Sharing_Master6[[#This Row],[Cnt]]&lt;160,"Medium","High"))</f>
        <v>Medium</v>
      </c>
      <c r="U361" s="1" t="str">
        <f>VLOOKUP(Bike_Sharing_Master6[[#This Row],[Weathersit]],[1]Lookup_Weather!A:B,2,FALSE)</f>
        <v>Clear</v>
      </c>
    </row>
    <row r="362" spans="1:21" x14ac:dyDescent="0.3">
      <c r="A362">
        <v>361</v>
      </c>
      <c r="B362" s="3">
        <v>40559</v>
      </c>
      <c r="C362" s="1">
        <v>1</v>
      </c>
      <c r="D362" s="1">
        <v>0</v>
      </c>
      <c r="E362" s="1">
        <v>1</v>
      </c>
      <c r="F362" s="1">
        <v>12</v>
      </c>
      <c r="G362" t="b">
        <v>0</v>
      </c>
      <c r="H362" s="1">
        <v>0</v>
      </c>
      <c r="I362" s="1">
        <v>1</v>
      </c>
      <c r="J362" s="2">
        <v>0.24</v>
      </c>
      <c r="K362" s="2">
        <v>0.21210000000000001</v>
      </c>
      <c r="L362" s="2">
        <v>0.41</v>
      </c>
      <c r="M362" s="2">
        <v>0.28360000000000002</v>
      </c>
      <c r="N362" s="1">
        <v>29</v>
      </c>
      <c r="O362" s="1">
        <v>75</v>
      </c>
      <c r="P362" s="1">
        <v>104</v>
      </c>
      <c r="Q362" s="1" t="str">
        <f>IF(WEEKDAY(Bike_Sharing_Master6[[#This Row],[Dteday]],2)&gt;=6,"Weekend","Weekday")</f>
        <v>Weekend</v>
      </c>
      <c r="R362" s="1" t="str">
        <f xml:space="preserve"> IF(Bike_Sharing_Master6[[#This Row],[Hr]]&lt;6,"Late Night", IF(Bike_Sharing_Master6[[#This Row],[Hr]]&lt;10,"Morning Peak", IF(Bike_Sharing_Master6[[#This Row],[Hr]]&lt;17,"Daytime", IF(Bike_Sharing_Master6[[#This Row],[Hr]]&lt;21,"Evening Peak","Night"))))</f>
        <v>Daytime</v>
      </c>
      <c r="S362" s="1" t="str">
        <f>IF(Bike_Sharing_Master6[[#This Row],[Holiday]]=1,"Holiday","Non-Holiday")</f>
        <v>Non-Holiday</v>
      </c>
      <c r="T362" s="1" t="str">
        <f>IF(Bike_Sharing_Master6[[#This Row],[Cnt]]&lt;80,"Low",IF(Bike_Sharing_Master6[[#This Row],[Cnt]]&lt;160,"Medium","High"))</f>
        <v>Medium</v>
      </c>
      <c r="U362" s="1" t="str">
        <f>VLOOKUP(Bike_Sharing_Master6[[#This Row],[Weathersit]],[1]Lookup_Weather!A:B,2,FALSE)</f>
        <v>Clear</v>
      </c>
    </row>
    <row r="363" spans="1:21" x14ac:dyDescent="0.3">
      <c r="A363">
        <v>362</v>
      </c>
      <c r="B363" s="3">
        <v>40559</v>
      </c>
      <c r="C363" s="1">
        <v>1</v>
      </c>
      <c r="D363" s="1">
        <v>0</v>
      </c>
      <c r="E363" s="1">
        <v>1</v>
      </c>
      <c r="F363" s="1">
        <v>13</v>
      </c>
      <c r="G363" t="b">
        <v>0</v>
      </c>
      <c r="H363" s="1">
        <v>0</v>
      </c>
      <c r="I363" s="1">
        <v>1</v>
      </c>
      <c r="J363" s="2">
        <v>0.26</v>
      </c>
      <c r="K363" s="2">
        <v>0.2273</v>
      </c>
      <c r="L363" s="2">
        <v>0.35</v>
      </c>
      <c r="M363" s="2">
        <v>0.29849999999999999</v>
      </c>
      <c r="N363" s="1">
        <v>23</v>
      </c>
      <c r="O363" s="1">
        <v>95</v>
      </c>
      <c r="P363" s="1">
        <v>118</v>
      </c>
      <c r="Q363" s="1" t="str">
        <f>IF(WEEKDAY(Bike_Sharing_Master6[[#This Row],[Dteday]],2)&gt;=6,"Weekend","Weekday")</f>
        <v>Weekend</v>
      </c>
      <c r="R363" s="1" t="str">
        <f xml:space="preserve"> IF(Bike_Sharing_Master6[[#This Row],[Hr]]&lt;6,"Late Night", IF(Bike_Sharing_Master6[[#This Row],[Hr]]&lt;10,"Morning Peak", IF(Bike_Sharing_Master6[[#This Row],[Hr]]&lt;17,"Daytime", IF(Bike_Sharing_Master6[[#This Row],[Hr]]&lt;21,"Evening Peak","Night"))))</f>
        <v>Daytime</v>
      </c>
      <c r="S363" s="1" t="str">
        <f>IF(Bike_Sharing_Master6[[#This Row],[Holiday]]=1,"Holiday","Non-Holiday")</f>
        <v>Non-Holiday</v>
      </c>
      <c r="T363" s="1" t="str">
        <f>IF(Bike_Sharing_Master6[[#This Row],[Cnt]]&lt;80,"Low",IF(Bike_Sharing_Master6[[#This Row],[Cnt]]&lt;160,"Medium","High"))</f>
        <v>Medium</v>
      </c>
      <c r="U363" s="1" t="str">
        <f>VLOOKUP(Bike_Sharing_Master6[[#This Row],[Weathersit]],[1]Lookup_Weather!A:B,2,FALSE)</f>
        <v>Clear</v>
      </c>
    </row>
    <row r="364" spans="1:21" x14ac:dyDescent="0.3">
      <c r="A364">
        <v>363</v>
      </c>
      <c r="B364" s="3">
        <v>40559</v>
      </c>
      <c r="C364" s="1">
        <v>1</v>
      </c>
      <c r="D364" s="1">
        <v>0</v>
      </c>
      <c r="E364" s="1">
        <v>1</v>
      </c>
      <c r="F364" s="1">
        <v>14</v>
      </c>
      <c r="G364" t="b">
        <v>0</v>
      </c>
      <c r="H364" s="1">
        <v>0</v>
      </c>
      <c r="I364" s="1">
        <v>1</v>
      </c>
      <c r="J364" s="2">
        <v>0.28000000000000003</v>
      </c>
      <c r="K364" s="2">
        <v>0.2727</v>
      </c>
      <c r="L364" s="2">
        <v>0.36</v>
      </c>
      <c r="M364" s="2">
        <v>0.25369999999999998</v>
      </c>
      <c r="N364" s="1">
        <v>22</v>
      </c>
      <c r="O364" s="1">
        <v>69</v>
      </c>
      <c r="P364" s="1">
        <v>91</v>
      </c>
      <c r="Q364" s="1" t="str">
        <f>IF(WEEKDAY(Bike_Sharing_Master6[[#This Row],[Dteday]],2)&gt;=6,"Weekend","Weekday")</f>
        <v>Weekend</v>
      </c>
      <c r="R364" s="1" t="str">
        <f xml:space="preserve"> IF(Bike_Sharing_Master6[[#This Row],[Hr]]&lt;6,"Late Night", IF(Bike_Sharing_Master6[[#This Row],[Hr]]&lt;10,"Morning Peak", IF(Bike_Sharing_Master6[[#This Row],[Hr]]&lt;17,"Daytime", IF(Bike_Sharing_Master6[[#This Row],[Hr]]&lt;21,"Evening Peak","Night"))))</f>
        <v>Daytime</v>
      </c>
      <c r="S364" s="1" t="str">
        <f>IF(Bike_Sharing_Master6[[#This Row],[Holiday]]=1,"Holiday","Non-Holiday")</f>
        <v>Non-Holiday</v>
      </c>
      <c r="T364" s="1" t="str">
        <f>IF(Bike_Sharing_Master6[[#This Row],[Cnt]]&lt;80,"Low",IF(Bike_Sharing_Master6[[#This Row],[Cnt]]&lt;160,"Medium","High"))</f>
        <v>Medium</v>
      </c>
      <c r="U364" s="1" t="str">
        <f>VLOOKUP(Bike_Sharing_Master6[[#This Row],[Weathersit]],[1]Lookup_Weather!A:B,2,FALSE)</f>
        <v>Clear</v>
      </c>
    </row>
    <row r="365" spans="1:21" x14ac:dyDescent="0.3">
      <c r="A365">
        <v>364</v>
      </c>
      <c r="B365" s="3">
        <v>40559</v>
      </c>
      <c r="C365" s="1">
        <v>1</v>
      </c>
      <c r="D365" s="1">
        <v>0</v>
      </c>
      <c r="E365" s="1">
        <v>1</v>
      </c>
      <c r="F365" s="1">
        <v>15</v>
      </c>
      <c r="G365" t="b">
        <v>0</v>
      </c>
      <c r="H365" s="1">
        <v>0</v>
      </c>
      <c r="I365" s="1">
        <v>1</v>
      </c>
      <c r="J365" s="2">
        <v>0.26</v>
      </c>
      <c r="K365" s="2">
        <v>0.2424</v>
      </c>
      <c r="L365" s="2">
        <v>0.38</v>
      </c>
      <c r="M365" s="2">
        <v>0.25369999999999998</v>
      </c>
      <c r="N365" s="1">
        <v>35</v>
      </c>
      <c r="O365" s="1">
        <v>78</v>
      </c>
      <c r="P365" s="1">
        <v>113</v>
      </c>
      <c r="Q365" s="1" t="str">
        <f>IF(WEEKDAY(Bike_Sharing_Master6[[#This Row],[Dteday]],2)&gt;=6,"Weekend","Weekday")</f>
        <v>Weekend</v>
      </c>
      <c r="R365" s="1" t="str">
        <f xml:space="preserve"> IF(Bike_Sharing_Master6[[#This Row],[Hr]]&lt;6,"Late Night", IF(Bike_Sharing_Master6[[#This Row],[Hr]]&lt;10,"Morning Peak", IF(Bike_Sharing_Master6[[#This Row],[Hr]]&lt;17,"Daytime", IF(Bike_Sharing_Master6[[#This Row],[Hr]]&lt;21,"Evening Peak","Night"))))</f>
        <v>Daytime</v>
      </c>
      <c r="S365" s="1" t="str">
        <f>IF(Bike_Sharing_Master6[[#This Row],[Holiday]]=1,"Holiday","Non-Holiday")</f>
        <v>Non-Holiday</v>
      </c>
      <c r="T365" s="1" t="str">
        <f>IF(Bike_Sharing_Master6[[#This Row],[Cnt]]&lt;80,"Low",IF(Bike_Sharing_Master6[[#This Row],[Cnt]]&lt;160,"Medium","High"))</f>
        <v>Medium</v>
      </c>
      <c r="U365" s="1" t="str">
        <f>VLOOKUP(Bike_Sharing_Master6[[#This Row],[Weathersit]],[1]Lookup_Weather!A:B,2,FALSE)</f>
        <v>Clear</v>
      </c>
    </row>
    <row r="366" spans="1:21" x14ac:dyDescent="0.3">
      <c r="A366">
        <v>365</v>
      </c>
      <c r="B366" s="3">
        <v>40559</v>
      </c>
      <c r="C366" s="1">
        <v>1</v>
      </c>
      <c r="D366" s="1">
        <v>0</v>
      </c>
      <c r="E366" s="1">
        <v>1</v>
      </c>
      <c r="F366" s="1">
        <v>16</v>
      </c>
      <c r="G366" t="b">
        <v>0</v>
      </c>
      <c r="H366" s="1">
        <v>0</v>
      </c>
      <c r="I366" s="1">
        <v>1</v>
      </c>
      <c r="J366" s="2">
        <v>0.24</v>
      </c>
      <c r="K366" s="2">
        <v>0.2273</v>
      </c>
      <c r="L366" s="2">
        <v>0.38</v>
      </c>
      <c r="M366" s="2">
        <v>0.22389999999999999</v>
      </c>
      <c r="N366" s="1">
        <v>22</v>
      </c>
      <c r="O366" s="1">
        <v>77</v>
      </c>
      <c r="P366" s="1">
        <v>99</v>
      </c>
      <c r="Q366" s="1" t="str">
        <f>IF(WEEKDAY(Bike_Sharing_Master6[[#This Row],[Dteday]],2)&gt;=6,"Weekend","Weekday")</f>
        <v>Weekend</v>
      </c>
      <c r="R366" s="1" t="str">
        <f xml:space="preserve"> IF(Bike_Sharing_Master6[[#This Row],[Hr]]&lt;6,"Late Night", IF(Bike_Sharing_Master6[[#This Row],[Hr]]&lt;10,"Morning Peak", IF(Bike_Sharing_Master6[[#This Row],[Hr]]&lt;17,"Daytime", IF(Bike_Sharing_Master6[[#This Row],[Hr]]&lt;21,"Evening Peak","Night"))))</f>
        <v>Daytime</v>
      </c>
      <c r="S366" s="1" t="str">
        <f>IF(Bike_Sharing_Master6[[#This Row],[Holiday]]=1,"Holiday","Non-Holiday")</f>
        <v>Non-Holiday</v>
      </c>
      <c r="T366" s="1" t="str">
        <f>IF(Bike_Sharing_Master6[[#This Row],[Cnt]]&lt;80,"Low",IF(Bike_Sharing_Master6[[#This Row],[Cnt]]&lt;160,"Medium","High"))</f>
        <v>Medium</v>
      </c>
      <c r="U366" s="1" t="str">
        <f>VLOOKUP(Bike_Sharing_Master6[[#This Row],[Weathersit]],[1]Lookup_Weather!A:B,2,FALSE)</f>
        <v>Clear</v>
      </c>
    </row>
    <row r="367" spans="1:21" x14ac:dyDescent="0.3">
      <c r="A367">
        <v>366</v>
      </c>
      <c r="B367" s="3">
        <v>40559</v>
      </c>
      <c r="C367" s="1">
        <v>1</v>
      </c>
      <c r="D367" s="1">
        <v>0</v>
      </c>
      <c r="E367" s="1">
        <v>1</v>
      </c>
      <c r="F367" s="1">
        <v>17</v>
      </c>
      <c r="G367" t="b">
        <v>0</v>
      </c>
      <c r="H367" s="1">
        <v>0</v>
      </c>
      <c r="I367" s="1">
        <v>1</v>
      </c>
      <c r="J367" s="2">
        <v>0.22</v>
      </c>
      <c r="K367" s="2">
        <v>0.21210000000000001</v>
      </c>
      <c r="L367" s="2">
        <v>0.37</v>
      </c>
      <c r="M367" s="2">
        <v>0.25369999999999998</v>
      </c>
      <c r="N367" s="1">
        <v>23</v>
      </c>
      <c r="O367" s="1">
        <v>82</v>
      </c>
      <c r="P367" s="1">
        <v>105</v>
      </c>
      <c r="Q367" s="1" t="str">
        <f>IF(WEEKDAY(Bike_Sharing_Master6[[#This Row],[Dteday]],2)&gt;=6,"Weekend","Weekday")</f>
        <v>Weekend</v>
      </c>
      <c r="R367" s="1" t="str">
        <f xml:space="preserve"> IF(Bike_Sharing_Master6[[#This Row],[Hr]]&lt;6,"Late Night", IF(Bike_Sharing_Master6[[#This Row],[Hr]]&lt;10,"Morning Peak", IF(Bike_Sharing_Master6[[#This Row],[Hr]]&lt;17,"Daytime", IF(Bike_Sharing_Master6[[#This Row],[Hr]]&lt;21,"Evening Peak","Night"))))</f>
        <v>Evening Peak</v>
      </c>
      <c r="S367" s="1" t="str">
        <f>IF(Bike_Sharing_Master6[[#This Row],[Holiday]]=1,"Holiday","Non-Holiday")</f>
        <v>Non-Holiday</v>
      </c>
      <c r="T367" s="1" t="str">
        <f>IF(Bike_Sharing_Master6[[#This Row],[Cnt]]&lt;80,"Low",IF(Bike_Sharing_Master6[[#This Row],[Cnt]]&lt;160,"Medium","High"))</f>
        <v>Medium</v>
      </c>
      <c r="U367" s="1" t="str">
        <f>VLOOKUP(Bike_Sharing_Master6[[#This Row],[Weathersit]],[1]Lookup_Weather!A:B,2,FALSE)</f>
        <v>Clear</v>
      </c>
    </row>
    <row r="368" spans="1:21" x14ac:dyDescent="0.3">
      <c r="A368">
        <v>367</v>
      </c>
      <c r="B368" s="3">
        <v>40559</v>
      </c>
      <c r="C368" s="1">
        <v>1</v>
      </c>
      <c r="D368" s="1">
        <v>0</v>
      </c>
      <c r="E368" s="1">
        <v>1</v>
      </c>
      <c r="F368" s="1">
        <v>18</v>
      </c>
      <c r="G368" t="b">
        <v>0</v>
      </c>
      <c r="H368" s="1">
        <v>0</v>
      </c>
      <c r="I368" s="1">
        <v>1</v>
      </c>
      <c r="J368" s="2">
        <v>0.2</v>
      </c>
      <c r="K368" s="2">
        <v>0.21210000000000001</v>
      </c>
      <c r="L368" s="2">
        <v>0.4</v>
      </c>
      <c r="M368" s="2">
        <v>0.16420000000000001</v>
      </c>
      <c r="N368" s="1">
        <v>11</v>
      </c>
      <c r="O368" s="1">
        <v>56</v>
      </c>
      <c r="P368" s="1">
        <v>67</v>
      </c>
      <c r="Q368" s="1" t="str">
        <f>IF(WEEKDAY(Bike_Sharing_Master6[[#This Row],[Dteday]],2)&gt;=6,"Weekend","Weekday")</f>
        <v>Weekend</v>
      </c>
      <c r="R368" s="1" t="str">
        <f xml:space="preserve"> IF(Bike_Sharing_Master6[[#This Row],[Hr]]&lt;6,"Late Night", IF(Bike_Sharing_Master6[[#This Row],[Hr]]&lt;10,"Morning Peak", IF(Bike_Sharing_Master6[[#This Row],[Hr]]&lt;17,"Daytime", IF(Bike_Sharing_Master6[[#This Row],[Hr]]&lt;21,"Evening Peak","Night"))))</f>
        <v>Evening Peak</v>
      </c>
      <c r="S368" s="1" t="str">
        <f>IF(Bike_Sharing_Master6[[#This Row],[Holiday]]=1,"Holiday","Non-Holiday")</f>
        <v>Non-Holiday</v>
      </c>
      <c r="T368" s="1" t="str">
        <f>IF(Bike_Sharing_Master6[[#This Row],[Cnt]]&lt;80,"Low",IF(Bike_Sharing_Master6[[#This Row],[Cnt]]&lt;160,"Medium","High"))</f>
        <v>Low</v>
      </c>
      <c r="U368" s="1" t="str">
        <f>VLOOKUP(Bike_Sharing_Master6[[#This Row],[Weathersit]],[1]Lookup_Weather!A:B,2,FALSE)</f>
        <v>Clear</v>
      </c>
    </row>
    <row r="369" spans="1:21" x14ac:dyDescent="0.3">
      <c r="A369">
        <v>368</v>
      </c>
      <c r="B369" s="3">
        <v>40559</v>
      </c>
      <c r="C369" s="1">
        <v>1</v>
      </c>
      <c r="D369" s="1">
        <v>0</v>
      </c>
      <c r="E369" s="1">
        <v>1</v>
      </c>
      <c r="F369" s="1">
        <v>19</v>
      </c>
      <c r="G369" t="b">
        <v>0</v>
      </c>
      <c r="H369" s="1">
        <v>0</v>
      </c>
      <c r="I369" s="1">
        <v>1</v>
      </c>
      <c r="J369" s="2">
        <v>0.18</v>
      </c>
      <c r="K369" s="2">
        <v>0.19700000000000001</v>
      </c>
      <c r="L369" s="2">
        <v>0.47</v>
      </c>
      <c r="M369" s="2">
        <v>0.1343</v>
      </c>
      <c r="N369" s="1">
        <v>14</v>
      </c>
      <c r="O369" s="1">
        <v>47</v>
      </c>
      <c r="P369" s="1">
        <v>61</v>
      </c>
      <c r="Q369" s="1" t="str">
        <f>IF(WEEKDAY(Bike_Sharing_Master6[[#This Row],[Dteday]],2)&gt;=6,"Weekend","Weekday")</f>
        <v>Weekend</v>
      </c>
      <c r="R369" s="1" t="str">
        <f xml:space="preserve"> IF(Bike_Sharing_Master6[[#This Row],[Hr]]&lt;6,"Late Night", IF(Bike_Sharing_Master6[[#This Row],[Hr]]&lt;10,"Morning Peak", IF(Bike_Sharing_Master6[[#This Row],[Hr]]&lt;17,"Daytime", IF(Bike_Sharing_Master6[[#This Row],[Hr]]&lt;21,"Evening Peak","Night"))))</f>
        <v>Evening Peak</v>
      </c>
      <c r="S369" s="1" t="str">
        <f>IF(Bike_Sharing_Master6[[#This Row],[Holiday]]=1,"Holiday","Non-Holiday")</f>
        <v>Non-Holiday</v>
      </c>
      <c r="T369" s="1" t="str">
        <f>IF(Bike_Sharing_Master6[[#This Row],[Cnt]]&lt;80,"Low",IF(Bike_Sharing_Master6[[#This Row],[Cnt]]&lt;160,"Medium","High"))</f>
        <v>Low</v>
      </c>
      <c r="U369" s="1" t="str">
        <f>VLOOKUP(Bike_Sharing_Master6[[#This Row],[Weathersit]],[1]Lookup_Weather!A:B,2,FALSE)</f>
        <v>Clear</v>
      </c>
    </row>
    <row r="370" spans="1:21" x14ac:dyDescent="0.3">
      <c r="A370">
        <v>369</v>
      </c>
      <c r="B370" s="3">
        <v>40559</v>
      </c>
      <c r="C370" s="1">
        <v>1</v>
      </c>
      <c r="D370" s="1">
        <v>0</v>
      </c>
      <c r="E370" s="1">
        <v>1</v>
      </c>
      <c r="F370" s="1">
        <v>20</v>
      </c>
      <c r="G370" t="b">
        <v>0</v>
      </c>
      <c r="H370" s="1">
        <v>0</v>
      </c>
      <c r="I370" s="1">
        <v>1</v>
      </c>
      <c r="J370" s="2">
        <v>0.18</v>
      </c>
      <c r="K370" s="2">
        <v>0.19700000000000001</v>
      </c>
      <c r="L370" s="2">
        <v>0.47</v>
      </c>
      <c r="M370" s="2">
        <v>0.16420000000000001</v>
      </c>
      <c r="N370" s="1">
        <v>7</v>
      </c>
      <c r="O370" s="1">
        <v>50</v>
      </c>
      <c r="P370" s="1">
        <v>57</v>
      </c>
      <c r="Q370" s="1" t="str">
        <f>IF(WEEKDAY(Bike_Sharing_Master6[[#This Row],[Dteday]],2)&gt;=6,"Weekend","Weekday")</f>
        <v>Weekend</v>
      </c>
      <c r="R370" s="1" t="str">
        <f xml:space="preserve"> IF(Bike_Sharing_Master6[[#This Row],[Hr]]&lt;6,"Late Night", IF(Bike_Sharing_Master6[[#This Row],[Hr]]&lt;10,"Morning Peak", IF(Bike_Sharing_Master6[[#This Row],[Hr]]&lt;17,"Daytime", IF(Bike_Sharing_Master6[[#This Row],[Hr]]&lt;21,"Evening Peak","Night"))))</f>
        <v>Evening Peak</v>
      </c>
      <c r="S370" s="1" t="str">
        <f>IF(Bike_Sharing_Master6[[#This Row],[Holiday]]=1,"Holiday","Non-Holiday")</f>
        <v>Non-Holiday</v>
      </c>
      <c r="T370" s="1" t="str">
        <f>IF(Bike_Sharing_Master6[[#This Row],[Cnt]]&lt;80,"Low",IF(Bike_Sharing_Master6[[#This Row],[Cnt]]&lt;160,"Medium","High"))</f>
        <v>Low</v>
      </c>
      <c r="U370" s="1" t="str">
        <f>VLOOKUP(Bike_Sharing_Master6[[#This Row],[Weathersit]],[1]Lookup_Weather!A:B,2,FALSE)</f>
        <v>Clear</v>
      </c>
    </row>
    <row r="371" spans="1:21" x14ac:dyDescent="0.3">
      <c r="A371">
        <v>370</v>
      </c>
      <c r="B371" s="3">
        <v>40559</v>
      </c>
      <c r="C371" s="1">
        <v>1</v>
      </c>
      <c r="D371" s="1">
        <v>0</v>
      </c>
      <c r="E371" s="1">
        <v>1</v>
      </c>
      <c r="F371" s="1">
        <v>21</v>
      </c>
      <c r="G371" t="b">
        <v>0</v>
      </c>
      <c r="H371" s="1">
        <v>0</v>
      </c>
      <c r="I371" s="1">
        <v>1</v>
      </c>
      <c r="J371" s="2">
        <v>0.18</v>
      </c>
      <c r="K371" s="2">
        <v>0.19700000000000001</v>
      </c>
      <c r="L371" s="2">
        <v>0.51</v>
      </c>
      <c r="M371" s="2">
        <v>0.16420000000000001</v>
      </c>
      <c r="N371" s="1">
        <v>6</v>
      </c>
      <c r="O371" s="1">
        <v>22</v>
      </c>
      <c r="P371" s="1">
        <v>28</v>
      </c>
      <c r="Q371" s="1" t="str">
        <f>IF(WEEKDAY(Bike_Sharing_Master6[[#This Row],[Dteday]],2)&gt;=6,"Weekend","Weekday")</f>
        <v>Weekend</v>
      </c>
      <c r="R371" s="1" t="str">
        <f xml:space="preserve"> IF(Bike_Sharing_Master6[[#This Row],[Hr]]&lt;6,"Late Night", IF(Bike_Sharing_Master6[[#This Row],[Hr]]&lt;10,"Morning Peak", IF(Bike_Sharing_Master6[[#This Row],[Hr]]&lt;17,"Daytime", IF(Bike_Sharing_Master6[[#This Row],[Hr]]&lt;21,"Evening Peak","Night"))))</f>
        <v>Night</v>
      </c>
      <c r="S371" s="1" t="str">
        <f>IF(Bike_Sharing_Master6[[#This Row],[Holiday]]=1,"Holiday","Non-Holiday")</f>
        <v>Non-Holiday</v>
      </c>
      <c r="T371" s="1" t="str">
        <f>IF(Bike_Sharing_Master6[[#This Row],[Cnt]]&lt;80,"Low",IF(Bike_Sharing_Master6[[#This Row],[Cnt]]&lt;160,"Medium","High"))</f>
        <v>Low</v>
      </c>
      <c r="U371" s="1" t="str">
        <f>VLOOKUP(Bike_Sharing_Master6[[#This Row],[Weathersit]],[1]Lookup_Weather!A:B,2,FALSE)</f>
        <v>Clear</v>
      </c>
    </row>
    <row r="372" spans="1:21" x14ac:dyDescent="0.3">
      <c r="A372">
        <v>371</v>
      </c>
      <c r="B372" s="3">
        <v>40559</v>
      </c>
      <c r="C372" s="1">
        <v>1</v>
      </c>
      <c r="D372" s="1">
        <v>0</v>
      </c>
      <c r="E372" s="1">
        <v>1</v>
      </c>
      <c r="F372" s="1">
        <v>22</v>
      </c>
      <c r="G372" t="b">
        <v>0</v>
      </c>
      <c r="H372" s="1">
        <v>0</v>
      </c>
      <c r="I372" s="1">
        <v>2</v>
      </c>
      <c r="J372" s="2">
        <v>0.2</v>
      </c>
      <c r="K372" s="2">
        <v>0.21210000000000001</v>
      </c>
      <c r="L372" s="2">
        <v>0.49</v>
      </c>
      <c r="M372" s="2">
        <v>0.1343</v>
      </c>
      <c r="N372" s="1">
        <v>2</v>
      </c>
      <c r="O372" s="1">
        <v>19</v>
      </c>
      <c r="P372" s="1">
        <v>21</v>
      </c>
      <c r="Q372" s="1" t="str">
        <f>IF(WEEKDAY(Bike_Sharing_Master6[[#This Row],[Dteday]],2)&gt;=6,"Weekend","Weekday")</f>
        <v>Weekend</v>
      </c>
      <c r="R372" s="1" t="str">
        <f xml:space="preserve"> IF(Bike_Sharing_Master6[[#This Row],[Hr]]&lt;6,"Late Night", IF(Bike_Sharing_Master6[[#This Row],[Hr]]&lt;10,"Morning Peak", IF(Bike_Sharing_Master6[[#This Row],[Hr]]&lt;17,"Daytime", IF(Bike_Sharing_Master6[[#This Row],[Hr]]&lt;21,"Evening Peak","Night"))))</f>
        <v>Night</v>
      </c>
      <c r="S372" s="1" t="str">
        <f>IF(Bike_Sharing_Master6[[#This Row],[Holiday]]=1,"Holiday","Non-Holiday")</f>
        <v>Non-Holiday</v>
      </c>
      <c r="T372" s="1" t="str">
        <f>IF(Bike_Sharing_Master6[[#This Row],[Cnt]]&lt;80,"Low",IF(Bike_Sharing_Master6[[#This Row],[Cnt]]&lt;160,"Medium","High"))</f>
        <v>Low</v>
      </c>
      <c r="U372" s="1" t="str">
        <f>VLOOKUP(Bike_Sharing_Master6[[#This Row],[Weathersit]],[1]Lookup_Weather!A:B,2,FALSE)</f>
        <v>Mist</v>
      </c>
    </row>
    <row r="373" spans="1:21" x14ac:dyDescent="0.3">
      <c r="A373">
        <v>372</v>
      </c>
      <c r="B373" s="3">
        <v>40559</v>
      </c>
      <c r="C373" s="1">
        <v>1</v>
      </c>
      <c r="D373" s="1">
        <v>0</v>
      </c>
      <c r="E373" s="1">
        <v>1</v>
      </c>
      <c r="F373" s="1">
        <v>23</v>
      </c>
      <c r="G373" t="b">
        <v>0</v>
      </c>
      <c r="H373" s="1">
        <v>0</v>
      </c>
      <c r="I373" s="1">
        <v>2</v>
      </c>
      <c r="J373" s="2">
        <v>0.2</v>
      </c>
      <c r="K373" s="2">
        <v>0.2273</v>
      </c>
      <c r="L373" s="2">
        <v>0.4</v>
      </c>
      <c r="M373" s="2">
        <v>0.1045</v>
      </c>
      <c r="N373" s="1">
        <v>0</v>
      </c>
      <c r="O373" s="1">
        <v>18</v>
      </c>
      <c r="P373" s="1">
        <v>18</v>
      </c>
      <c r="Q373" s="1" t="str">
        <f>IF(WEEKDAY(Bike_Sharing_Master6[[#This Row],[Dteday]],2)&gt;=6,"Weekend","Weekday")</f>
        <v>Weekend</v>
      </c>
      <c r="R373" s="1" t="str">
        <f xml:space="preserve"> IF(Bike_Sharing_Master6[[#This Row],[Hr]]&lt;6,"Late Night", IF(Bike_Sharing_Master6[[#This Row],[Hr]]&lt;10,"Morning Peak", IF(Bike_Sharing_Master6[[#This Row],[Hr]]&lt;17,"Daytime", IF(Bike_Sharing_Master6[[#This Row],[Hr]]&lt;21,"Evening Peak","Night"))))</f>
        <v>Night</v>
      </c>
      <c r="S373" s="1" t="str">
        <f>IF(Bike_Sharing_Master6[[#This Row],[Holiday]]=1,"Holiday","Non-Holiday")</f>
        <v>Non-Holiday</v>
      </c>
      <c r="T373" s="1" t="str">
        <f>IF(Bike_Sharing_Master6[[#This Row],[Cnt]]&lt;80,"Low",IF(Bike_Sharing_Master6[[#This Row],[Cnt]]&lt;160,"Medium","High"))</f>
        <v>Low</v>
      </c>
      <c r="U373" s="1" t="str">
        <f>VLOOKUP(Bike_Sharing_Master6[[#This Row],[Weathersit]],[1]Lookup_Weather!A:B,2,FALSE)</f>
        <v>Mist</v>
      </c>
    </row>
    <row r="374" spans="1:21" x14ac:dyDescent="0.3">
      <c r="A374">
        <v>373</v>
      </c>
      <c r="B374" s="3">
        <v>40560</v>
      </c>
      <c r="C374" s="1">
        <v>1</v>
      </c>
      <c r="D374" s="1">
        <v>0</v>
      </c>
      <c r="E374" s="1">
        <v>1</v>
      </c>
      <c r="F374" s="1">
        <v>0</v>
      </c>
      <c r="G374" t="b">
        <v>1</v>
      </c>
      <c r="H374" s="1">
        <v>1</v>
      </c>
      <c r="I374" s="1">
        <v>2</v>
      </c>
      <c r="J374" s="2">
        <v>0.2</v>
      </c>
      <c r="K374" s="2">
        <v>0.19700000000000001</v>
      </c>
      <c r="L374" s="2">
        <v>0.47</v>
      </c>
      <c r="M374" s="2">
        <v>0.22389999999999999</v>
      </c>
      <c r="N374" s="1">
        <v>1</v>
      </c>
      <c r="O374" s="1">
        <v>16</v>
      </c>
      <c r="P374" s="1">
        <v>17</v>
      </c>
      <c r="Q374" s="1" t="str">
        <f>IF(WEEKDAY(Bike_Sharing_Master6[[#This Row],[Dteday]],2)&gt;=6,"Weekend","Weekday")</f>
        <v>Weekday</v>
      </c>
      <c r="R374" s="1" t="str">
        <f xml:space="preserve"> IF(Bike_Sharing_Master6[[#This Row],[Hr]]&lt;6,"Late Night", IF(Bike_Sharing_Master6[[#This Row],[Hr]]&lt;10,"Morning Peak", IF(Bike_Sharing_Master6[[#This Row],[Hr]]&lt;17,"Daytime", IF(Bike_Sharing_Master6[[#This Row],[Hr]]&lt;21,"Evening Peak","Night"))))</f>
        <v>Late Night</v>
      </c>
      <c r="S374" s="1" t="str">
        <f>IF(Bike_Sharing_Master6[[#This Row],[Holiday]]=1,"Holiday","Non-Holiday")</f>
        <v>Non-Holiday</v>
      </c>
      <c r="T374" s="1" t="str">
        <f>IF(Bike_Sharing_Master6[[#This Row],[Cnt]]&lt;80,"Low",IF(Bike_Sharing_Master6[[#This Row],[Cnt]]&lt;160,"Medium","High"))</f>
        <v>Low</v>
      </c>
      <c r="U374" s="1" t="str">
        <f>VLOOKUP(Bike_Sharing_Master6[[#This Row],[Weathersit]],[1]Lookup_Weather!A:B,2,FALSE)</f>
        <v>Mist</v>
      </c>
    </row>
    <row r="375" spans="1:21" x14ac:dyDescent="0.3">
      <c r="A375">
        <v>374</v>
      </c>
      <c r="B375" s="3">
        <v>40560</v>
      </c>
      <c r="C375" s="1">
        <v>1</v>
      </c>
      <c r="D375" s="1">
        <v>0</v>
      </c>
      <c r="E375" s="1">
        <v>1</v>
      </c>
      <c r="F375" s="1">
        <v>1</v>
      </c>
      <c r="G375" t="b">
        <v>1</v>
      </c>
      <c r="H375" s="1">
        <v>1</v>
      </c>
      <c r="I375" s="1">
        <v>2</v>
      </c>
      <c r="J375" s="2">
        <v>0.2</v>
      </c>
      <c r="K375" s="2">
        <v>0.19700000000000001</v>
      </c>
      <c r="L375" s="2">
        <v>0.44</v>
      </c>
      <c r="M375" s="2">
        <v>0.19400000000000001</v>
      </c>
      <c r="N375" s="1">
        <v>1</v>
      </c>
      <c r="O375" s="1">
        <v>15</v>
      </c>
      <c r="P375" s="1">
        <v>16</v>
      </c>
      <c r="Q375" s="1" t="str">
        <f>IF(WEEKDAY(Bike_Sharing_Master6[[#This Row],[Dteday]],2)&gt;=6,"Weekend","Weekday")</f>
        <v>Weekday</v>
      </c>
      <c r="R375" s="1" t="str">
        <f xml:space="preserve"> IF(Bike_Sharing_Master6[[#This Row],[Hr]]&lt;6,"Late Night", IF(Bike_Sharing_Master6[[#This Row],[Hr]]&lt;10,"Morning Peak", IF(Bike_Sharing_Master6[[#This Row],[Hr]]&lt;17,"Daytime", IF(Bike_Sharing_Master6[[#This Row],[Hr]]&lt;21,"Evening Peak","Night"))))</f>
        <v>Late Night</v>
      </c>
      <c r="S375" s="1" t="str">
        <f>IF(Bike_Sharing_Master6[[#This Row],[Holiday]]=1,"Holiday","Non-Holiday")</f>
        <v>Non-Holiday</v>
      </c>
      <c r="T375" s="1" t="str">
        <f>IF(Bike_Sharing_Master6[[#This Row],[Cnt]]&lt;80,"Low",IF(Bike_Sharing_Master6[[#This Row],[Cnt]]&lt;160,"Medium","High"))</f>
        <v>Low</v>
      </c>
      <c r="U375" s="1" t="str">
        <f>VLOOKUP(Bike_Sharing_Master6[[#This Row],[Weathersit]],[1]Lookup_Weather!A:B,2,FALSE)</f>
        <v>Mist</v>
      </c>
    </row>
    <row r="376" spans="1:21" x14ac:dyDescent="0.3">
      <c r="A376">
        <v>375</v>
      </c>
      <c r="B376" s="3">
        <v>40560</v>
      </c>
      <c r="C376" s="1">
        <v>1</v>
      </c>
      <c r="D376" s="1">
        <v>0</v>
      </c>
      <c r="E376" s="1">
        <v>1</v>
      </c>
      <c r="F376" s="1">
        <v>2</v>
      </c>
      <c r="G376" t="b">
        <v>1</v>
      </c>
      <c r="H376" s="1">
        <v>1</v>
      </c>
      <c r="I376" s="1">
        <v>2</v>
      </c>
      <c r="J376" s="2">
        <v>0.18</v>
      </c>
      <c r="K376" s="2">
        <v>0.16669999999999999</v>
      </c>
      <c r="L376" s="2">
        <v>0.43</v>
      </c>
      <c r="M376" s="2">
        <v>0.25369999999999998</v>
      </c>
      <c r="N376" s="1">
        <v>0</v>
      </c>
      <c r="O376" s="1">
        <v>8</v>
      </c>
      <c r="P376" s="1">
        <v>8</v>
      </c>
      <c r="Q376" s="1" t="str">
        <f>IF(WEEKDAY(Bike_Sharing_Master6[[#This Row],[Dteday]],2)&gt;=6,"Weekend","Weekday")</f>
        <v>Weekday</v>
      </c>
      <c r="R376" s="1" t="str">
        <f xml:space="preserve"> IF(Bike_Sharing_Master6[[#This Row],[Hr]]&lt;6,"Late Night", IF(Bike_Sharing_Master6[[#This Row],[Hr]]&lt;10,"Morning Peak", IF(Bike_Sharing_Master6[[#This Row],[Hr]]&lt;17,"Daytime", IF(Bike_Sharing_Master6[[#This Row],[Hr]]&lt;21,"Evening Peak","Night"))))</f>
        <v>Late Night</v>
      </c>
      <c r="S376" s="1" t="str">
        <f>IF(Bike_Sharing_Master6[[#This Row],[Holiday]]=1,"Holiday","Non-Holiday")</f>
        <v>Non-Holiday</v>
      </c>
      <c r="T376" s="1" t="str">
        <f>IF(Bike_Sharing_Master6[[#This Row],[Cnt]]&lt;80,"Low",IF(Bike_Sharing_Master6[[#This Row],[Cnt]]&lt;160,"Medium","High"))</f>
        <v>Low</v>
      </c>
      <c r="U376" s="1" t="str">
        <f>VLOOKUP(Bike_Sharing_Master6[[#This Row],[Weathersit]],[1]Lookup_Weather!A:B,2,FALSE)</f>
        <v>Mist</v>
      </c>
    </row>
    <row r="377" spans="1:21" x14ac:dyDescent="0.3">
      <c r="A377">
        <v>376</v>
      </c>
      <c r="B377" s="3">
        <v>40560</v>
      </c>
      <c r="C377" s="1">
        <v>1</v>
      </c>
      <c r="D377" s="1">
        <v>0</v>
      </c>
      <c r="E377" s="1">
        <v>1</v>
      </c>
      <c r="F377" s="1">
        <v>3</v>
      </c>
      <c r="G377" t="b">
        <v>1</v>
      </c>
      <c r="H377" s="1">
        <v>1</v>
      </c>
      <c r="I377" s="1">
        <v>2</v>
      </c>
      <c r="J377" s="2">
        <v>0.18</v>
      </c>
      <c r="K377" s="2">
        <v>0.18179999999999999</v>
      </c>
      <c r="L377" s="2">
        <v>0.43</v>
      </c>
      <c r="M377" s="2">
        <v>0.19400000000000001</v>
      </c>
      <c r="N377" s="1">
        <v>0</v>
      </c>
      <c r="O377" s="1">
        <v>2</v>
      </c>
      <c r="P377" s="1">
        <v>2</v>
      </c>
      <c r="Q377" s="1" t="str">
        <f>IF(WEEKDAY(Bike_Sharing_Master6[[#This Row],[Dteday]],2)&gt;=6,"Weekend","Weekday")</f>
        <v>Weekday</v>
      </c>
      <c r="R377" s="1" t="str">
        <f xml:space="preserve"> IF(Bike_Sharing_Master6[[#This Row],[Hr]]&lt;6,"Late Night", IF(Bike_Sharing_Master6[[#This Row],[Hr]]&lt;10,"Morning Peak", IF(Bike_Sharing_Master6[[#This Row],[Hr]]&lt;17,"Daytime", IF(Bike_Sharing_Master6[[#This Row],[Hr]]&lt;21,"Evening Peak","Night"))))</f>
        <v>Late Night</v>
      </c>
      <c r="S377" s="1" t="str">
        <f>IF(Bike_Sharing_Master6[[#This Row],[Holiday]]=1,"Holiday","Non-Holiday")</f>
        <v>Non-Holiday</v>
      </c>
      <c r="T377" s="1" t="str">
        <f>IF(Bike_Sharing_Master6[[#This Row],[Cnt]]&lt;80,"Low",IF(Bike_Sharing_Master6[[#This Row],[Cnt]]&lt;160,"Medium","High"))</f>
        <v>Low</v>
      </c>
      <c r="U377" s="1" t="str">
        <f>VLOOKUP(Bike_Sharing_Master6[[#This Row],[Weathersit]],[1]Lookup_Weather!A:B,2,FALSE)</f>
        <v>Mist</v>
      </c>
    </row>
    <row r="378" spans="1:21" x14ac:dyDescent="0.3">
      <c r="A378">
        <v>377</v>
      </c>
      <c r="B378" s="3">
        <v>40560</v>
      </c>
      <c r="C378" s="1">
        <v>1</v>
      </c>
      <c r="D378" s="1">
        <v>0</v>
      </c>
      <c r="E378" s="1">
        <v>1</v>
      </c>
      <c r="F378" s="1">
        <v>4</v>
      </c>
      <c r="G378" t="b">
        <v>1</v>
      </c>
      <c r="H378" s="1">
        <v>1</v>
      </c>
      <c r="I378" s="1">
        <v>2</v>
      </c>
      <c r="J378" s="2">
        <v>0.18</v>
      </c>
      <c r="K378" s="2">
        <v>0.19700000000000001</v>
      </c>
      <c r="L378" s="2">
        <v>0.43</v>
      </c>
      <c r="M378" s="2">
        <v>0.1343</v>
      </c>
      <c r="N378" s="1">
        <v>1</v>
      </c>
      <c r="O378" s="1">
        <v>2</v>
      </c>
      <c r="P378" s="1">
        <v>3</v>
      </c>
      <c r="Q378" s="1" t="str">
        <f>IF(WEEKDAY(Bike_Sharing_Master6[[#This Row],[Dteday]],2)&gt;=6,"Weekend","Weekday")</f>
        <v>Weekday</v>
      </c>
      <c r="R378" s="1" t="str">
        <f xml:space="preserve"> IF(Bike_Sharing_Master6[[#This Row],[Hr]]&lt;6,"Late Night", IF(Bike_Sharing_Master6[[#This Row],[Hr]]&lt;10,"Morning Peak", IF(Bike_Sharing_Master6[[#This Row],[Hr]]&lt;17,"Daytime", IF(Bike_Sharing_Master6[[#This Row],[Hr]]&lt;21,"Evening Peak","Night"))))</f>
        <v>Late Night</v>
      </c>
      <c r="S378" s="1" t="str">
        <f>IF(Bike_Sharing_Master6[[#This Row],[Holiday]]=1,"Holiday","Non-Holiday")</f>
        <v>Non-Holiday</v>
      </c>
      <c r="T378" s="1" t="str">
        <f>IF(Bike_Sharing_Master6[[#This Row],[Cnt]]&lt;80,"Low",IF(Bike_Sharing_Master6[[#This Row],[Cnt]]&lt;160,"Medium","High"))</f>
        <v>Low</v>
      </c>
      <c r="U378" s="1" t="str">
        <f>VLOOKUP(Bike_Sharing_Master6[[#This Row],[Weathersit]],[1]Lookup_Weather!A:B,2,FALSE)</f>
        <v>Mist</v>
      </c>
    </row>
    <row r="379" spans="1:21" x14ac:dyDescent="0.3">
      <c r="A379">
        <v>378</v>
      </c>
      <c r="B379" s="3">
        <v>40560</v>
      </c>
      <c r="C379" s="1">
        <v>1</v>
      </c>
      <c r="D379" s="1">
        <v>0</v>
      </c>
      <c r="E379" s="1">
        <v>1</v>
      </c>
      <c r="F379" s="1">
        <v>5</v>
      </c>
      <c r="G379" t="b">
        <v>1</v>
      </c>
      <c r="H379" s="1">
        <v>1</v>
      </c>
      <c r="I379" s="1">
        <v>2</v>
      </c>
      <c r="J379" s="2">
        <v>0.18</v>
      </c>
      <c r="K379" s="2">
        <v>0.19700000000000001</v>
      </c>
      <c r="L379" s="2">
        <v>0.43</v>
      </c>
      <c r="M379" s="2">
        <v>0.16420000000000001</v>
      </c>
      <c r="N379" s="1">
        <v>0</v>
      </c>
      <c r="O379" s="1">
        <v>1</v>
      </c>
      <c r="P379" s="1">
        <v>1</v>
      </c>
      <c r="Q379" s="1" t="str">
        <f>IF(WEEKDAY(Bike_Sharing_Master6[[#This Row],[Dteday]],2)&gt;=6,"Weekend","Weekday")</f>
        <v>Weekday</v>
      </c>
      <c r="R379" s="1" t="str">
        <f xml:space="preserve"> IF(Bike_Sharing_Master6[[#This Row],[Hr]]&lt;6,"Late Night", IF(Bike_Sharing_Master6[[#This Row],[Hr]]&lt;10,"Morning Peak", IF(Bike_Sharing_Master6[[#This Row],[Hr]]&lt;17,"Daytime", IF(Bike_Sharing_Master6[[#This Row],[Hr]]&lt;21,"Evening Peak","Night"))))</f>
        <v>Late Night</v>
      </c>
      <c r="S379" s="1" t="str">
        <f>IF(Bike_Sharing_Master6[[#This Row],[Holiday]]=1,"Holiday","Non-Holiday")</f>
        <v>Non-Holiday</v>
      </c>
      <c r="T379" s="1" t="str">
        <f>IF(Bike_Sharing_Master6[[#This Row],[Cnt]]&lt;80,"Low",IF(Bike_Sharing_Master6[[#This Row],[Cnt]]&lt;160,"Medium","High"))</f>
        <v>Low</v>
      </c>
      <c r="U379" s="1" t="str">
        <f>VLOOKUP(Bike_Sharing_Master6[[#This Row],[Weathersit]],[1]Lookup_Weather!A:B,2,FALSE)</f>
        <v>Mist</v>
      </c>
    </row>
    <row r="380" spans="1:21" x14ac:dyDescent="0.3">
      <c r="A380">
        <v>379</v>
      </c>
      <c r="B380" s="3">
        <v>40560</v>
      </c>
      <c r="C380" s="1">
        <v>1</v>
      </c>
      <c r="D380" s="1">
        <v>0</v>
      </c>
      <c r="E380" s="1">
        <v>1</v>
      </c>
      <c r="F380" s="1">
        <v>6</v>
      </c>
      <c r="G380" t="b">
        <v>1</v>
      </c>
      <c r="H380" s="1">
        <v>1</v>
      </c>
      <c r="I380" s="1">
        <v>2</v>
      </c>
      <c r="J380" s="2">
        <v>0.18</v>
      </c>
      <c r="K380" s="2">
        <v>0.18179999999999999</v>
      </c>
      <c r="L380" s="2">
        <v>0.43</v>
      </c>
      <c r="M380" s="2">
        <v>0.19400000000000001</v>
      </c>
      <c r="N380" s="1">
        <v>0</v>
      </c>
      <c r="O380" s="1">
        <v>5</v>
      </c>
      <c r="P380" s="1">
        <v>5</v>
      </c>
      <c r="Q380" s="1" t="str">
        <f>IF(WEEKDAY(Bike_Sharing_Master6[[#This Row],[Dteday]],2)&gt;=6,"Weekend","Weekday")</f>
        <v>Weekday</v>
      </c>
      <c r="R380" s="1" t="str">
        <f xml:space="preserve"> IF(Bike_Sharing_Master6[[#This Row],[Hr]]&lt;6,"Late Night", IF(Bike_Sharing_Master6[[#This Row],[Hr]]&lt;10,"Morning Peak", IF(Bike_Sharing_Master6[[#This Row],[Hr]]&lt;17,"Daytime", IF(Bike_Sharing_Master6[[#This Row],[Hr]]&lt;21,"Evening Peak","Night"))))</f>
        <v>Morning Peak</v>
      </c>
      <c r="S380" s="1" t="str">
        <f>IF(Bike_Sharing_Master6[[#This Row],[Holiday]]=1,"Holiday","Non-Holiday")</f>
        <v>Non-Holiday</v>
      </c>
      <c r="T380" s="1" t="str">
        <f>IF(Bike_Sharing_Master6[[#This Row],[Cnt]]&lt;80,"Low",IF(Bike_Sharing_Master6[[#This Row],[Cnt]]&lt;160,"Medium","High"))</f>
        <v>Low</v>
      </c>
      <c r="U380" s="1" t="str">
        <f>VLOOKUP(Bike_Sharing_Master6[[#This Row],[Weathersit]],[1]Lookup_Weather!A:B,2,FALSE)</f>
        <v>Mist</v>
      </c>
    </row>
    <row r="381" spans="1:21" x14ac:dyDescent="0.3">
      <c r="A381">
        <v>380</v>
      </c>
      <c r="B381" s="3">
        <v>40560</v>
      </c>
      <c r="C381" s="1">
        <v>1</v>
      </c>
      <c r="D381" s="1">
        <v>0</v>
      </c>
      <c r="E381" s="1">
        <v>1</v>
      </c>
      <c r="F381" s="1">
        <v>7</v>
      </c>
      <c r="G381" t="b">
        <v>1</v>
      </c>
      <c r="H381" s="1">
        <v>1</v>
      </c>
      <c r="I381" s="1">
        <v>2</v>
      </c>
      <c r="J381" s="2">
        <v>0.16</v>
      </c>
      <c r="K381" s="2">
        <v>0.18179999999999999</v>
      </c>
      <c r="L381" s="2">
        <v>0.5</v>
      </c>
      <c r="M381" s="2">
        <v>0.1343</v>
      </c>
      <c r="N381" s="1">
        <v>4</v>
      </c>
      <c r="O381" s="1">
        <v>9</v>
      </c>
      <c r="P381" s="1">
        <v>13</v>
      </c>
      <c r="Q381" s="1" t="str">
        <f>IF(WEEKDAY(Bike_Sharing_Master6[[#This Row],[Dteday]],2)&gt;=6,"Weekend","Weekday")</f>
        <v>Weekday</v>
      </c>
      <c r="R381" s="1" t="str">
        <f xml:space="preserve"> IF(Bike_Sharing_Master6[[#This Row],[Hr]]&lt;6,"Late Night", IF(Bike_Sharing_Master6[[#This Row],[Hr]]&lt;10,"Morning Peak", IF(Bike_Sharing_Master6[[#This Row],[Hr]]&lt;17,"Daytime", IF(Bike_Sharing_Master6[[#This Row],[Hr]]&lt;21,"Evening Peak","Night"))))</f>
        <v>Morning Peak</v>
      </c>
      <c r="S381" s="1" t="str">
        <f>IF(Bike_Sharing_Master6[[#This Row],[Holiday]]=1,"Holiday","Non-Holiday")</f>
        <v>Non-Holiday</v>
      </c>
      <c r="T381" s="1" t="str">
        <f>IF(Bike_Sharing_Master6[[#This Row],[Cnt]]&lt;80,"Low",IF(Bike_Sharing_Master6[[#This Row],[Cnt]]&lt;160,"Medium","High"))</f>
        <v>Low</v>
      </c>
      <c r="U381" s="1" t="str">
        <f>VLOOKUP(Bike_Sharing_Master6[[#This Row],[Weathersit]],[1]Lookup_Weather!A:B,2,FALSE)</f>
        <v>Mist</v>
      </c>
    </row>
    <row r="382" spans="1:21" x14ac:dyDescent="0.3">
      <c r="A382">
        <v>381</v>
      </c>
      <c r="B382" s="3">
        <v>40560</v>
      </c>
      <c r="C382" s="1">
        <v>1</v>
      </c>
      <c r="D382" s="1">
        <v>0</v>
      </c>
      <c r="E382" s="1">
        <v>1</v>
      </c>
      <c r="F382" s="1">
        <v>8</v>
      </c>
      <c r="G382" t="b">
        <v>1</v>
      </c>
      <c r="H382" s="1">
        <v>1</v>
      </c>
      <c r="I382" s="1">
        <v>2</v>
      </c>
      <c r="J382" s="2">
        <v>0.16</v>
      </c>
      <c r="K382" s="2">
        <v>0.1515</v>
      </c>
      <c r="L382" s="2">
        <v>0.47</v>
      </c>
      <c r="M382" s="2">
        <v>0.22389999999999999</v>
      </c>
      <c r="N382" s="1">
        <v>3</v>
      </c>
      <c r="O382" s="1">
        <v>30</v>
      </c>
      <c r="P382" s="1">
        <v>33</v>
      </c>
      <c r="Q382" s="1" t="str">
        <f>IF(WEEKDAY(Bike_Sharing_Master6[[#This Row],[Dteday]],2)&gt;=6,"Weekend","Weekday")</f>
        <v>Weekday</v>
      </c>
      <c r="R382" s="1" t="str">
        <f xml:space="preserve"> IF(Bike_Sharing_Master6[[#This Row],[Hr]]&lt;6,"Late Night", IF(Bike_Sharing_Master6[[#This Row],[Hr]]&lt;10,"Morning Peak", IF(Bike_Sharing_Master6[[#This Row],[Hr]]&lt;17,"Daytime", IF(Bike_Sharing_Master6[[#This Row],[Hr]]&lt;21,"Evening Peak","Night"))))</f>
        <v>Morning Peak</v>
      </c>
      <c r="S382" s="1" t="str">
        <f>IF(Bike_Sharing_Master6[[#This Row],[Holiday]]=1,"Holiday","Non-Holiday")</f>
        <v>Non-Holiday</v>
      </c>
      <c r="T382" s="1" t="str">
        <f>IF(Bike_Sharing_Master6[[#This Row],[Cnt]]&lt;80,"Low",IF(Bike_Sharing_Master6[[#This Row],[Cnt]]&lt;160,"Medium","High"))</f>
        <v>Low</v>
      </c>
      <c r="U382" s="1" t="str">
        <f>VLOOKUP(Bike_Sharing_Master6[[#This Row],[Weathersit]],[1]Lookup_Weather!A:B,2,FALSE)</f>
        <v>Mist</v>
      </c>
    </row>
    <row r="383" spans="1:21" x14ac:dyDescent="0.3">
      <c r="A383">
        <v>382</v>
      </c>
      <c r="B383" s="3">
        <v>40560</v>
      </c>
      <c r="C383" s="1">
        <v>1</v>
      </c>
      <c r="D383" s="1">
        <v>0</v>
      </c>
      <c r="E383" s="1">
        <v>1</v>
      </c>
      <c r="F383" s="1">
        <v>9</v>
      </c>
      <c r="G383" t="b">
        <v>1</v>
      </c>
      <c r="H383" s="1">
        <v>1</v>
      </c>
      <c r="I383" s="1">
        <v>2</v>
      </c>
      <c r="J383" s="2">
        <v>0.16</v>
      </c>
      <c r="K383" s="2">
        <v>0.1515</v>
      </c>
      <c r="L383" s="2">
        <v>0.47</v>
      </c>
      <c r="M383" s="2">
        <v>0.22389999999999999</v>
      </c>
      <c r="N383" s="1">
        <v>8</v>
      </c>
      <c r="O383" s="1">
        <v>39</v>
      </c>
      <c r="P383" s="1">
        <v>47</v>
      </c>
      <c r="Q383" s="1" t="str">
        <f>IF(WEEKDAY(Bike_Sharing_Master6[[#This Row],[Dteday]],2)&gt;=6,"Weekend","Weekday")</f>
        <v>Weekday</v>
      </c>
      <c r="R383" s="1" t="str">
        <f xml:space="preserve"> IF(Bike_Sharing_Master6[[#This Row],[Hr]]&lt;6,"Late Night", IF(Bike_Sharing_Master6[[#This Row],[Hr]]&lt;10,"Morning Peak", IF(Bike_Sharing_Master6[[#This Row],[Hr]]&lt;17,"Daytime", IF(Bike_Sharing_Master6[[#This Row],[Hr]]&lt;21,"Evening Peak","Night"))))</f>
        <v>Morning Peak</v>
      </c>
      <c r="S383" s="1" t="str">
        <f>IF(Bike_Sharing_Master6[[#This Row],[Holiday]]=1,"Holiday","Non-Holiday")</f>
        <v>Non-Holiday</v>
      </c>
      <c r="T383" s="1" t="str">
        <f>IF(Bike_Sharing_Master6[[#This Row],[Cnt]]&lt;80,"Low",IF(Bike_Sharing_Master6[[#This Row],[Cnt]]&lt;160,"Medium","High"))</f>
        <v>Low</v>
      </c>
      <c r="U383" s="1" t="str">
        <f>VLOOKUP(Bike_Sharing_Master6[[#This Row],[Weathersit]],[1]Lookup_Weather!A:B,2,FALSE)</f>
        <v>Mist</v>
      </c>
    </row>
    <row r="384" spans="1:21" x14ac:dyDescent="0.3">
      <c r="A384">
        <v>383</v>
      </c>
      <c r="B384" s="3">
        <v>40560</v>
      </c>
      <c r="C384" s="1">
        <v>1</v>
      </c>
      <c r="D384" s="1">
        <v>0</v>
      </c>
      <c r="E384" s="1">
        <v>1</v>
      </c>
      <c r="F384" s="1">
        <v>10</v>
      </c>
      <c r="G384" t="b">
        <v>1</v>
      </c>
      <c r="H384" s="1">
        <v>1</v>
      </c>
      <c r="I384" s="1">
        <v>2</v>
      </c>
      <c r="J384" s="2">
        <v>0.16</v>
      </c>
      <c r="K384" s="2">
        <v>0.1515</v>
      </c>
      <c r="L384" s="2">
        <v>0.5</v>
      </c>
      <c r="M384" s="2">
        <v>0.25369999999999998</v>
      </c>
      <c r="N384" s="1">
        <v>7</v>
      </c>
      <c r="O384" s="1">
        <v>50</v>
      </c>
      <c r="P384" s="1">
        <v>57</v>
      </c>
      <c r="Q384" s="1" t="str">
        <f>IF(WEEKDAY(Bike_Sharing_Master6[[#This Row],[Dteday]],2)&gt;=6,"Weekend","Weekday")</f>
        <v>Weekday</v>
      </c>
      <c r="R384" s="1" t="str">
        <f xml:space="preserve"> IF(Bike_Sharing_Master6[[#This Row],[Hr]]&lt;6,"Late Night", IF(Bike_Sharing_Master6[[#This Row],[Hr]]&lt;10,"Morning Peak", IF(Bike_Sharing_Master6[[#This Row],[Hr]]&lt;17,"Daytime", IF(Bike_Sharing_Master6[[#This Row],[Hr]]&lt;21,"Evening Peak","Night"))))</f>
        <v>Daytime</v>
      </c>
      <c r="S384" s="1" t="str">
        <f>IF(Bike_Sharing_Master6[[#This Row],[Holiday]]=1,"Holiday","Non-Holiday")</f>
        <v>Non-Holiday</v>
      </c>
      <c r="T384" s="1" t="str">
        <f>IF(Bike_Sharing_Master6[[#This Row],[Cnt]]&lt;80,"Low",IF(Bike_Sharing_Master6[[#This Row],[Cnt]]&lt;160,"Medium","High"))</f>
        <v>Low</v>
      </c>
      <c r="U384" s="1" t="str">
        <f>VLOOKUP(Bike_Sharing_Master6[[#This Row],[Weathersit]],[1]Lookup_Weather!A:B,2,FALSE)</f>
        <v>Mist</v>
      </c>
    </row>
    <row r="385" spans="1:21" x14ac:dyDescent="0.3">
      <c r="A385">
        <v>384</v>
      </c>
      <c r="B385" s="3">
        <v>40560</v>
      </c>
      <c r="C385" s="1">
        <v>1</v>
      </c>
      <c r="D385" s="1">
        <v>0</v>
      </c>
      <c r="E385" s="1">
        <v>1</v>
      </c>
      <c r="F385" s="1">
        <v>11</v>
      </c>
      <c r="G385" t="b">
        <v>1</v>
      </c>
      <c r="H385" s="1">
        <v>1</v>
      </c>
      <c r="I385" s="1">
        <v>2</v>
      </c>
      <c r="J385" s="2">
        <v>0.16</v>
      </c>
      <c r="K385" s="2">
        <v>0.1515</v>
      </c>
      <c r="L385" s="2">
        <v>0.55000000000000004</v>
      </c>
      <c r="M385" s="2">
        <v>0.19400000000000001</v>
      </c>
      <c r="N385" s="1">
        <v>9</v>
      </c>
      <c r="O385" s="1">
        <v>55</v>
      </c>
      <c r="P385" s="1">
        <v>64</v>
      </c>
      <c r="Q385" s="1" t="str">
        <f>IF(WEEKDAY(Bike_Sharing_Master6[[#This Row],[Dteday]],2)&gt;=6,"Weekend","Weekday")</f>
        <v>Weekday</v>
      </c>
      <c r="R385" s="1" t="str">
        <f xml:space="preserve"> IF(Bike_Sharing_Master6[[#This Row],[Hr]]&lt;6,"Late Night", IF(Bike_Sharing_Master6[[#This Row],[Hr]]&lt;10,"Morning Peak", IF(Bike_Sharing_Master6[[#This Row],[Hr]]&lt;17,"Daytime", IF(Bike_Sharing_Master6[[#This Row],[Hr]]&lt;21,"Evening Peak","Night"))))</f>
        <v>Daytime</v>
      </c>
      <c r="S385" s="1" t="str">
        <f>IF(Bike_Sharing_Master6[[#This Row],[Holiday]]=1,"Holiday","Non-Holiday")</f>
        <v>Non-Holiday</v>
      </c>
      <c r="T385" s="1" t="str">
        <f>IF(Bike_Sharing_Master6[[#This Row],[Cnt]]&lt;80,"Low",IF(Bike_Sharing_Master6[[#This Row],[Cnt]]&lt;160,"Medium","High"))</f>
        <v>Low</v>
      </c>
      <c r="U385" s="1" t="str">
        <f>VLOOKUP(Bike_Sharing_Master6[[#This Row],[Weathersit]],[1]Lookup_Weather!A:B,2,FALSE)</f>
        <v>Mist</v>
      </c>
    </row>
    <row r="386" spans="1:21" x14ac:dyDescent="0.3">
      <c r="A386">
        <v>385</v>
      </c>
      <c r="B386" s="3">
        <v>40560</v>
      </c>
      <c r="C386" s="1">
        <v>1</v>
      </c>
      <c r="D386" s="1">
        <v>0</v>
      </c>
      <c r="E386" s="1">
        <v>1</v>
      </c>
      <c r="F386" s="1">
        <v>12</v>
      </c>
      <c r="G386" t="b">
        <v>1</v>
      </c>
      <c r="H386" s="1">
        <v>1</v>
      </c>
      <c r="I386" s="1">
        <v>2</v>
      </c>
      <c r="J386" s="2">
        <v>0.18</v>
      </c>
      <c r="K386" s="2">
        <v>0.19700000000000001</v>
      </c>
      <c r="L386" s="2">
        <v>0.47</v>
      </c>
      <c r="M386" s="2">
        <v>0.1343</v>
      </c>
      <c r="N386" s="1">
        <v>10</v>
      </c>
      <c r="O386" s="1">
        <v>70</v>
      </c>
      <c r="P386" s="1">
        <v>80</v>
      </c>
      <c r="Q386" s="1" t="str">
        <f>IF(WEEKDAY(Bike_Sharing_Master6[[#This Row],[Dteday]],2)&gt;=6,"Weekend","Weekday")</f>
        <v>Weekday</v>
      </c>
      <c r="R386" s="1" t="str">
        <f xml:space="preserve"> IF(Bike_Sharing_Master6[[#This Row],[Hr]]&lt;6,"Late Night", IF(Bike_Sharing_Master6[[#This Row],[Hr]]&lt;10,"Morning Peak", IF(Bike_Sharing_Master6[[#This Row],[Hr]]&lt;17,"Daytime", IF(Bike_Sharing_Master6[[#This Row],[Hr]]&lt;21,"Evening Peak","Night"))))</f>
        <v>Daytime</v>
      </c>
      <c r="S386" s="1" t="str">
        <f>IF(Bike_Sharing_Master6[[#This Row],[Holiday]]=1,"Holiday","Non-Holiday")</f>
        <v>Non-Holiday</v>
      </c>
      <c r="T386" s="1" t="str">
        <f>IF(Bike_Sharing_Master6[[#This Row],[Cnt]]&lt;80,"Low",IF(Bike_Sharing_Master6[[#This Row],[Cnt]]&lt;160,"Medium","High"))</f>
        <v>Medium</v>
      </c>
      <c r="U386" s="1" t="str">
        <f>VLOOKUP(Bike_Sharing_Master6[[#This Row],[Weathersit]],[1]Lookup_Weather!A:B,2,FALSE)</f>
        <v>Mist</v>
      </c>
    </row>
    <row r="387" spans="1:21" x14ac:dyDescent="0.3">
      <c r="A387">
        <v>386</v>
      </c>
      <c r="B387" s="3">
        <v>40560</v>
      </c>
      <c r="C387" s="1">
        <v>1</v>
      </c>
      <c r="D387" s="1">
        <v>0</v>
      </c>
      <c r="E387" s="1">
        <v>1</v>
      </c>
      <c r="F387" s="1">
        <v>13</v>
      </c>
      <c r="G387" t="b">
        <v>1</v>
      </c>
      <c r="H387" s="1">
        <v>1</v>
      </c>
      <c r="I387" s="1">
        <v>2</v>
      </c>
      <c r="J387" s="2">
        <v>0.18</v>
      </c>
      <c r="K387" s="2">
        <v>0.19700000000000001</v>
      </c>
      <c r="L387" s="2">
        <v>0.47</v>
      </c>
      <c r="M387" s="2">
        <v>0.1343</v>
      </c>
      <c r="N387" s="1">
        <v>13</v>
      </c>
      <c r="O387" s="1">
        <v>80</v>
      </c>
      <c r="P387" s="1">
        <v>93</v>
      </c>
      <c r="Q387" s="1" t="str">
        <f>IF(WEEKDAY(Bike_Sharing_Master6[[#This Row],[Dteday]],2)&gt;=6,"Weekend","Weekday")</f>
        <v>Weekday</v>
      </c>
      <c r="R387" s="1" t="str">
        <f xml:space="preserve"> IF(Bike_Sharing_Master6[[#This Row],[Hr]]&lt;6,"Late Night", IF(Bike_Sharing_Master6[[#This Row],[Hr]]&lt;10,"Morning Peak", IF(Bike_Sharing_Master6[[#This Row],[Hr]]&lt;17,"Daytime", IF(Bike_Sharing_Master6[[#This Row],[Hr]]&lt;21,"Evening Peak","Night"))))</f>
        <v>Daytime</v>
      </c>
      <c r="S387" s="1" t="str">
        <f>IF(Bike_Sharing_Master6[[#This Row],[Holiday]]=1,"Holiday","Non-Holiday")</f>
        <v>Non-Holiday</v>
      </c>
      <c r="T387" s="1" t="str">
        <f>IF(Bike_Sharing_Master6[[#This Row],[Cnt]]&lt;80,"Low",IF(Bike_Sharing_Master6[[#This Row],[Cnt]]&lt;160,"Medium","High"))</f>
        <v>Medium</v>
      </c>
      <c r="U387" s="1" t="str">
        <f>VLOOKUP(Bike_Sharing_Master6[[#This Row],[Weathersit]],[1]Lookup_Weather!A:B,2,FALSE)</f>
        <v>Mist</v>
      </c>
    </row>
    <row r="388" spans="1:21" x14ac:dyDescent="0.3">
      <c r="A388">
        <v>387</v>
      </c>
      <c r="B388" s="3">
        <v>40560</v>
      </c>
      <c r="C388" s="1">
        <v>1</v>
      </c>
      <c r="D388" s="1">
        <v>0</v>
      </c>
      <c r="E388" s="1">
        <v>1</v>
      </c>
      <c r="F388" s="1">
        <v>14</v>
      </c>
      <c r="G388" t="b">
        <v>1</v>
      </c>
      <c r="H388" s="1">
        <v>1</v>
      </c>
      <c r="I388" s="1">
        <v>2</v>
      </c>
      <c r="J388" s="2">
        <v>0.18</v>
      </c>
      <c r="K388" s="2">
        <v>0.21210000000000001</v>
      </c>
      <c r="L388" s="2">
        <v>0.43</v>
      </c>
      <c r="M388" s="2">
        <v>0.1045</v>
      </c>
      <c r="N388" s="1">
        <v>12</v>
      </c>
      <c r="O388" s="1">
        <v>74</v>
      </c>
      <c r="P388" s="1">
        <v>86</v>
      </c>
      <c r="Q388" s="1" t="str">
        <f>IF(WEEKDAY(Bike_Sharing_Master6[[#This Row],[Dteday]],2)&gt;=6,"Weekend","Weekday")</f>
        <v>Weekday</v>
      </c>
      <c r="R388" s="1" t="str">
        <f xml:space="preserve"> IF(Bike_Sharing_Master6[[#This Row],[Hr]]&lt;6,"Late Night", IF(Bike_Sharing_Master6[[#This Row],[Hr]]&lt;10,"Morning Peak", IF(Bike_Sharing_Master6[[#This Row],[Hr]]&lt;17,"Daytime", IF(Bike_Sharing_Master6[[#This Row],[Hr]]&lt;21,"Evening Peak","Night"))))</f>
        <v>Daytime</v>
      </c>
      <c r="S388" s="1" t="str">
        <f>IF(Bike_Sharing_Master6[[#This Row],[Holiday]]=1,"Holiday","Non-Holiday")</f>
        <v>Non-Holiday</v>
      </c>
      <c r="T388" s="1" t="str">
        <f>IF(Bike_Sharing_Master6[[#This Row],[Cnt]]&lt;80,"Low",IF(Bike_Sharing_Master6[[#This Row],[Cnt]]&lt;160,"Medium","High"))</f>
        <v>Medium</v>
      </c>
      <c r="U388" s="1" t="str">
        <f>VLOOKUP(Bike_Sharing_Master6[[#This Row],[Weathersit]],[1]Lookup_Weather!A:B,2,FALSE)</f>
        <v>Mist</v>
      </c>
    </row>
    <row r="389" spans="1:21" x14ac:dyDescent="0.3">
      <c r="A389">
        <v>388</v>
      </c>
      <c r="B389" s="3">
        <v>40560</v>
      </c>
      <c r="C389" s="1">
        <v>1</v>
      </c>
      <c r="D389" s="1">
        <v>0</v>
      </c>
      <c r="E389" s="1">
        <v>1</v>
      </c>
      <c r="F389" s="1">
        <v>15</v>
      </c>
      <c r="G389" t="b">
        <v>1</v>
      </c>
      <c r="H389" s="1">
        <v>1</v>
      </c>
      <c r="I389" s="1">
        <v>2</v>
      </c>
      <c r="J389" s="2">
        <v>0.2</v>
      </c>
      <c r="K389" s="2">
        <v>0.21210000000000001</v>
      </c>
      <c r="L389" s="2">
        <v>0.47</v>
      </c>
      <c r="M389" s="2">
        <v>0.16420000000000001</v>
      </c>
      <c r="N389" s="1">
        <v>21</v>
      </c>
      <c r="O389" s="1">
        <v>72</v>
      </c>
      <c r="P389" s="1">
        <v>93</v>
      </c>
      <c r="Q389" s="1" t="str">
        <f>IF(WEEKDAY(Bike_Sharing_Master6[[#This Row],[Dteday]],2)&gt;=6,"Weekend","Weekday")</f>
        <v>Weekday</v>
      </c>
      <c r="R389" s="1" t="str">
        <f xml:space="preserve"> IF(Bike_Sharing_Master6[[#This Row],[Hr]]&lt;6,"Late Night", IF(Bike_Sharing_Master6[[#This Row],[Hr]]&lt;10,"Morning Peak", IF(Bike_Sharing_Master6[[#This Row],[Hr]]&lt;17,"Daytime", IF(Bike_Sharing_Master6[[#This Row],[Hr]]&lt;21,"Evening Peak","Night"))))</f>
        <v>Daytime</v>
      </c>
      <c r="S389" s="1" t="str">
        <f>IF(Bike_Sharing_Master6[[#This Row],[Holiday]]=1,"Holiday","Non-Holiday")</f>
        <v>Non-Holiday</v>
      </c>
      <c r="T389" s="1" t="str">
        <f>IF(Bike_Sharing_Master6[[#This Row],[Cnt]]&lt;80,"Low",IF(Bike_Sharing_Master6[[#This Row],[Cnt]]&lt;160,"Medium","High"))</f>
        <v>Medium</v>
      </c>
      <c r="U389" s="1" t="str">
        <f>VLOOKUP(Bike_Sharing_Master6[[#This Row],[Weathersit]],[1]Lookup_Weather!A:B,2,FALSE)</f>
        <v>Mist</v>
      </c>
    </row>
    <row r="390" spans="1:21" x14ac:dyDescent="0.3">
      <c r="A390">
        <v>389</v>
      </c>
      <c r="B390" s="3">
        <v>40560</v>
      </c>
      <c r="C390" s="1">
        <v>1</v>
      </c>
      <c r="D390" s="1">
        <v>0</v>
      </c>
      <c r="E390" s="1">
        <v>1</v>
      </c>
      <c r="F390" s="1">
        <v>16</v>
      </c>
      <c r="G390" t="b">
        <v>1</v>
      </c>
      <c r="H390" s="1">
        <v>1</v>
      </c>
      <c r="I390" s="1">
        <v>2</v>
      </c>
      <c r="J390" s="2">
        <v>0.2</v>
      </c>
      <c r="K390" s="2">
        <v>0.21210000000000001</v>
      </c>
      <c r="L390" s="2">
        <v>0.47</v>
      </c>
      <c r="M390" s="2">
        <v>0.16420000000000001</v>
      </c>
      <c r="N390" s="1">
        <v>6</v>
      </c>
      <c r="O390" s="1">
        <v>76</v>
      </c>
      <c r="P390" s="1">
        <v>82</v>
      </c>
      <c r="Q390" s="1" t="str">
        <f>IF(WEEKDAY(Bike_Sharing_Master6[[#This Row],[Dteday]],2)&gt;=6,"Weekend","Weekday")</f>
        <v>Weekday</v>
      </c>
      <c r="R390" s="1" t="str">
        <f xml:space="preserve"> IF(Bike_Sharing_Master6[[#This Row],[Hr]]&lt;6,"Late Night", IF(Bike_Sharing_Master6[[#This Row],[Hr]]&lt;10,"Morning Peak", IF(Bike_Sharing_Master6[[#This Row],[Hr]]&lt;17,"Daytime", IF(Bike_Sharing_Master6[[#This Row],[Hr]]&lt;21,"Evening Peak","Night"))))</f>
        <v>Daytime</v>
      </c>
      <c r="S390" s="1" t="str">
        <f>IF(Bike_Sharing_Master6[[#This Row],[Holiday]]=1,"Holiday","Non-Holiday")</f>
        <v>Non-Holiday</v>
      </c>
      <c r="T390" s="1" t="str">
        <f>IF(Bike_Sharing_Master6[[#This Row],[Cnt]]&lt;80,"Low",IF(Bike_Sharing_Master6[[#This Row],[Cnt]]&lt;160,"Medium","High"))</f>
        <v>Medium</v>
      </c>
      <c r="U390" s="1" t="str">
        <f>VLOOKUP(Bike_Sharing_Master6[[#This Row],[Weathersit]],[1]Lookup_Weather!A:B,2,FALSE)</f>
        <v>Mist</v>
      </c>
    </row>
    <row r="391" spans="1:21" x14ac:dyDescent="0.3">
      <c r="A391">
        <v>390</v>
      </c>
      <c r="B391" s="3">
        <v>40560</v>
      </c>
      <c r="C391" s="1">
        <v>1</v>
      </c>
      <c r="D391" s="1">
        <v>0</v>
      </c>
      <c r="E391" s="1">
        <v>1</v>
      </c>
      <c r="F391" s="1">
        <v>17</v>
      </c>
      <c r="G391" t="b">
        <v>1</v>
      </c>
      <c r="H391" s="1">
        <v>1</v>
      </c>
      <c r="I391" s="1">
        <v>1</v>
      </c>
      <c r="J391" s="2">
        <v>0.2</v>
      </c>
      <c r="K391" s="2">
        <v>0.19700000000000001</v>
      </c>
      <c r="L391" s="2">
        <v>0.51</v>
      </c>
      <c r="M391" s="2">
        <v>0.19400000000000001</v>
      </c>
      <c r="N391" s="1">
        <v>4</v>
      </c>
      <c r="O391" s="1">
        <v>67</v>
      </c>
      <c r="P391" s="1">
        <v>71</v>
      </c>
      <c r="Q391" s="1" t="str">
        <f>IF(WEEKDAY(Bike_Sharing_Master6[[#This Row],[Dteday]],2)&gt;=6,"Weekend","Weekday")</f>
        <v>Weekday</v>
      </c>
      <c r="R391" s="1" t="str">
        <f xml:space="preserve"> IF(Bike_Sharing_Master6[[#This Row],[Hr]]&lt;6,"Late Night", IF(Bike_Sharing_Master6[[#This Row],[Hr]]&lt;10,"Morning Peak", IF(Bike_Sharing_Master6[[#This Row],[Hr]]&lt;17,"Daytime", IF(Bike_Sharing_Master6[[#This Row],[Hr]]&lt;21,"Evening Peak","Night"))))</f>
        <v>Evening Peak</v>
      </c>
      <c r="S391" s="1" t="str">
        <f>IF(Bike_Sharing_Master6[[#This Row],[Holiday]]=1,"Holiday","Non-Holiday")</f>
        <v>Non-Holiday</v>
      </c>
      <c r="T391" s="1" t="str">
        <f>IF(Bike_Sharing_Master6[[#This Row],[Cnt]]&lt;80,"Low",IF(Bike_Sharing_Master6[[#This Row],[Cnt]]&lt;160,"Medium","High"))</f>
        <v>Low</v>
      </c>
      <c r="U391" s="1" t="str">
        <f>VLOOKUP(Bike_Sharing_Master6[[#This Row],[Weathersit]],[1]Lookup_Weather!A:B,2,FALSE)</f>
        <v>Clear</v>
      </c>
    </row>
    <row r="392" spans="1:21" x14ac:dyDescent="0.3">
      <c r="A392">
        <v>391</v>
      </c>
      <c r="B392" s="3">
        <v>40560</v>
      </c>
      <c r="C392" s="1">
        <v>1</v>
      </c>
      <c r="D392" s="1">
        <v>0</v>
      </c>
      <c r="E392" s="1">
        <v>1</v>
      </c>
      <c r="F392" s="1">
        <v>18</v>
      </c>
      <c r="G392" t="b">
        <v>1</v>
      </c>
      <c r="H392" s="1">
        <v>1</v>
      </c>
      <c r="I392" s="1">
        <v>2</v>
      </c>
      <c r="J392" s="2">
        <v>0.18</v>
      </c>
      <c r="K392" s="2">
        <v>0.16669999999999999</v>
      </c>
      <c r="L392" s="2">
        <v>0.55000000000000004</v>
      </c>
      <c r="M392" s="2">
        <v>0.25369999999999998</v>
      </c>
      <c r="N392" s="1">
        <v>7</v>
      </c>
      <c r="O392" s="1">
        <v>85</v>
      </c>
      <c r="P392" s="1">
        <v>92</v>
      </c>
      <c r="Q392" s="1" t="str">
        <f>IF(WEEKDAY(Bike_Sharing_Master6[[#This Row],[Dteday]],2)&gt;=6,"Weekend","Weekday")</f>
        <v>Weekday</v>
      </c>
      <c r="R392" s="1" t="str">
        <f xml:space="preserve"> IF(Bike_Sharing_Master6[[#This Row],[Hr]]&lt;6,"Late Night", IF(Bike_Sharing_Master6[[#This Row],[Hr]]&lt;10,"Morning Peak", IF(Bike_Sharing_Master6[[#This Row],[Hr]]&lt;17,"Daytime", IF(Bike_Sharing_Master6[[#This Row],[Hr]]&lt;21,"Evening Peak","Night"))))</f>
        <v>Evening Peak</v>
      </c>
      <c r="S392" s="1" t="str">
        <f>IF(Bike_Sharing_Master6[[#This Row],[Holiday]]=1,"Holiday","Non-Holiday")</f>
        <v>Non-Holiday</v>
      </c>
      <c r="T392" s="1" t="str">
        <f>IF(Bike_Sharing_Master6[[#This Row],[Cnt]]&lt;80,"Low",IF(Bike_Sharing_Master6[[#This Row],[Cnt]]&lt;160,"Medium","High"))</f>
        <v>Medium</v>
      </c>
      <c r="U392" s="1" t="str">
        <f>VLOOKUP(Bike_Sharing_Master6[[#This Row],[Weathersit]],[1]Lookup_Weather!A:B,2,FALSE)</f>
        <v>Mist</v>
      </c>
    </row>
    <row r="393" spans="1:21" x14ac:dyDescent="0.3">
      <c r="A393">
        <v>392</v>
      </c>
      <c r="B393" s="3">
        <v>40560</v>
      </c>
      <c r="C393" s="1">
        <v>1</v>
      </c>
      <c r="D393" s="1">
        <v>0</v>
      </c>
      <c r="E393" s="1">
        <v>1</v>
      </c>
      <c r="F393" s="1">
        <v>19</v>
      </c>
      <c r="G393" t="b">
        <v>1</v>
      </c>
      <c r="H393" s="1">
        <v>1</v>
      </c>
      <c r="I393" s="1">
        <v>3</v>
      </c>
      <c r="J393" s="2">
        <v>0.18</v>
      </c>
      <c r="K393" s="2">
        <v>0.18179999999999999</v>
      </c>
      <c r="L393" s="2">
        <v>0.59</v>
      </c>
      <c r="M393" s="2">
        <v>0.19400000000000001</v>
      </c>
      <c r="N393" s="1">
        <v>2</v>
      </c>
      <c r="O393" s="1">
        <v>58</v>
      </c>
      <c r="P393" s="1">
        <v>60</v>
      </c>
      <c r="Q393" s="1" t="str">
        <f>IF(WEEKDAY(Bike_Sharing_Master6[[#This Row],[Dteday]],2)&gt;=6,"Weekend","Weekday")</f>
        <v>Weekday</v>
      </c>
      <c r="R393" s="1" t="str">
        <f xml:space="preserve"> IF(Bike_Sharing_Master6[[#This Row],[Hr]]&lt;6,"Late Night", IF(Bike_Sharing_Master6[[#This Row],[Hr]]&lt;10,"Morning Peak", IF(Bike_Sharing_Master6[[#This Row],[Hr]]&lt;17,"Daytime", IF(Bike_Sharing_Master6[[#This Row],[Hr]]&lt;21,"Evening Peak","Night"))))</f>
        <v>Evening Peak</v>
      </c>
      <c r="S393" s="1" t="str">
        <f>IF(Bike_Sharing_Master6[[#This Row],[Holiday]]=1,"Holiday","Non-Holiday")</f>
        <v>Non-Holiday</v>
      </c>
      <c r="T393" s="1" t="str">
        <f>IF(Bike_Sharing_Master6[[#This Row],[Cnt]]&lt;80,"Low",IF(Bike_Sharing_Master6[[#This Row],[Cnt]]&lt;160,"Medium","High"))</f>
        <v>Low</v>
      </c>
      <c r="U393" s="1" t="str">
        <f>VLOOKUP(Bike_Sharing_Master6[[#This Row],[Weathersit]],[1]Lookup_Weather!A:B,2,FALSE)</f>
        <v>Light Rain</v>
      </c>
    </row>
    <row r="394" spans="1:21" x14ac:dyDescent="0.3">
      <c r="A394">
        <v>393</v>
      </c>
      <c r="B394" s="3">
        <v>40560</v>
      </c>
      <c r="C394" s="1">
        <v>1</v>
      </c>
      <c r="D394" s="1">
        <v>0</v>
      </c>
      <c r="E394" s="1">
        <v>1</v>
      </c>
      <c r="F394" s="1">
        <v>20</v>
      </c>
      <c r="G394" t="b">
        <v>1</v>
      </c>
      <c r="H394" s="1">
        <v>1</v>
      </c>
      <c r="I394" s="1">
        <v>3</v>
      </c>
      <c r="J394" s="2">
        <v>0.16</v>
      </c>
      <c r="K394" s="2">
        <v>0.1515</v>
      </c>
      <c r="L394" s="2">
        <v>0.8</v>
      </c>
      <c r="M394" s="2">
        <v>0.19400000000000001</v>
      </c>
      <c r="N394" s="1">
        <v>4</v>
      </c>
      <c r="O394" s="1">
        <v>29</v>
      </c>
      <c r="P394" s="1">
        <v>33</v>
      </c>
      <c r="Q394" s="1" t="str">
        <f>IF(WEEKDAY(Bike_Sharing_Master6[[#This Row],[Dteday]],2)&gt;=6,"Weekend","Weekday")</f>
        <v>Weekday</v>
      </c>
      <c r="R394" s="1" t="str">
        <f xml:space="preserve"> IF(Bike_Sharing_Master6[[#This Row],[Hr]]&lt;6,"Late Night", IF(Bike_Sharing_Master6[[#This Row],[Hr]]&lt;10,"Morning Peak", IF(Bike_Sharing_Master6[[#This Row],[Hr]]&lt;17,"Daytime", IF(Bike_Sharing_Master6[[#This Row],[Hr]]&lt;21,"Evening Peak","Night"))))</f>
        <v>Evening Peak</v>
      </c>
      <c r="S394" s="1" t="str">
        <f>IF(Bike_Sharing_Master6[[#This Row],[Holiday]]=1,"Holiday","Non-Holiday")</f>
        <v>Non-Holiday</v>
      </c>
      <c r="T394" s="1" t="str">
        <f>IF(Bike_Sharing_Master6[[#This Row],[Cnt]]&lt;80,"Low",IF(Bike_Sharing_Master6[[#This Row],[Cnt]]&lt;160,"Medium","High"))</f>
        <v>Low</v>
      </c>
      <c r="U394" s="1" t="str">
        <f>VLOOKUP(Bike_Sharing_Master6[[#This Row],[Weathersit]],[1]Lookup_Weather!A:B,2,FALSE)</f>
        <v>Light Rain</v>
      </c>
    </row>
    <row r="395" spans="1:21" x14ac:dyDescent="0.3">
      <c r="A395">
        <v>394</v>
      </c>
      <c r="B395" s="3">
        <v>40560</v>
      </c>
      <c r="C395" s="1">
        <v>1</v>
      </c>
      <c r="D395" s="1">
        <v>0</v>
      </c>
      <c r="E395" s="1">
        <v>1</v>
      </c>
      <c r="F395" s="1">
        <v>21</v>
      </c>
      <c r="G395" t="b">
        <v>1</v>
      </c>
      <c r="H395" s="1">
        <v>1</v>
      </c>
      <c r="I395" s="1">
        <v>3</v>
      </c>
      <c r="J395" s="2">
        <v>0.16</v>
      </c>
      <c r="K395" s="2">
        <v>0.1515</v>
      </c>
      <c r="L395" s="2">
        <v>0.8</v>
      </c>
      <c r="M395" s="2">
        <v>0.19400000000000001</v>
      </c>
      <c r="N395" s="1">
        <v>3</v>
      </c>
      <c r="O395" s="1">
        <v>24</v>
      </c>
      <c r="P395" s="1">
        <v>27</v>
      </c>
      <c r="Q395" s="1" t="str">
        <f>IF(WEEKDAY(Bike_Sharing_Master6[[#This Row],[Dteday]],2)&gt;=6,"Weekend","Weekday")</f>
        <v>Weekday</v>
      </c>
      <c r="R395" s="1" t="str">
        <f xml:space="preserve"> IF(Bike_Sharing_Master6[[#This Row],[Hr]]&lt;6,"Late Night", IF(Bike_Sharing_Master6[[#This Row],[Hr]]&lt;10,"Morning Peak", IF(Bike_Sharing_Master6[[#This Row],[Hr]]&lt;17,"Daytime", IF(Bike_Sharing_Master6[[#This Row],[Hr]]&lt;21,"Evening Peak","Night"))))</f>
        <v>Night</v>
      </c>
      <c r="S395" s="1" t="str">
        <f>IF(Bike_Sharing_Master6[[#This Row],[Holiday]]=1,"Holiday","Non-Holiday")</f>
        <v>Non-Holiday</v>
      </c>
      <c r="T395" s="1" t="str">
        <f>IF(Bike_Sharing_Master6[[#This Row],[Cnt]]&lt;80,"Low",IF(Bike_Sharing_Master6[[#This Row],[Cnt]]&lt;160,"Medium","High"))</f>
        <v>Low</v>
      </c>
      <c r="U395" s="1" t="str">
        <f>VLOOKUP(Bike_Sharing_Master6[[#This Row],[Weathersit]],[1]Lookup_Weather!A:B,2,FALSE)</f>
        <v>Light Rain</v>
      </c>
    </row>
    <row r="396" spans="1:21" x14ac:dyDescent="0.3">
      <c r="A396">
        <v>395</v>
      </c>
      <c r="B396" s="3">
        <v>40560</v>
      </c>
      <c r="C396" s="1">
        <v>1</v>
      </c>
      <c r="D396" s="1">
        <v>0</v>
      </c>
      <c r="E396" s="1">
        <v>1</v>
      </c>
      <c r="F396" s="1">
        <v>22</v>
      </c>
      <c r="G396" t="b">
        <v>1</v>
      </c>
      <c r="H396" s="1">
        <v>1</v>
      </c>
      <c r="I396" s="1">
        <v>3</v>
      </c>
      <c r="J396" s="2">
        <v>0.14000000000000001</v>
      </c>
      <c r="K396" s="2">
        <v>0.1212</v>
      </c>
      <c r="L396" s="2">
        <v>0.93</v>
      </c>
      <c r="M396" s="2">
        <v>0.25369999999999998</v>
      </c>
      <c r="N396" s="1">
        <v>0</v>
      </c>
      <c r="O396" s="1">
        <v>13</v>
      </c>
      <c r="P396" s="1">
        <v>13</v>
      </c>
      <c r="Q396" s="1" t="str">
        <f>IF(WEEKDAY(Bike_Sharing_Master6[[#This Row],[Dteday]],2)&gt;=6,"Weekend","Weekday")</f>
        <v>Weekday</v>
      </c>
      <c r="R396" s="1" t="str">
        <f xml:space="preserve"> IF(Bike_Sharing_Master6[[#This Row],[Hr]]&lt;6,"Late Night", IF(Bike_Sharing_Master6[[#This Row],[Hr]]&lt;10,"Morning Peak", IF(Bike_Sharing_Master6[[#This Row],[Hr]]&lt;17,"Daytime", IF(Bike_Sharing_Master6[[#This Row],[Hr]]&lt;21,"Evening Peak","Night"))))</f>
        <v>Night</v>
      </c>
      <c r="S396" s="1" t="str">
        <f>IF(Bike_Sharing_Master6[[#This Row],[Holiday]]=1,"Holiday","Non-Holiday")</f>
        <v>Non-Holiday</v>
      </c>
      <c r="T396" s="1" t="str">
        <f>IF(Bike_Sharing_Master6[[#This Row],[Cnt]]&lt;80,"Low",IF(Bike_Sharing_Master6[[#This Row],[Cnt]]&lt;160,"Medium","High"))</f>
        <v>Low</v>
      </c>
      <c r="U396" s="1" t="str">
        <f>VLOOKUP(Bike_Sharing_Master6[[#This Row],[Weathersit]],[1]Lookup_Weather!A:B,2,FALSE)</f>
        <v>Light Rain</v>
      </c>
    </row>
    <row r="397" spans="1:21" x14ac:dyDescent="0.3">
      <c r="A397">
        <v>396</v>
      </c>
      <c r="B397" s="3">
        <v>40560</v>
      </c>
      <c r="C397" s="1">
        <v>1</v>
      </c>
      <c r="D397" s="1">
        <v>0</v>
      </c>
      <c r="E397" s="1">
        <v>1</v>
      </c>
      <c r="F397" s="1">
        <v>23</v>
      </c>
      <c r="G397" t="b">
        <v>1</v>
      </c>
      <c r="H397" s="1">
        <v>1</v>
      </c>
      <c r="I397" s="1">
        <v>3</v>
      </c>
      <c r="J397" s="2">
        <v>0.16</v>
      </c>
      <c r="K397" s="2">
        <v>0.13639999999999999</v>
      </c>
      <c r="L397" s="2">
        <v>0.86</v>
      </c>
      <c r="M397" s="2">
        <v>0.28360000000000002</v>
      </c>
      <c r="N397" s="1">
        <v>1</v>
      </c>
      <c r="O397" s="1">
        <v>3</v>
      </c>
      <c r="P397" s="1">
        <v>4</v>
      </c>
      <c r="Q397" s="1" t="str">
        <f>IF(WEEKDAY(Bike_Sharing_Master6[[#This Row],[Dteday]],2)&gt;=6,"Weekend","Weekday")</f>
        <v>Weekday</v>
      </c>
      <c r="R397" s="1" t="str">
        <f xml:space="preserve"> IF(Bike_Sharing_Master6[[#This Row],[Hr]]&lt;6,"Late Night", IF(Bike_Sharing_Master6[[#This Row],[Hr]]&lt;10,"Morning Peak", IF(Bike_Sharing_Master6[[#This Row],[Hr]]&lt;17,"Daytime", IF(Bike_Sharing_Master6[[#This Row],[Hr]]&lt;21,"Evening Peak","Night"))))</f>
        <v>Night</v>
      </c>
      <c r="S397" s="1" t="str">
        <f>IF(Bike_Sharing_Master6[[#This Row],[Holiday]]=1,"Holiday","Non-Holiday")</f>
        <v>Non-Holiday</v>
      </c>
      <c r="T397" s="1" t="str">
        <f>IF(Bike_Sharing_Master6[[#This Row],[Cnt]]&lt;80,"Low",IF(Bike_Sharing_Master6[[#This Row],[Cnt]]&lt;160,"Medium","High"))</f>
        <v>Low</v>
      </c>
      <c r="U397" s="1" t="str">
        <f>VLOOKUP(Bike_Sharing_Master6[[#This Row],[Weathersit]],[1]Lookup_Weather!A:B,2,FALSE)</f>
        <v>Light Rain</v>
      </c>
    </row>
    <row r="398" spans="1:21" x14ac:dyDescent="0.3">
      <c r="A398">
        <v>397</v>
      </c>
      <c r="B398" s="3">
        <v>40561</v>
      </c>
      <c r="C398" s="1">
        <v>1</v>
      </c>
      <c r="D398" s="1">
        <v>0</v>
      </c>
      <c r="E398" s="1">
        <v>1</v>
      </c>
      <c r="F398" s="1">
        <v>12</v>
      </c>
      <c r="G398" t="b">
        <v>0</v>
      </c>
      <c r="H398" s="1">
        <v>2</v>
      </c>
      <c r="I398" s="1">
        <v>2</v>
      </c>
      <c r="J398" s="2">
        <v>0.2</v>
      </c>
      <c r="K398" s="2">
        <v>0.18179999999999999</v>
      </c>
      <c r="L398" s="2">
        <v>0.86</v>
      </c>
      <c r="M398" s="2">
        <v>0.32840000000000003</v>
      </c>
      <c r="N398" s="1">
        <v>0</v>
      </c>
      <c r="O398" s="1">
        <v>3</v>
      </c>
      <c r="P398" s="1">
        <v>3</v>
      </c>
      <c r="Q398" s="1" t="str">
        <f>IF(WEEKDAY(Bike_Sharing_Master6[[#This Row],[Dteday]],2)&gt;=6,"Weekend","Weekday")</f>
        <v>Weekday</v>
      </c>
      <c r="R398" s="1" t="str">
        <f xml:space="preserve"> IF(Bike_Sharing_Master6[[#This Row],[Hr]]&lt;6,"Late Night", IF(Bike_Sharing_Master6[[#This Row],[Hr]]&lt;10,"Morning Peak", IF(Bike_Sharing_Master6[[#This Row],[Hr]]&lt;17,"Daytime", IF(Bike_Sharing_Master6[[#This Row],[Hr]]&lt;21,"Evening Peak","Night"))))</f>
        <v>Daytime</v>
      </c>
      <c r="S398" s="1" t="str">
        <f>IF(Bike_Sharing_Master6[[#This Row],[Holiday]]=1,"Holiday","Non-Holiday")</f>
        <v>Non-Holiday</v>
      </c>
      <c r="T398" s="1" t="str">
        <f>IF(Bike_Sharing_Master6[[#This Row],[Cnt]]&lt;80,"Low",IF(Bike_Sharing_Master6[[#This Row],[Cnt]]&lt;160,"Medium","High"))</f>
        <v>Low</v>
      </c>
      <c r="U398" s="1" t="str">
        <f>VLOOKUP(Bike_Sharing_Master6[[#This Row],[Weathersit]],[1]Lookup_Weather!A:B,2,FALSE)</f>
        <v>Mist</v>
      </c>
    </row>
    <row r="399" spans="1:21" x14ac:dyDescent="0.3">
      <c r="A399">
        <v>398</v>
      </c>
      <c r="B399" s="3">
        <v>40561</v>
      </c>
      <c r="C399" s="1">
        <v>1</v>
      </c>
      <c r="D399" s="1">
        <v>0</v>
      </c>
      <c r="E399" s="1">
        <v>1</v>
      </c>
      <c r="F399" s="1">
        <v>13</v>
      </c>
      <c r="G399" t="b">
        <v>0</v>
      </c>
      <c r="H399" s="1">
        <v>2</v>
      </c>
      <c r="I399" s="1">
        <v>2</v>
      </c>
      <c r="J399" s="2">
        <v>0.2</v>
      </c>
      <c r="K399" s="2">
        <v>0.19700000000000001</v>
      </c>
      <c r="L399" s="2">
        <v>0.86</v>
      </c>
      <c r="M399" s="2">
        <v>0.22389999999999999</v>
      </c>
      <c r="N399" s="1">
        <v>0</v>
      </c>
      <c r="O399" s="1">
        <v>22</v>
      </c>
      <c r="P399" s="1">
        <v>22</v>
      </c>
      <c r="Q399" s="1" t="str">
        <f>IF(WEEKDAY(Bike_Sharing_Master6[[#This Row],[Dteday]],2)&gt;=6,"Weekend","Weekday")</f>
        <v>Weekday</v>
      </c>
      <c r="R399" s="1" t="str">
        <f xml:space="preserve"> IF(Bike_Sharing_Master6[[#This Row],[Hr]]&lt;6,"Late Night", IF(Bike_Sharing_Master6[[#This Row],[Hr]]&lt;10,"Morning Peak", IF(Bike_Sharing_Master6[[#This Row],[Hr]]&lt;17,"Daytime", IF(Bike_Sharing_Master6[[#This Row],[Hr]]&lt;21,"Evening Peak","Night"))))</f>
        <v>Daytime</v>
      </c>
      <c r="S399" s="1" t="str">
        <f>IF(Bike_Sharing_Master6[[#This Row],[Holiday]]=1,"Holiday","Non-Holiday")</f>
        <v>Non-Holiday</v>
      </c>
      <c r="T399" s="1" t="str">
        <f>IF(Bike_Sharing_Master6[[#This Row],[Cnt]]&lt;80,"Low",IF(Bike_Sharing_Master6[[#This Row],[Cnt]]&lt;160,"Medium","High"))</f>
        <v>Low</v>
      </c>
      <c r="U399" s="1" t="str">
        <f>VLOOKUP(Bike_Sharing_Master6[[#This Row],[Weathersit]],[1]Lookup_Weather!A:B,2,FALSE)</f>
        <v>Mist</v>
      </c>
    </row>
    <row r="400" spans="1:21" x14ac:dyDescent="0.3">
      <c r="A400">
        <v>399</v>
      </c>
      <c r="B400" s="3">
        <v>40561</v>
      </c>
      <c r="C400" s="1">
        <v>1</v>
      </c>
      <c r="D400" s="1">
        <v>0</v>
      </c>
      <c r="E400" s="1">
        <v>1</v>
      </c>
      <c r="F400" s="1">
        <v>14</v>
      </c>
      <c r="G400" t="b">
        <v>0</v>
      </c>
      <c r="H400" s="1">
        <v>2</v>
      </c>
      <c r="I400" s="1">
        <v>2</v>
      </c>
      <c r="J400" s="2">
        <v>0.22</v>
      </c>
      <c r="K400" s="2">
        <v>0.2273</v>
      </c>
      <c r="L400" s="2">
        <v>0.8</v>
      </c>
      <c r="M400" s="2">
        <v>0.16420000000000001</v>
      </c>
      <c r="N400" s="1">
        <v>2</v>
      </c>
      <c r="O400" s="1">
        <v>26</v>
      </c>
      <c r="P400" s="1">
        <v>28</v>
      </c>
      <c r="Q400" s="1" t="str">
        <f>IF(WEEKDAY(Bike_Sharing_Master6[[#This Row],[Dteday]],2)&gt;=6,"Weekend","Weekday")</f>
        <v>Weekday</v>
      </c>
      <c r="R400" s="1" t="str">
        <f xml:space="preserve"> IF(Bike_Sharing_Master6[[#This Row],[Hr]]&lt;6,"Late Night", IF(Bike_Sharing_Master6[[#This Row],[Hr]]&lt;10,"Morning Peak", IF(Bike_Sharing_Master6[[#This Row],[Hr]]&lt;17,"Daytime", IF(Bike_Sharing_Master6[[#This Row],[Hr]]&lt;21,"Evening Peak","Night"))))</f>
        <v>Daytime</v>
      </c>
      <c r="S400" s="1" t="str">
        <f>IF(Bike_Sharing_Master6[[#This Row],[Holiday]]=1,"Holiday","Non-Holiday")</f>
        <v>Non-Holiday</v>
      </c>
      <c r="T400" s="1" t="str">
        <f>IF(Bike_Sharing_Master6[[#This Row],[Cnt]]&lt;80,"Low",IF(Bike_Sharing_Master6[[#This Row],[Cnt]]&lt;160,"Medium","High"))</f>
        <v>Low</v>
      </c>
      <c r="U400" s="1" t="str">
        <f>VLOOKUP(Bike_Sharing_Master6[[#This Row],[Weathersit]],[1]Lookup_Weather!A:B,2,FALSE)</f>
        <v>Mist</v>
      </c>
    </row>
    <row r="401" spans="1:21" x14ac:dyDescent="0.3">
      <c r="A401">
        <v>400</v>
      </c>
      <c r="B401" s="3">
        <v>40561</v>
      </c>
      <c r="C401" s="1">
        <v>1</v>
      </c>
      <c r="D401" s="1">
        <v>0</v>
      </c>
      <c r="E401" s="1">
        <v>1</v>
      </c>
      <c r="F401" s="1">
        <v>15</v>
      </c>
      <c r="G401" t="b">
        <v>0</v>
      </c>
      <c r="H401" s="1">
        <v>2</v>
      </c>
      <c r="I401" s="1">
        <v>2</v>
      </c>
      <c r="J401" s="2">
        <v>0.22</v>
      </c>
      <c r="K401" s="2">
        <v>0.2273</v>
      </c>
      <c r="L401" s="2">
        <v>0.87</v>
      </c>
      <c r="M401" s="2">
        <v>0.16420000000000001</v>
      </c>
      <c r="N401" s="1">
        <v>3</v>
      </c>
      <c r="O401" s="1">
        <v>32</v>
      </c>
      <c r="P401" s="1">
        <v>35</v>
      </c>
      <c r="Q401" s="1" t="str">
        <f>IF(WEEKDAY(Bike_Sharing_Master6[[#This Row],[Dteday]],2)&gt;=6,"Weekend","Weekday")</f>
        <v>Weekday</v>
      </c>
      <c r="R401" s="1" t="str">
        <f xml:space="preserve"> IF(Bike_Sharing_Master6[[#This Row],[Hr]]&lt;6,"Late Night", IF(Bike_Sharing_Master6[[#This Row],[Hr]]&lt;10,"Morning Peak", IF(Bike_Sharing_Master6[[#This Row],[Hr]]&lt;17,"Daytime", IF(Bike_Sharing_Master6[[#This Row],[Hr]]&lt;21,"Evening Peak","Night"))))</f>
        <v>Daytime</v>
      </c>
      <c r="S401" s="1" t="str">
        <f>IF(Bike_Sharing_Master6[[#This Row],[Holiday]]=1,"Holiday","Non-Holiday")</f>
        <v>Non-Holiday</v>
      </c>
      <c r="T401" s="1" t="str">
        <f>IF(Bike_Sharing_Master6[[#This Row],[Cnt]]&lt;80,"Low",IF(Bike_Sharing_Master6[[#This Row],[Cnt]]&lt;160,"Medium","High"))</f>
        <v>Low</v>
      </c>
      <c r="U401" s="1" t="str">
        <f>VLOOKUP(Bike_Sharing_Master6[[#This Row],[Weathersit]],[1]Lookup_Weather!A:B,2,FALSE)</f>
        <v>Mist</v>
      </c>
    </row>
    <row r="402" spans="1:21" x14ac:dyDescent="0.3">
      <c r="A402">
        <v>401</v>
      </c>
      <c r="B402" s="3">
        <v>40561</v>
      </c>
      <c r="C402" s="1">
        <v>1</v>
      </c>
      <c r="D402" s="1">
        <v>0</v>
      </c>
      <c r="E402" s="1">
        <v>1</v>
      </c>
      <c r="F402" s="1">
        <v>16</v>
      </c>
      <c r="G402" t="b">
        <v>0</v>
      </c>
      <c r="H402" s="1">
        <v>2</v>
      </c>
      <c r="I402" s="1">
        <v>2</v>
      </c>
      <c r="J402" s="2">
        <v>0.22</v>
      </c>
      <c r="K402" s="2">
        <v>0.2273</v>
      </c>
      <c r="L402" s="2">
        <v>0.87</v>
      </c>
      <c r="M402" s="2">
        <v>0.19400000000000001</v>
      </c>
      <c r="N402" s="1">
        <v>0</v>
      </c>
      <c r="O402" s="1">
        <v>61</v>
      </c>
      <c r="P402" s="1">
        <v>61</v>
      </c>
      <c r="Q402" s="1" t="str">
        <f>IF(WEEKDAY(Bike_Sharing_Master6[[#This Row],[Dteday]],2)&gt;=6,"Weekend","Weekday")</f>
        <v>Weekday</v>
      </c>
      <c r="R402" s="1" t="str">
        <f xml:space="preserve"> IF(Bike_Sharing_Master6[[#This Row],[Hr]]&lt;6,"Late Night", IF(Bike_Sharing_Master6[[#This Row],[Hr]]&lt;10,"Morning Peak", IF(Bike_Sharing_Master6[[#This Row],[Hr]]&lt;17,"Daytime", IF(Bike_Sharing_Master6[[#This Row],[Hr]]&lt;21,"Evening Peak","Night"))))</f>
        <v>Daytime</v>
      </c>
      <c r="S402" s="1" t="str">
        <f>IF(Bike_Sharing_Master6[[#This Row],[Holiday]]=1,"Holiday","Non-Holiday")</f>
        <v>Non-Holiday</v>
      </c>
      <c r="T402" s="1" t="str">
        <f>IF(Bike_Sharing_Master6[[#This Row],[Cnt]]&lt;80,"Low",IF(Bike_Sharing_Master6[[#This Row],[Cnt]]&lt;160,"Medium","High"))</f>
        <v>Low</v>
      </c>
      <c r="U402" s="1" t="str">
        <f>VLOOKUP(Bike_Sharing_Master6[[#This Row],[Weathersit]],[1]Lookup_Weather!A:B,2,FALSE)</f>
        <v>Mist</v>
      </c>
    </row>
    <row r="403" spans="1:21" x14ac:dyDescent="0.3">
      <c r="A403">
        <v>402</v>
      </c>
      <c r="B403" s="3">
        <v>40561</v>
      </c>
      <c r="C403" s="1">
        <v>1</v>
      </c>
      <c r="D403" s="1">
        <v>0</v>
      </c>
      <c r="E403" s="1">
        <v>1</v>
      </c>
      <c r="F403" s="1">
        <v>17</v>
      </c>
      <c r="G403" t="b">
        <v>0</v>
      </c>
      <c r="H403" s="1">
        <v>2</v>
      </c>
      <c r="I403" s="1">
        <v>2</v>
      </c>
      <c r="J403" s="2">
        <v>0.22</v>
      </c>
      <c r="K403" s="2">
        <v>0.2273</v>
      </c>
      <c r="L403" s="2">
        <v>0.82</v>
      </c>
      <c r="M403" s="2">
        <v>0.19400000000000001</v>
      </c>
      <c r="N403" s="1">
        <v>1</v>
      </c>
      <c r="O403" s="1">
        <v>124</v>
      </c>
      <c r="P403" s="1">
        <v>125</v>
      </c>
      <c r="Q403" s="1" t="str">
        <f>IF(WEEKDAY(Bike_Sharing_Master6[[#This Row],[Dteday]],2)&gt;=6,"Weekend","Weekday")</f>
        <v>Weekday</v>
      </c>
      <c r="R403" s="1" t="str">
        <f xml:space="preserve"> IF(Bike_Sharing_Master6[[#This Row],[Hr]]&lt;6,"Late Night", IF(Bike_Sharing_Master6[[#This Row],[Hr]]&lt;10,"Morning Peak", IF(Bike_Sharing_Master6[[#This Row],[Hr]]&lt;17,"Daytime", IF(Bike_Sharing_Master6[[#This Row],[Hr]]&lt;21,"Evening Peak","Night"))))</f>
        <v>Evening Peak</v>
      </c>
      <c r="S403" s="1" t="str">
        <f>IF(Bike_Sharing_Master6[[#This Row],[Holiday]]=1,"Holiday","Non-Holiday")</f>
        <v>Non-Holiday</v>
      </c>
      <c r="T403" s="1" t="str">
        <f>IF(Bike_Sharing_Master6[[#This Row],[Cnt]]&lt;80,"Low",IF(Bike_Sharing_Master6[[#This Row],[Cnt]]&lt;160,"Medium","High"))</f>
        <v>Medium</v>
      </c>
      <c r="U403" s="1" t="str">
        <f>VLOOKUP(Bike_Sharing_Master6[[#This Row],[Weathersit]],[1]Lookup_Weather!A:B,2,FALSE)</f>
        <v>Mist</v>
      </c>
    </row>
    <row r="404" spans="1:21" x14ac:dyDescent="0.3">
      <c r="A404">
        <v>403</v>
      </c>
      <c r="B404" s="3">
        <v>40561</v>
      </c>
      <c r="C404" s="1">
        <v>1</v>
      </c>
      <c r="D404" s="1">
        <v>0</v>
      </c>
      <c r="E404" s="1">
        <v>1</v>
      </c>
      <c r="F404" s="1">
        <v>18</v>
      </c>
      <c r="G404" t="b">
        <v>0</v>
      </c>
      <c r="H404" s="1">
        <v>2</v>
      </c>
      <c r="I404" s="1">
        <v>2</v>
      </c>
      <c r="J404" s="2">
        <v>0.22</v>
      </c>
      <c r="K404" s="2">
        <v>0.2273</v>
      </c>
      <c r="L404" s="2">
        <v>0.8</v>
      </c>
      <c r="M404" s="2">
        <v>0.16420000000000001</v>
      </c>
      <c r="N404" s="1">
        <v>1</v>
      </c>
      <c r="O404" s="1">
        <v>132</v>
      </c>
      <c r="P404" s="1">
        <v>133</v>
      </c>
      <c r="Q404" s="1" t="str">
        <f>IF(WEEKDAY(Bike_Sharing_Master6[[#This Row],[Dteday]],2)&gt;=6,"Weekend","Weekday")</f>
        <v>Weekday</v>
      </c>
      <c r="R404" s="1" t="str">
        <f xml:space="preserve"> IF(Bike_Sharing_Master6[[#This Row],[Hr]]&lt;6,"Late Night", IF(Bike_Sharing_Master6[[#This Row],[Hr]]&lt;10,"Morning Peak", IF(Bike_Sharing_Master6[[#This Row],[Hr]]&lt;17,"Daytime", IF(Bike_Sharing_Master6[[#This Row],[Hr]]&lt;21,"Evening Peak","Night"))))</f>
        <v>Evening Peak</v>
      </c>
      <c r="S404" s="1" t="str">
        <f>IF(Bike_Sharing_Master6[[#This Row],[Holiday]]=1,"Holiday","Non-Holiday")</f>
        <v>Non-Holiday</v>
      </c>
      <c r="T404" s="1" t="str">
        <f>IF(Bike_Sharing_Master6[[#This Row],[Cnt]]&lt;80,"Low",IF(Bike_Sharing_Master6[[#This Row],[Cnt]]&lt;160,"Medium","High"))</f>
        <v>Medium</v>
      </c>
      <c r="U404" s="1" t="str">
        <f>VLOOKUP(Bike_Sharing_Master6[[#This Row],[Weathersit]],[1]Lookup_Weather!A:B,2,FALSE)</f>
        <v>Mist</v>
      </c>
    </row>
    <row r="405" spans="1:21" x14ac:dyDescent="0.3">
      <c r="A405">
        <v>404</v>
      </c>
      <c r="B405" s="3">
        <v>40561</v>
      </c>
      <c r="C405" s="1">
        <v>1</v>
      </c>
      <c r="D405" s="1">
        <v>0</v>
      </c>
      <c r="E405" s="1">
        <v>1</v>
      </c>
      <c r="F405" s="1">
        <v>19</v>
      </c>
      <c r="G405" t="b">
        <v>0</v>
      </c>
      <c r="H405" s="1">
        <v>2</v>
      </c>
      <c r="I405" s="1">
        <v>2</v>
      </c>
      <c r="J405" s="2">
        <v>0.22</v>
      </c>
      <c r="K405" s="2">
        <v>0.2273</v>
      </c>
      <c r="L405" s="2">
        <v>0.8</v>
      </c>
      <c r="M405" s="2">
        <v>0.1343</v>
      </c>
      <c r="N405" s="1">
        <v>1</v>
      </c>
      <c r="O405" s="1">
        <v>98</v>
      </c>
      <c r="P405" s="1">
        <v>99</v>
      </c>
      <c r="Q405" s="1" t="str">
        <f>IF(WEEKDAY(Bike_Sharing_Master6[[#This Row],[Dteday]],2)&gt;=6,"Weekend","Weekday")</f>
        <v>Weekday</v>
      </c>
      <c r="R405" s="1" t="str">
        <f xml:space="preserve"> IF(Bike_Sharing_Master6[[#This Row],[Hr]]&lt;6,"Late Night", IF(Bike_Sharing_Master6[[#This Row],[Hr]]&lt;10,"Morning Peak", IF(Bike_Sharing_Master6[[#This Row],[Hr]]&lt;17,"Daytime", IF(Bike_Sharing_Master6[[#This Row],[Hr]]&lt;21,"Evening Peak","Night"))))</f>
        <v>Evening Peak</v>
      </c>
      <c r="S405" s="1" t="str">
        <f>IF(Bike_Sharing_Master6[[#This Row],[Holiday]]=1,"Holiday","Non-Holiday")</f>
        <v>Non-Holiday</v>
      </c>
      <c r="T405" s="1" t="str">
        <f>IF(Bike_Sharing_Master6[[#This Row],[Cnt]]&lt;80,"Low",IF(Bike_Sharing_Master6[[#This Row],[Cnt]]&lt;160,"Medium","High"))</f>
        <v>Medium</v>
      </c>
      <c r="U405" s="1" t="str">
        <f>VLOOKUP(Bike_Sharing_Master6[[#This Row],[Weathersit]],[1]Lookup_Weather!A:B,2,FALSE)</f>
        <v>Mist</v>
      </c>
    </row>
    <row r="406" spans="1:21" x14ac:dyDescent="0.3">
      <c r="A406">
        <v>405</v>
      </c>
      <c r="B406" s="3">
        <v>40561</v>
      </c>
      <c r="C406" s="1">
        <v>1</v>
      </c>
      <c r="D406" s="1">
        <v>0</v>
      </c>
      <c r="E406" s="1">
        <v>1</v>
      </c>
      <c r="F406" s="1">
        <v>20</v>
      </c>
      <c r="G406" t="b">
        <v>0</v>
      </c>
      <c r="H406" s="1">
        <v>2</v>
      </c>
      <c r="I406" s="1">
        <v>2</v>
      </c>
      <c r="J406" s="2">
        <v>0.22</v>
      </c>
      <c r="K406" s="2">
        <v>0.2727</v>
      </c>
      <c r="L406" s="2">
        <v>0.87</v>
      </c>
      <c r="M406" s="2">
        <v>0</v>
      </c>
      <c r="N406" s="1">
        <v>0</v>
      </c>
      <c r="O406" s="1">
        <v>83</v>
      </c>
      <c r="P406" s="1">
        <v>83</v>
      </c>
      <c r="Q406" s="1" t="str">
        <f>IF(WEEKDAY(Bike_Sharing_Master6[[#This Row],[Dteday]],2)&gt;=6,"Weekend","Weekday")</f>
        <v>Weekday</v>
      </c>
      <c r="R406" s="1" t="str">
        <f xml:space="preserve"> IF(Bike_Sharing_Master6[[#This Row],[Hr]]&lt;6,"Late Night", IF(Bike_Sharing_Master6[[#This Row],[Hr]]&lt;10,"Morning Peak", IF(Bike_Sharing_Master6[[#This Row],[Hr]]&lt;17,"Daytime", IF(Bike_Sharing_Master6[[#This Row],[Hr]]&lt;21,"Evening Peak","Night"))))</f>
        <v>Evening Peak</v>
      </c>
      <c r="S406" s="1" t="str">
        <f>IF(Bike_Sharing_Master6[[#This Row],[Holiday]]=1,"Holiday","Non-Holiday")</f>
        <v>Non-Holiday</v>
      </c>
      <c r="T406" s="1" t="str">
        <f>IF(Bike_Sharing_Master6[[#This Row],[Cnt]]&lt;80,"Low",IF(Bike_Sharing_Master6[[#This Row],[Cnt]]&lt;160,"Medium","High"))</f>
        <v>Medium</v>
      </c>
      <c r="U406" s="1" t="str">
        <f>VLOOKUP(Bike_Sharing_Master6[[#This Row],[Weathersit]],[1]Lookup_Weather!A:B,2,FALSE)</f>
        <v>Mist</v>
      </c>
    </row>
    <row r="407" spans="1:21" x14ac:dyDescent="0.3">
      <c r="A407">
        <v>406</v>
      </c>
      <c r="B407" s="3">
        <v>40561</v>
      </c>
      <c r="C407" s="1">
        <v>1</v>
      </c>
      <c r="D407" s="1">
        <v>0</v>
      </c>
      <c r="E407" s="1">
        <v>1</v>
      </c>
      <c r="F407" s="1">
        <v>21</v>
      </c>
      <c r="G407" t="b">
        <v>0</v>
      </c>
      <c r="H407" s="1">
        <v>2</v>
      </c>
      <c r="I407" s="1">
        <v>2</v>
      </c>
      <c r="J407" s="2">
        <v>0.22</v>
      </c>
      <c r="K407" s="2">
        <v>0.2424</v>
      </c>
      <c r="L407" s="2">
        <v>0.93</v>
      </c>
      <c r="M407" s="2">
        <v>0.1045</v>
      </c>
      <c r="N407" s="1">
        <v>0</v>
      </c>
      <c r="O407" s="1">
        <v>41</v>
      </c>
      <c r="P407" s="1">
        <v>41</v>
      </c>
      <c r="Q407" s="1" t="str">
        <f>IF(WEEKDAY(Bike_Sharing_Master6[[#This Row],[Dteday]],2)&gt;=6,"Weekend","Weekday")</f>
        <v>Weekday</v>
      </c>
      <c r="R407" s="1" t="str">
        <f xml:space="preserve"> IF(Bike_Sharing_Master6[[#This Row],[Hr]]&lt;6,"Late Night", IF(Bike_Sharing_Master6[[#This Row],[Hr]]&lt;10,"Morning Peak", IF(Bike_Sharing_Master6[[#This Row],[Hr]]&lt;17,"Daytime", IF(Bike_Sharing_Master6[[#This Row],[Hr]]&lt;21,"Evening Peak","Night"))))</f>
        <v>Night</v>
      </c>
      <c r="S407" s="1" t="str">
        <f>IF(Bike_Sharing_Master6[[#This Row],[Holiday]]=1,"Holiday","Non-Holiday")</f>
        <v>Non-Holiday</v>
      </c>
      <c r="T407" s="1" t="str">
        <f>IF(Bike_Sharing_Master6[[#This Row],[Cnt]]&lt;80,"Low",IF(Bike_Sharing_Master6[[#This Row],[Cnt]]&lt;160,"Medium","High"))</f>
        <v>Low</v>
      </c>
      <c r="U407" s="1" t="str">
        <f>VLOOKUP(Bike_Sharing_Master6[[#This Row],[Weathersit]],[1]Lookup_Weather!A:B,2,FALSE)</f>
        <v>Mist</v>
      </c>
    </row>
    <row r="408" spans="1:21" x14ac:dyDescent="0.3">
      <c r="A408">
        <v>407</v>
      </c>
      <c r="B408" s="3">
        <v>40561</v>
      </c>
      <c r="C408" s="1">
        <v>1</v>
      </c>
      <c r="D408" s="1">
        <v>0</v>
      </c>
      <c r="E408" s="1">
        <v>1</v>
      </c>
      <c r="F408" s="1">
        <v>22</v>
      </c>
      <c r="G408" t="b">
        <v>0</v>
      </c>
      <c r="H408" s="1">
        <v>2</v>
      </c>
      <c r="I408" s="1">
        <v>2</v>
      </c>
      <c r="J408" s="2">
        <v>0.22</v>
      </c>
      <c r="K408" s="2">
        <v>0.2576</v>
      </c>
      <c r="L408" s="2">
        <v>0.93</v>
      </c>
      <c r="M408" s="2">
        <v>8.9599999999999999E-2</v>
      </c>
      <c r="N408" s="1">
        <v>0</v>
      </c>
      <c r="O408" s="1">
        <v>33</v>
      </c>
      <c r="P408" s="1">
        <v>33</v>
      </c>
      <c r="Q408" s="1" t="str">
        <f>IF(WEEKDAY(Bike_Sharing_Master6[[#This Row],[Dteday]],2)&gt;=6,"Weekend","Weekday")</f>
        <v>Weekday</v>
      </c>
      <c r="R408" s="1" t="str">
        <f xml:space="preserve"> IF(Bike_Sharing_Master6[[#This Row],[Hr]]&lt;6,"Late Night", IF(Bike_Sharing_Master6[[#This Row],[Hr]]&lt;10,"Morning Peak", IF(Bike_Sharing_Master6[[#This Row],[Hr]]&lt;17,"Daytime", IF(Bike_Sharing_Master6[[#This Row],[Hr]]&lt;21,"Evening Peak","Night"))))</f>
        <v>Night</v>
      </c>
      <c r="S408" s="1" t="str">
        <f>IF(Bike_Sharing_Master6[[#This Row],[Holiday]]=1,"Holiday","Non-Holiday")</f>
        <v>Non-Holiday</v>
      </c>
      <c r="T408" s="1" t="str">
        <f>IF(Bike_Sharing_Master6[[#This Row],[Cnt]]&lt;80,"Low",IF(Bike_Sharing_Master6[[#This Row],[Cnt]]&lt;160,"Medium","High"))</f>
        <v>Low</v>
      </c>
      <c r="U408" s="1" t="str">
        <f>VLOOKUP(Bike_Sharing_Master6[[#This Row],[Weathersit]],[1]Lookup_Weather!A:B,2,FALSE)</f>
        <v>Mist</v>
      </c>
    </row>
    <row r="409" spans="1:21" x14ac:dyDescent="0.3">
      <c r="A409">
        <v>408</v>
      </c>
      <c r="B409" s="3">
        <v>40561</v>
      </c>
      <c r="C409" s="1">
        <v>1</v>
      </c>
      <c r="D409" s="1">
        <v>0</v>
      </c>
      <c r="E409" s="1">
        <v>1</v>
      </c>
      <c r="F409" s="1">
        <v>23</v>
      </c>
      <c r="G409" t="b">
        <v>0</v>
      </c>
      <c r="H409" s="1">
        <v>2</v>
      </c>
      <c r="I409" s="1">
        <v>2</v>
      </c>
      <c r="J409" s="2">
        <v>0.22</v>
      </c>
      <c r="K409" s="2">
        <v>0.2727</v>
      </c>
      <c r="L409" s="2">
        <v>0.93</v>
      </c>
      <c r="M409" s="2">
        <v>0</v>
      </c>
      <c r="N409" s="1">
        <v>1</v>
      </c>
      <c r="O409" s="1">
        <v>19</v>
      </c>
      <c r="P409" s="1">
        <v>20</v>
      </c>
      <c r="Q409" s="1" t="str">
        <f>IF(WEEKDAY(Bike_Sharing_Master6[[#This Row],[Dteday]],2)&gt;=6,"Weekend","Weekday")</f>
        <v>Weekday</v>
      </c>
      <c r="R409" s="1" t="str">
        <f xml:space="preserve"> IF(Bike_Sharing_Master6[[#This Row],[Hr]]&lt;6,"Late Night", IF(Bike_Sharing_Master6[[#This Row],[Hr]]&lt;10,"Morning Peak", IF(Bike_Sharing_Master6[[#This Row],[Hr]]&lt;17,"Daytime", IF(Bike_Sharing_Master6[[#This Row],[Hr]]&lt;21,"Evening Peak","Night"))))</f>
        <v>Night</v>
      </c>
      <c r="S409" s="1" t="str">
        <f>IF(Bike_Sharing_Master6[[#This Row],[Holiday]]=1,"Holiday","Non-Holiday")</f>
        <v>Non-Holiday</v>
      </c>
      <c r="T409" s="1" t="str">
        <f>IF(Bike_Sharing_Master6[[#This Row],[Cnt]]&lt;80,"Low",IF(Bike_Sharing_Master6[[#This Row],[Cnt]]&lt;160,"Medium","High"))</f>
        <v>Low</v>
      </c>
      <c r="U409" s="1" t="str">
        <f>VLOOKUP(Bike_Sharing_Master6[[#This Row],[Weathersit]],[1]Lookup_Weather!A:B,2,FALSE)</f>
        <v>Mist</v>
      </c>
    </row>
    <row r="410" spans="1:21" x14ac:dyDescent="0.3">
      <c r="A410">
        <v>409</v>
      </c>
      <c r="B410" s="3">
        <v>40562</v>
      </c>
      <c r="C410" s="1">
        <v>1</v>
      </c>
      <c r="D410" s="1">
        <v>0</v>
      </c>
      <c r="E410" s="1">
        <v>1</v>
      </c>
      <c r="F410" s="1">
        <v>0</v>
      </c>
      <c r="G410" t="b">
        <v>0</v>
      </c>
      <c r="H410" s="1">
        <v>3</v>
      </c>
      <c r="I410" s="1">
        <v>2</v>
      </c>
      <c r="J410" s="2">
        <v>0.22</v>
      </c>
      <c r="K410" s="2">
        <v>0.2727</v>
      </c>
      <c r="L410" s="2">
        <v>0.93</v>
      </c>
      <c r="M410" s="2">
        <v>0</v>
      </c>
      <c r="N410" s="1">
        <v>0</v>
      </c>
      <c r="O410" s="1">
        <v>3</v>
      </c>
      <c r="P410" s="1">
        <v>3</v>
      </c>
      <c r="Q410" s="1" t="str">
        <f>IF(WEEKDAY(Bike_Sharing_Master6[[#This Row],[Dteday]],2)&gt;=6,"Weekend","Weekday")</f>
        <v>Weekday</v>
      </c>
      <c r="R410" s="1" t="str">
        <f xml:space="preserve"> IF(Bike_Sharing_Master6[[#This Row],[Hr]]&lt;6,"Late Night", IF(Bike_Sharing_Master6[[#This Row],[Hr]]&lt;10,"Morning Peak", IF(Bike_Sharing_Master6[[#This Row],[Hr]]&lt;17,"Daytime", IF(Bike_Sharing_Master6[[#This Row],[Hr]]&lt;21,"Evening Peak","Night"))))</f>
        <v>Late Night</v>
      </c>
      <c r="S410" s="1" t="str">
        <f>IF(Bike_Sharing_Master6[[#This Row],[Holiday]]=1,"Holiday","Non-Holiday")</f>
        <v>Non-Holiday</v>
      </c>
      <c r="T410" s="1" t="str">
        <f>IF(Bike_Sharing_Master6[[#This Row],[Cnt]]&lt;80,"Low",IF(Bike_Sharing_Master6[[#This Row],[Cnt]]&lt;160,"Medium","High"))</f>
        <v>Low</v>
      </c>
      <c r="U410" s="1" t="str">
        <f>VLOOKUP(Bike_Sharing_Master6[[#This Row],[Weathersit]],[1]Lookup_Weather!A:B,2,FALSE)</f>
        <v>Mist</v>
      </c>
    </row>
    <row r="411" spans="1:21" x14ac:dyDescent="0.3">
      <c r="A411">
        <v>410</v>
      </c>
      <c r="B411" s="3">
        <v>40562</v>
      </c>
      <c r="C411" s="1">
        <v>1</v>
      </c>
      <c r="D411" s="1">
        <v>0</v>
      </c>
      <c r="E411" s="1">
        <v>1</v>
      </c>
      <c r="F411" s="1">
        <v>1</v>
      </c>
      <c r="G411" t="b">
        <v>0</v>
      </c>
      <c r="H411" s="1">
        <v>3</v>
      </c>
      <c r="I411" s="1">
        <v>3</v>
      </c>
      <c r="J411" s="2">
        <v>0.22</v>
      </c>
      <c r="K411" s="2">
        <v>0.2273</v>
      </c>
      <c r="L411" s="2">
        <v>0.93</v>
      </c>
      <c r="M411" s="2">
        <v>0.1343</v>
      </c>
      <c r="N411" s="1">
        <v>1</v>
      </c>
      <c r="O411" s="1">
        <v>6</v>
      </c>
      <c r="P411" s="1">
        <v>7</v>
      </c>
      <c r="Q411" s="1" t="str">
        <f>IF(WEEKDAY(Bike_Sharing_Master6[[#This Row],[Dteday]],2)&gt;=6,"Weekend","Weekday")</f>
        <v>Weekday</v>
      </c>
      <c r="R411" s="1" t="str">
        <f xml:space="preserve"> IF(Bike_Sharing_Master6[[#This Row],[Hr]]&lt;6,"Late Night", IF(Bike_Sharing_Master6[[#This Row],[Hr]]&lt;10,"Morning Peak", IF(Bike_Sharing_Master6[[#This Row],[Hr]]&lt;17,"Daytime", IF(Bike_Sharing_Master6[[#This Row],[Hr]]&lt;21,"Evening Peak","Night"))))</f>
        <v>Late Night</v>
      </c>
      <c r="S411" s="1" t="str">
        <f>IF(Bike_Sharing_Master6[[#This Row],[Holiday]]=1,"Holiday","Non-Holiday")</f>
        <v>Non-Holiday</v>
      </c>
      <c r="T411" s="1" t="str">
        <f>IF(Bike_Sharing_Master6[[#This Row],[Cnt]]&lt;80,"Low",IF(Bike_Sharing_Master6[[#This Row],[Cnt]]&lt;160,"Medium","High"))</f>
        <v>Low</v>
      </c>
      <c r="U411" s="1" t="str">
        <f>VLOOKUP(Bike_Sharing_Master6[[#This Row],[Weathersit]],[1]Lookup_Weather!A:B,2,FALSE)</f>
        <v>Light Rain</v>
      </c>
    </row>
    <row r="412" spans="1:21" x14ac:dyDescent="0.3">
      <c r="A412">
        <v>411</v>
      </c>
      <c r="B412" s="3">
        <v>40562</v>
      </c>
      <c r="C412" s="1">
        <v>1</v>
      </c>
      <c r="D412" s="1">
        <v>0</v>
      </c>
      <c r="E412" s="1">
        <v>1</v>
      </c>
      <c r="F412" s="1">
        <v>2</v>
      </c>
      <c r="G412" t="b">
        <v>0</v>
      </c>
      <c r="H412" s="1">
        <v>3</v>
      </c>
      <c r="I412" s="1">
        <v>3</v>
      </c>
      <c r="J412" s="2">
        <v>0.22</v>
      </c>
      <c r="K412" s="2">
        <v>0.2273</v>
      </c>
      <c r="L412" s="2">
        <v>0.93</v>
      </c>
      <c r="M412" s="2">
        <v>0.1343</v>
      </c>
      <c r="N412" s="1">
        <v>0</v>
      </c>
      <c r="O412" s="1">
        <v>3</v>
      </c>
      <c r="P412" s="1">
        <v>3</v>
      </c>
      <c r="Q412" s="1" t="str">
        <f>IF(WEEKDAY(Bike_Sharing_Master6[[#This Row],[Dteday]],2)&gt;=6,"Weekend","Weekday")</f>
        <v>Weekday</v>
      </c>
      <c r="R412" s="1" t="str">
        <f xml:space="preserve"> IF(Bike_Sharing_Master6[[#This Row],[Hr]]&lt;6,"Late Night", IF(Bike_Sharing_Master6[[#This Row],[Hr]]&lt;10,"Morning Peak", IF(Bike_Sharing_Master6[[#This Row],[Hr]]&lt;17,"Daytime", IF(Bike_Sharing_Master6[[#This Row],[Hr]]&lt;21,"Evening Peak","Night"))))</f>
        <v>Late Night</v>
      </c>
      <c r="S412" s="1" t="str">
        <f>IF(Bike_Sharing_Master6[[#This Row],[Holiday]]=1,"Holiday","Non-Holiday")</f>
        <v>Non-Holiday</v>
      </c>
      <c r="T412" s="1" t="str">
        <f>IF(Bike_Sharing_Master6[[#This Row],[Cnt]]&lt;80,"Low",IF(Bike_Sharing_Master6[[#This Row],[Cnt]]&lt;160,"Medium","High"))</f>
        <v>Low</v>
      </c>
      <c r="U412" s="1" t="str">
        <f>VLOOKUP(Bike_Sharing_Master6[[#This Row],[Weathersit]],[1]Lookup_Weather!A:B,2,FALSE)</f>
        <v>Light Rain</v>
      </c>
    </row>
    <row r="413" spans="1:21" x14ac:dyDescent="0.3">
      <c r="A413">
        <v>412</v>
      </c>
      <c r="B413" s="3">
        <v>40562</v>
      </c>
      <c r="C413" s="1">
        <v>1</v>
      </c>
      <c r="D413" s="1">
        <v>0</v>
      </c>
      <c r="E413" s="1">
        <v>1</v>
      </c>
      <c r="F413" s="1">
        <v>4</v>
      </c>
      <c r="G413" t="b">
        <v>0</v>
      </c>
      <c r="H413" s="1">
        <v>3</v>
      </c>
      <c r="I413" s="1">
        <v>3</v>
      </c>
      <c r="J413" s="2">
        <v>0.22</v>
      </c>
      <c r="K413" s="2">
        <v>0.2273</v>
      </c>
      <c r="L413" s="2">
        <v>0.93</v>
      </c>
      <c r="M413" s="2">
        <v>0.1343</v>
      </c>
      <c r="N413" s="1">
        <v>1</v>
      </c>
      <c r="O413" s="1">
        <v>1</v>
      </c>
      <c r="P413" s="1">
        <v>2</v>
      </c>
      <c r="Q413" s="1" t="str">
        <f>IF(WEEKDAY(Bike_Sharing_Master6[[#This Row],[Dteday]],2)&gt;=6,"Weekend","Weekday")</f>
        <v>Weekday</v>
      </c>
      <c r="R413" s="1" t="str">
        <f xml:space="preserve"> IF(Bike_Sharing_Master6[[#This Row],[Hr]]&lt;6,"Late Night", IF(Bike_Sharing_Master6[[#This Row],[Hr]]&lt;10,"Morning Peak", IF(Bike_Sharing_Master6[[#This Row],[Hr]]&lt;17,"Daytime", IF(Bike_Sharing_Master6[[#This Row],[Hr]]&lt;21,"Evening Peak","Night"))))</f>
        <v>Late Night</v>
      </c>
      <c r="S413" s="1" t="str">
        <f>IF(Bike_Sharing_Master6[[#This Row],[Holiday]]=1,"Holiday","Non-Holiday")</f>
        <v>Non-Holiday</v>
      </c>
      <c r="T413" s="1" t="str">
        <f>IF(Bike_Sharing_Master6[[#This Row],[Cnt]]&lt;80,"Low",IF(Bike_Sharing_Master6[[#This Row],[Cnt]]&lt;160,"Medium","High"))</f>
        <v>Low</v>
      </c>
      <c r="U413" s="1" t="str">
        <f>VLOOKUP(Bike_Sharing_Master6[[#This Row],[Weathersit]],[1]Lookup_Weather!A:B,2,FALSE)</f>
        <v>Light Rain</v>
      </c>
    </row>
    <row r="414" spans="1:21" x14ac:dyDescent="0.3">
      <c r="A414">
        <v>413</v>
      </c>
      <c r="B414" s="3">
        <v>40562</v>
      </c>
      <c r="C414" s="1">
        <v>1</v>
      </c>
      <c r="D414" s="1">
        <v>0</v>
      </c>
      <c r="E414" s="1">
        <v>1</v>
      </c>
      <c r="F414" s="1">
        <v>5</v>
      </c>
      <c r="G414" t="b">
        <v>0</v>
      </c>
      <c r="H414" s="1">
        <v>3</v>
      </c>
      <c r="I414" s="1">
        <v>2</v>
      </c>
      <c r="J414" s="2">
        <v>0.22</v>
      </c>
      <c r="K414" s="2">
        <v>0.2576</v>
      </c>
      <c r="L414" s="2">
        <v>0.93</v>
      </c>
      <c r="M414" s="2">
        <v>8.9599999999999999E-2</v>
      </c>
      <c r="N414" s="1">
        <v>0</v>
      </c>
      <c r="O414" s="1">
        <v>7</v>
      </c>
      <c r="P414" s="1">
        <v>7</v>
      </c>
      <c r="Q414" s="1" t="str">
        <f>IF(WEEKDAY(Bike_Sharing_Master6[[#This Row],[Dteday]],2)&gt;=6,"Weekend","Weekday")</f>
        <v>Weekday</v>
      </c>
      <c r="R414" s="1" t="str">
        <f xml:space="preserve"> IF(Bike_Sharing_Master6[[#This Row],[Hr]]&lt;6,"Late Night", IF(Bike_Sharing_Master6[[#This Row],[Hr]]&lt;10,"Morning Peak", IF(Bike_Sharing_Master6[[#This Row],[Hr]]&lt;17,"Daytime", IF(Bike_Sharing_Master6[[#This Row],[Hr]]&lt;21,"Evening Peak","Night"))))</f>
        <v>Late Night</v>
      </c>
      <c r="S414" s="1" t="str">
        <f>IF(Bike_Sharing_Master6[[#This Row],[Holiday]]=1,"Holiday","Non-Holiday")</f>
        <v>Non-Holiday</v>
      </c>
      <c r="T414" s="1" t="str">
        <f>IF(Bike_Sharing_Master6[[#This Row],[Cnt]]&lt;80,"Low",IF(Bike_Sharing_Master6[[#This Row],[Cnt]]&lt;160,"Medium","High"))</f>
        <v>Low</v>
      </c>
      <c r="U414" s="1" t="str">
        <f>VLOOKUP(Bike_Sharing_Master6[[#This Row],[Weathersit]],[1]Lookup_Weather!A:B,2,FALSE)</f>
        <v>Mist</v>
      </c>
    </row>
    <row r="415" spans="1:21" x14ac:dyDescent="0.3">
      <c r="A415">
        <v>414</v>
      </c>
      <c r="B415" s="3">
        <v>40562</v>
      </c>
      <c r="C415" s="1">
        <v>1</v>
      </c>
      <c r="D415" s="1">
        <v>0</v>
      </c>
      <c r="E415" s="1">
        <v>1</v>
      </c>
      <c r="F415" s="1">
        <v>6</v>
      </c>
      <c r="G415" t="b">
        <v>0</v>
      </c>
      <c r="H415" s="1">
        <v>3</v>
      </c>
      <c r="I415" s="1">
        <v>2</v>
      </c>
      <c r="J415" s="2">
        <v>0.22</v>
      </c>
      <c r="K415" s="2">
        <v>0.2576</v>
      </c>
      <c r="L415" s="2">
        <v>0.93</v>
      </c>
      <c r="M415" s="2">
        <v>8.9599999999999999E-2</v>
      </c>
      <c r="N415" s="1">
        <v>0</v>
      </c>
      <c r="O415" s="1">
        <v>32</v>
      </c>
      <c r="P415" s="1">
        <v>32</v>
      </c>
      <c r="Q415" s="1" t="str">
        <f>IF(WEEKDAY(Bike_Sharing_Master6[[#This Row],[Dteday]],2)&gt;=6,"Weekend","Weekday")</f>
        <v>Weekday</v>
      </c>
      <c r="R415" s="1" t="str">
        <f xml:space="preserve"> IF(Bike_Sharing_Master6[[#This Row],[Hr]]&lt;6,"Late Night", IF(Bike_Sharing_Master6[[#This Row],[Hr]]&lt;10,"Morning Peak", IF(Bike_Sharing_Master6[[#This Row],[Hr]]&lt;17,"Daytime", IF(Bike_Sharing_Master6[[#This Row],[Hr]]&lt;21,"Evening Peak","Night"))))</f>
        <v>Morning Peak</v>
      </c>
      <c r="S415" s="1" t="str">
        <f>IF(Bike_Sharing_Master6[[#This Row],[Holiday]]=1,"Holiday","Non-Holiday")</f>
        <v>Non-Holiday</v>
      </c>
      <c r="T415" s="1" t="str">
        <f>IF(Bike_Sharing_Master6[[#This Row],[Cnt]]&lt;80,"Low",IF(Bike_Sharing_Master6[[#This Row],[Cnt]]&lt;160,"Medium","High"))</f>
        <v>Low</v>
      </c>
      <c r="U415" s="1" t="str">
        <f>VLOOKUP(Bike_Sharing_Master6[[#This Row],[Weathersit]],[1]Lookup_Weather!A:B,2,FALSE)</f>
        <v>Mist</v>
      </c>
    </row>
    <row r="416" spans="1:21" x14ac:dyDescent="0.3">
      <c r="A416">
        <v>415</v>
      </c>
      <c r="B416" s="3">
        <v>40562</v>
      </c>
      <c r="C416" s="1">
        <v>1</v>
      </c>
      <c r="D416" s="1">
        <v>0</v>
      </c>
      <c r="E416" s="1">
        <v>1</v>
      </c>
      <c r="F416" s="1">
        <v>7</v>
      </c>
      <c r="G416" t="b">
        <v>0</v>
      </c>
      <c r="H416" s="1">
        <v>3</v>
      </c>
      <c r="I416" s="1">
        <v>2</v>
      </c>
      <c r="J416" s="2">
        <v>0.24</v>
      </c>
      <c r="K416" s="2">
        <v>0.2576</v>
      </c>
      <c r="L416" s="2">
        <v>0.92</v>
      </c>
      <c r="M416" s="2">
        <v>0.1045</v>
      </c>
      <c r="N416" s="1">
        <v>1</v>
      </c>
      <c r="O416" s="1">
        <v>89</v>
      </c>
      <c r="P416" s="1">
        <v>90</v>
      </c>
      <c r="Q416" s="1" t="str">
        <f>IF(WEEKDAY(Bike_Sharing_Master6[[#This Row],[Dteday]],2)&gt;=6,"Weekend","Weekday")</f>
        <v>Weekday</v>
      </c>
      <c r="R416" s="1" t="str">
        <f xml:space="preserve"> IF(Bike_Sharing_Master6[[#This Row],[Hr]]&lt;6,"Late Night", IF(Bike_Sharing_Master6[[#This Row],[Hr]]&lt;10,"Morning Peak", IF(Bike_Sharing_Master6[[#This Row],[Hr]]&lt;17,"Daytime", IF(Bike_Sharing_Master6[[#This Row],[Hr]]&lt;21,"Evening Peak","Night"))))</f>
        <v>Morning Peak</v>
      </c>
      <c r="S416" s="1" t="str">
        <f>IF(Bike_Sharing_Master6[[#This Row],[Holiday]]=1,"Holiday","Non-Holiday")</f>
        <v>Non-Holiday</v>
      </c>
      <c r="T416" s="1" t="str">
        <f>IF(Bike_Sharing_Master6[[#This Row],[Cnt]]&lt;80,"Low",IF(Bike_Sharing_Master6[[#This Row],[Cnt]]&lt;160,"Medium","High"))</f>
        <v>Medium</v>
      </c>
      <c r="U416" s="1" t="str">
        <f>VLOOKUP(Bike_Sharing_Master6[[#This Row],[Weathersit]],[1]Lookup_Weather!A:B,2,FALSE)</f>
        <v>Mist</v>
      </c>
    </row>
    <row r="417" spans="1:21" x14ac:dyDescent="0.3">
      <c r="A417">
        <v>416</v>
      </c>
      <c r="B417" s="3">
        <v>40562</v>
      </c>
      <c r="C417" s="1">
        <v>1</v>
      </c>
      <c r="D417" s="1">
        <v>0</v>
      </c>
      <c r="E417" s="1">
        <v>1</v>
      </c>
      <c r="F417" s="1">
        <v>8</v>
      </c>
      <c r="G417" t="b">
        <v>0</v>
      </c>
      <c r="H417" s="1">
        <v>3</v>
      </c>
      <c r="I417" s="1">
        <v>2</v>
      </c>
      <c r="J417" s="2">
        <v>0.24</v>
      </c>
      <c r="K417" s="2">
        <v>0.2576</v>
      </c>
      <c r="L417" s="2">
        <v>0.93</v>
      </c>
      <c r="M417" s="2">
        <v>0.1045</v>
      </c>
      <c r="N417" s="1">
        <v>1</v>
      </c>
      <c r="O417" s="1">
        <v>196</v>
      </c>
      <c r="P417" s="1">
        <v>197</v>
      </c>
      <c r="Q417" s="1" t="str">
        <f>IF(WEEKDAY(Bike_Sharing_Master6[[#This Row],[Dteday]],2)&gt;=6,"Weekend","Weekday")</f>
        <v>Weekday</v>
      </c>
      <c r="R417" s="1" t="str">
        <f xml:space="preserve"> IF(Bike_Sharing_Master6[[#This Row],[Hr]]&lt;6,"Late Night", IF(Bike_Sharing_Master6[[#This Row],[Hr]]&lt;10,"Morning Peak", IF(Bike_Sharing_Master6[[#This Row],[Hr]]&lt;17,"Daytime", IF(Bike_Sharing_Master6[[#This Row],[Hr]]&lt;21,"Evening Peak","Night"))))</f>
        <v>Morning Peak</v>
      </c>
      <c r="S417" s="1" t="str">
        <f>IF(Bike_Sharing_Master6[[#This Row],[Holiday]]=1,"Holiday","Non-Holiday")</f>
        <v>Non-Holiday</v>
      </c>
      <c r="T417" s="1" t="str">
        <f>IF(Bike_Sharing_Master6[[#This Row],[Cnt]]&lt;80,"Low",IF(Bike_Sharing_Master6[[#This Row],[Cnt]]&lt;160,"Medium","High"))</f>
        <v>High</v>
      </c>
      <c r="U417" s="1" t="str">
        <f>VLOOKUP(Bike_Sharing_Master6[[#This Row],[Weathersit]],[1]Lookup_Weather!A:B,2,FALSE)</f>
        <v>Mist</v>
      </c>
    </row>
    <row r="418" spans="1:21" x14ac:dyDescent="0.3">
      <c r="A418">
        <v>417</v>
      </c>
      <c r="B418" s="3">
        <v>40562</v>
      </c>
      <c r="C418" s="1">
        <v>1</v>
      </c>
      <c r="D418" s="1">
        <v>0</v>
      </c>
      <c r="E418" s="1">
        <v>1</v>
      </c>
      <c r="F418" s="1">
        <v>9</v>
      </c>
      <c r="G418" t="b">
        <v>0</v>
      </c>
      <c r="H418" s="1">
        <v>3</v>
      </c>
      <c r="I418" s="1">
        <v>2</v>
      </c>
      <c r="J418" s="2">
        <v>0.24</v>
      </c>
      <c r="K418" s="2">
        <v>0.2576</v>
      </c>
      <c r="L418" s="2">
        <v>0.93</v>
      </c>
      <c r="M418" s="2">
        <v>0.1045</v>
      </c>
      <c r="N418" s="1">
        <v>2</v>
      </c>
      <c r="O418" s="1">
        <v>107</v>
      </c>
      <c r="P418" s="1">
        <v>109</v>
      </c>
      <c r="Q418" s="1" t="str">
        <f>IF(WEEKDAY(Bike_Sharing_Master6[[#This Row],[Dteday]],2)&gt;=6,"Weekend","Weekday")</f>
        <v>Weekday</v>
      </c>
      <c r="R418" s="1" t="str">
        <f xml:space="preserve"> IF(Bike_Sharing_Master6[[#This Row],[Hr]]&lt;6,"Late Night", IF(Bike_Sharing_Master6[[#This Row],[Hr]]&lt;10,"Morning Peak", IF(Bike_Sharing_Master6[[#This Row],[Hr]]&lt;17,"Daytime", IF(Bike_Sharing_Master6[[#This Row],[Hr]]&lt;21,"Evening Peak","Night"))))</f>
        <v>Morning Peak</v>
      </c>
      <c r="S418" s="1" t="str">
        <f>IF(Bike_Sharing_Master6[[#This Row],[Holiday]]=1,"Holiday","Non-Holiday")</f>
        <v>Non-Holiday</v>
      </c>
      <c r="T418" s="1" t="str">
        <f>IF(Bike_Sharing_Master6[[#This Row],[Cnt]]&lt;80,"Low",IF(Bike_Sharing_Master6[[#This Row],[Cnt]]&lt;160,"Medium","High"))</f>
        <v>Medium</v>
      </c>
      <c r="U418" s="1" t="str">
        <f>VLOOKUP(Bike_Sharing_Master6[[#This Row],[Weathersit]],[1]Lookup_Weather!A:B,2,FALSE)</f>
        <v>Mist</v>
      </c>
    </row>
    <row r="419" spans="1:21" x14ac:dyDescent="0.3">
      <c r="A419">
        <v>418</v>
      </c>
      <c r="B419" s="3">
        <v>40562</v>
      </c>
      <c r="C419" s="1">
        <v>1</v>
      </c>
      <c r="D419" s="1">
        <v>0</v>
      </c>
      <c r="E419" s="1">
        <v>1</v>
      </c>
      <c r="F419" s="1">
        <v>10</v>
      </c>
      <c r="G419" t="b">
        <v>0</v>
      </c>
      <c r="H419" s="1">
        <v>3</v>
      </c>
      <c r="I419" s="1">
        <v>2</v>
      </c>
      <c r="J419" s="2">
        <v>0.26</v>
      </c>
      <c r="K419" s="2">
        <v>0.2727</v>
      </c>
      <c r="L419" s="2">
        <v>0.93</v>
      </c>
      <c r="M419" s="2">
        <v>0.1343</v>
      </c>
      <c r="N419" s="1">
        <v>1</v>
      </c>
      <c r="O419" s="1">
        <v>46</v>
      </c>
      <c r="P419" s="1">
        <v>47</v>
      </c>
      <c r="Q419" s="1" t="str">
        <f>IF(WEEKDAY(Bike_Sharing_Master6[[#This Row],[Dteday]],2)&gt;=6,"Weekend","Weekday")</f>
        <v>Weekday</v>
      </c>
      <c r="R419" s="1" t="str">
        <f xml:space="preserve"> IF(Bike_Sharing_Master6[[#This Row],[Hr]]&lt;6,"Late Night", IF(Bike_Sharing_Master6[[#This Row],[Hr]]&lt;10,"Morning Peak", IF(Bike_Sharing_Master6[[#This Row],[Hr]]&lt;17,"Daytime", IF(Bike_Sharing_Master6[[#This Row],[Hr]]&lt;21,"Evening Peak","Night"))))</f>
        <v>Daytime</v>
      </c>
      <c r="S419" s="1" t="str">
        <f>IF(Bike_Sharing_Master6[[#This Row],[Holiday]]=1,"Holiday","Non-Holiday")</f>
        <v>Non-Holiday</v>
      </c>
      <c r="T419" s="1" t="str">
        <f>IF(Bike_Sharing_Master6[[#This Row],[Cnt]]&lt;80,"Low",IF(Bike_Sharing_Master6[[#This Row],[Cnt]]&lt;160,"Medium","High"))</f>
        <v>Low</v>
      </c>
      <c r="U419" s="1" t="str">
        <f>VLOOKUP(Bike_Sharing_Master6[[#This Row],[Weathersit]],[1]Lookup_Weather!A:B,2,FALSE)</f>
        <v>Mist</v>
      </c>
    </row>
    <row r="420" spans="1:21" x14ac:dyDescent="0.3">
      <c r="A420">
        <v>419</v>
      </c>
      <c r="B420" s="3">
        <v>40562</v>
      </c>
      <c r="C420" s="1">
        <v>1</v>
      </c>
      <c r="D420" s="1">
        <v>0</v>
      </c>
      <c r="E420" s="1">
        <v>1</v>
      </c>
      <c r="F420" s="1">
        <v>11</v>
      </c>
      <c r="G420" t="b">
        <v>0</v>
      </c>
      <c r="H420" s="1">
        <v>3</v>
      </c>
      <c r="I420" s="1">
        <v>2</v>
      </c>
      <c r="J420" s="2">
        <v>0.28000000000000003</v>
      </c>
      <c r="K420" s="2">
        <v>0.30299999999999999</v>
      </c>
      <c r="L420" s="2">
        <v>0.87</v>
      </c>
      <c r="M420" s="2">
        <v>8.9599999999999999E-2</v>
      </c>
      <c r="N420" s="1">
        <v>5</v>
      </c>
      <c r="O420" s="1">
        <v>47</v>
      </c>
      <c r="P420" s="1">
        <v>52</v>
      </c>
      <c r="Q420" s="1" t="str">
        <f>IF(WEEKDAY(Bike_Sharing_Master6[[#This Row],[Dteday]],2)&gt;=6,"Weekend","Weekday")</f>
        <v>Weekday</v>
      </c>
      <c r="R420" s="1" t="str">
        <f xml:space="preserve"> IF(Bike_Sharing_Master6[[#This Row],[Hr]]&lt;6,"Late Night", IF(Bike_Sharing_Master6[[#This Row],[Hr]]&lt;10,"Morning Peak", IF(Bike_Sharing_Master6[[#This Row],[Hr]]&lt;17,"Daytime", IF(Bike_Sharing_Master6[[#This Row],[Hr]]&lt;21,"Evening Peak","Night"))))</f>
        <v>Daytime</v>
      </c>
      <c r="S420" s="1" t="str">
        <f>IF(Bike_Sharing_Master6[[#This Row],[Holiday]]=1,"Holiday","Non-Holiday")</f>
        <v>Non-Holiday</v>
      </c>
      <c r="T420" s="1" t="str">
        <f>IF(Bike_Sharing_Master6[[#This Row],[Cnt]]&lt;80,"Low",IF(Bike_Sharing_Master6[[#This Row],[Cnt]]&lt;160,"Medium","High"))</f>
        <v>Low</v>
      </c>
      <c r="U420" s="1" t="str">
        <f>VLOOKUP(Bike_Sharing_Master6[[#This Row],[Weathersit]],[1]Lookup_Weather!A:B,2,FALSE)</f>
        <v>Mist</v>
      </c>
    </row>
    <row r="421" spans="1:21" x14ac:dyDescent="0.3">
      <c r="A421">
        <v>420</v>
      </c>
      <c r="B421" s="3">
        <v>40562</v>
      </c>
      <c r="C421" s="1">
        <v>1</v>
      </c>
      <c r="D421" s="1">
        <v>0</v>
      </c>
      <c r="E421" s="1">
        <v>1</v>
      </c>
      <c r="F421" s="1">
        <v>12</v>
      </c>
      <c r="G421" t="b">
        <v>0</v>
      </c>
      <c r="H421" s="1">
        <v>3</v>
      </c>
      <c r="I421" s="1">
        <v>2</v>
      </c>
      <c r="J421" s="2">
        <v>0.3</v>
      </c>
      <c r="K421" s="2">
        <v>0.31819999999999998</v>
      </c>
      <c r="L421" s="2">
        <v>0.81</v>
      </c>
      <c r="M421" s="2">
        <v>8.9599999999999999E-2</v>
      </c>
      <c r="N421" s="1">
        <v>5</v>
      </c>
      <c r="O421" s="1">
        <v>65</v>
      </c>
      <c r="P421" s="1">
        <v>70</v>
      </c>
      <c r="Q421" s="1" t="str">
        <f>IF(WEEKDAY(Bike_Sharing_Master6[[#This Row],[Dteday]],2)&gt;=6,"Weekend","Weekday")</f>
        <v>Weekday</v>
      </c>
      <c r="R421" s="1" t="str">
        <f xml:space="preserve"> IF(Bike_Sharing_Master6[[#This Row],[Hr]]&lt;6,"Late Night", IF(Bike_Sharing_Master6[[#This Row],[Hr]]&lt;10,"Morning Peak", IF(Bike_Sharing_Master6[[#This Row],[Hr]]&lt;17,"Daytime", IF(Bike_Sharing_Master6[[#This Row],[Hr]]&lt;21,"Evening Peak","Night"))))</f>
        <v>Daytime</v>
      </c>
      <c r="S421" s="1" t="str">
        <f>IF(Bike_Sharing_Master6[[#This Row],[Holiday]]=1,"Holiday","Non-Holiday")</f>
        <v>Non-Holiday</v>
      </c>
      <c r="T421" s="1" t="str">
        <f>IF(Bike_Sharing_Master6[[#This Row],[Cnt]]&lt;80,"Low",IF(Bike_Sharing_Master6[[#This Row],[Cnt]]&lt;160,"Medium","High"))</f>
        <v>Low</v>
      </c>
      <c r="U421" s="1" t="str">
        <f>VLOOKUP(Bike_Sharing_Master6[[#This Row],[Weathersit]],[1]Lookup_Weather!A:B,2,FALSE)</f>
        <v>Mist</v>
      </c>
    </row>
    <row r="422" spans="1:21" x14ac:dyDescent="0.3">
      <c r="A422">
        <v>421</v>
      </c>
      <c r="B422" s="3">
        <v>40562</v>
      </c>
      <c r="C422" s="1">
        <v>1</v>
      </c>
      <c r="D422" s="1">
        <v>0</v>
      </c>
      <c r="E422" s="1">
        <v>1</v>
      </c>
      <c r="F422" s="1">
        <v>13</v>
      </c>
      <c r="G422" t="b">
        <v>0</v>
      </c>
      <c r="H422" s="1">
        <v>3</v>
      </c>
      <c r="I422" s="1">
        <v>1</v>
      </c>
      <c r="J422" s="2">
        <v>0.4</v>
      </c>
      <c r="K422" s="2">
        <v>0.40910000000000002</v>
      </c>
      <c r="L422" s="2">
        <v>0.62</v>
      </c>
      <c r="M422" s="2">
        <v>0.28360000000000002</v>
      </c>
      <c r="N422" s="1">
        <v>11</v>
      </c>
      <c r="O422" s="1">
        <v>67</v>
      </c>
      <c r="P422" s="1">
        <v>78</v>
      </c>
      <c r="Q422" s="1" t="str">
        <f>IF(WEEKDAY(Bike_Sharing_Master6[[#This Row],[Dteday]],2)&gt;=6,"Weekend","Weekday")</f>
        <v>Weekday</v>
      </c>
      <c r="R422" s="1" t="str">
        <f xml:space="preserve"> IF(Bike_Sharing_Master6[[#This Row],[Hr]]&lt;6,"Late Night", IF(Bike_Sharing_Master6[[#This Row],[Hr]]&lt;10,"Morning Peak", IF(Bike_Sharing_Master6[[#This Row],[Hr]]&lt;17,"Daytime", IF(Bike_Sharing_Master6[[#This Row],[Hr]]&lt;21,"Evening Peak","Night"))))</f>
        <v>Daytime</v>
      </c>
      <c r="S422" s="1" t="str">
        <f>IF(Bike_Sharing_Master6[[#This Row],[Holiday]]=1,"Holiday","Non-Holiday")</f>
        <v>Non-Holiday</v>
      </c>
      <c r="T422" s="1" t="str">
        <f>IF(Bike_Sharing_Master6[[#This Row],[Cnt]]&lt;80,"Low",IF(Bike_Sharing_Master6[[#This Row],[Cnt]]&lt;160,"Medium","High"))</f>
        <v>Low</v>
      </c>
      <c r="U422" s="1" t="str">
        <f>VLOOKUP(Bike_Sharing_Master6[[#This Row],[Weathersit]],[1]Lookup_Weather!A:B,2,FALSE)</f>
        <v>Clear</v>
      </c>
    </row>
    <row r="423" spans="1:21" x14ac:dyDescent="0.3">
      <c r="A423">
        <v>422</v>
      </c>
      <c r="B423" s="3">
        <v>40562</v>
      </c>
      <c r="C423" s="1">
        <v>1</v>
      </c>
      <c r="D423" s="1">
        <v>0</v>
      </c>
      <c r="E423" s="1">
        <v>1</v>
      </c>
      <c r="F423" s="1">
        <v>14</v>
      </c>
      <c r="G423" t="b">
        <v>0</v>
      </c>
      <c r="H423" s="1">
        <v>3</v>
      </c>
      <c r="I423" s="1">
        <v>1</v>
      </c>
      <c r="J423" s="2">
        <v>0.4</v>
      </c>
      <c r="K423" s="2">
        <v>0.40910000000000002</v>
      </c>
      <c r="L423" s="2">
        <v>0.57999999999999996</v>
      </c>
      <c r="M423" s="2">
        <v>0.25369999999999998</v>
      </c>
      <c r="N423" s="1">
        <v>7</v>
      </c>
      <c r="O423" s="1">
        <v>68</v>
      </c>
      <c r="P423" s="1">
        <v>75</v>
      </c>
      <c r="Q423" s="1" t="str">
        <f>IF(WEEKDAY(Bike_Sharing_Master6[[#This Row],[Dteday]],2)&gt;=6,"Weekend","Weekday")</f>
        <v>Weekday</v>
      </c>
      <c r="R423" s="1" t="str">
        <f xml:space="preserve"> IF(Bike_Sharing_Master6[[#This Row],[Hr]]&lt;6,"Late Night", IF(Bike_Sharing_Master6[[#This Row],[Hr]]&lt;10,"Morning Peak", IF(Bike_Sharing_Master6[[#This Row],[Hr]]&lt;17,"Daytime", IF(Bike_Sharing_Master6[[#This Row],[Hr]]&lt;21,"Evening Peak","Night"))))</f>
        <v>Daytime</v>
      </c>
      <c r="S423" s="1" t="str">
        <f>IF(Bike_Sharing_Master6[[#This Row],[Holiday]]=1,"Holiday","Non-Holiday")</f>
        <v>Non-Holiday</v>
      </c>
      <c r="T423" s="1" t="str">
        <f>IF(Bike_Sharing_Master6[[#This Row],[Cnt]]&lt;80,"Low",IF(Bike_Sharing_Master6[[#This Row],[Cnt]]&lt;160,"Medium","High"))</f>
        <v>Low</v>
      </c>
      <c r="U423" s="1" t="str">
        <f>VLOOKUP(Bike_Sharing_Master6[[#This Row],[Weathersit]],[1]Lookup_Weather!A:B,2,FALSE)</f>
        <v>Clear</v>
      </c>
    </row>
    <row r="424" spans="1:21" x14ac:dyDescent="0.3">
      <c r="A424">
        <v>423</v>
      </c>
      <c r="B424" s="3">
        <v>40562</v>
      </c>
      <c r="C424" s="1">
        <v>1</v>
      </c>
      <c r="D424" s="1">
        <v>0</v>
      </c>
      <c r="E424" s="1">
        <v>1</v>
      </c>
      <c r="F424" s="1">
        <v>15</v>
      </c>
      <c r="G424" t="b">
        <v>0</v>
      </c>
      <c r="H424" s="1">
        <v>3</v>
      </c>
      <c r="I424" s="1">
        <v>1</v>
      </c>
      <c r="J424" s="2">
        <v>0.4</v>
      </c>
      <c r="K424" s="2">
        <v>0.40910000000000002</v>
      </c>
      <c r="L424" s="2">
        <v>0.54</v>
      </c>
      <c r="M424" s="2">
        <v>0.28360000000000002</v>
      </c>
      <c r="N424" s="1">
        <v>4</v>
      </c>
      <c r="O424" s="1">
        <v>78</v>
      </c>
      <c r="P424" s="1">
        <v>82</v>
      </c>
      <c r="Q424" s="1" t="str">
        <f>IF(WEEKDAY(Bike_Sharing_Master6[[#This Row],[Dteday]],2)&gt;=6,"Weekend","Weekday")</f>
        <v>Weekday</v>
      </c>
      <c r="R424" s="1" t="str">
        <f xml:space="preserve"> IF(Bike_Sharing_Master6[[#This Row],[Hr]]&lt;6,"Late Night", IF(Bike_Sharing_Master6[[#This Row],[Hr]]&lt;10,"Morning Peak", IF(Bike_Sharing_Master6[[#This Row],[Hr]]&lt;17,"Daytime", IF(Bike_Sharing_Master6[[#This Row],[Hr]]&lt;21,"Evening Peak","Night"))))</f>
        <v>Daytime</v>
      </c>
      <c r="S424" s="1" t="str">
        <f>IF(Bike_Sharing_Master6[[#This Row],[Holiday]]=1,"Holiday","Non-Holiday")</f>
        <v>Non-Holiday</v>
      </c>
      <c r="T424" s="1" t="str">
        <f>IF(Bike_Sharing_Master6[[#This Row],[Cnt]]&lt;80,"Low",IF(Bike_Sharing_Master6[[#This Row],[Cnt]]&lt;160,"Medium","High"))</f>
        <v>Medium</v>
      </c>
      <c r="U424" s="1" t="str">
        <f>VLOOKUP(Bike_Sharing_Master6[[#This Row],[Weathersit]],[1]Lookup_Weather!A:B,2,FALSE)</f>
        <v>Clear</v>
      </c>
    </row>
    <row r="425" spans="1:21" x14ac:dyDescent="0.3">
      <c r="A425">
        <v>424</v>
      </c>
      <c r="B425" s="3">
        <v>40562</v>
      </c>
      <c r="C425" s="1">
        <v>1</v>
      </c>
      <c r="D425" s="1">
        <v>0</v>
      </c>
      <c r="E425" s="1">
        <v>1</v>
      </c>
      <c r="F425" s="1">
        <v>16</v>
      </c>
      <c r="G425" t="b">
        <v>0</v>
      </c>
      <c r="H425" s="1">
        <v>3</v>
      </c>
      <c r="I425" s="1">
        <v>1</v>
      </c>
      <c r="J425" s="2">
        <v>0.38</v>
      </c>
      <c r="K425" s="2">
        <v>0.39389999999999997</v>
      </c>
      <c r="L425" s="2">
        <v>0.57999999999999996</v>
      </c>
      <c r="M425" s="2">
        <v>0.3881</v>
      </c>
      <c r="N425" s="1">
        <v>10</v>
      </c>
      <c r="O425" s="1">
        <v>94</v>
      </c>
      <c r="P425" s="1">
        <v>104</v>
      </c>
      <c r="Q425" s="1" t="str">
        <f>IF(WEEKDAY(Bike_Sharing_Master6[[#This Row],[Dteday]],2)&gt;=6,"Weekend","Weekday")</f>
        <v>Weekday</v>
      </c>
      <c r="R425" s="1" t="str">
        <f xml:space="preserve"> IF(Bike_Sharing_Master6[[#This Row],[Hr]]&lt;6,"Late Night", IF(Bike_Sharing_Master6[[#This Row],[Hr]]&lt;10,"Morning Peak", IF(Bike_Sharing_Master6[[#This Row],[Hr]]&lt;17,"Daytime", IF(Bike_Sharing_Master6[[#This Row],[Hr]]&lt;21,"Evening Peak","Night"))))</f>
        <v>Daytime</v>
      </c>
      <c r="S425" s="1" t="str">
        <f>IF(Bike_Sharing_Master6[[#This Row],[Holiday]]=1,"Holiday","Non-Holiday")</f>
        <v>Non-Holiday</v>
      </c>
      <c r="T425" s="1" t="str">
        <f>IF(Bike_Sharing_Master6[[#This Row],[Cnt]]&lt;80,"Low",IF(Bike_Sharing_Master6[[#This Row],[Cnt]]&lt;160,"Medium","High"))</f>
        <v>Medium</v>
      </c>
      <c r="U425" s="1" t="str">
        <f>VLOOKUP(Bike_Sharing_Master6[[#This Row],[Weathersit]],[1]Lookup_Weather!A:B,2,FALSE)</f>
        <v>Clear</v>
      </c>
    </row>
    <row r="426" spans="1:21" x14ac:dyDescent="0.3">
      <c r="A426">
        <v>425</v>
      </c>
      <c r="B426" s="3">
        <v>40562</v>
      </c>
      <c r="C426" s="1">
        <v>1</v>
      </c>
      <c r="D426" s="1">
        <v>0</v>
      </c>
      <c r="E426" s="1">
        <v>1</v>
      </c>
      <c r="F426" s="1">
        <v>17</v>
      </c>
      <c r="G426" t="b">
        <v>0</v>
      </c>
      <c r="H426" s="1">
        <v>3</v>
      </c>
      <c r="I426" s="1">
        <v>1</v>
      </c>
      <c r="J426" s="2">
        <v>0.36</v>
      </c>
      <c r="K426" s="2">
        <v>0.33329999999999999</v>
      </c>
      <c r="L426" s="2">
        <v>0.56999999999999995</v>
      </c>
      <c r="M426" s="2">
        <v>0.32840000000000003</v>
      </c>
      <c r="N426" s="1">
        <v>7</v>
      </c>
      <c r="O426" s="1">
        <v>190</v>
      </c>
      <c r="P426" s="1">
        <v>197</v>
      </c>
      <c r="Q426" s="1" t="str">
        <f>IF(WEEKDAY(Bike_Sharing_Master6[[#This Row],[Dteday]],2)&gt;=6,"Weekend","Weekday")</f>
        <v>Weekday</v>
      </c>
      <c r="R426" s="1" t="str">
        <f xml:space="preserve"> IF(Bike_Sharing_Master6[[#This Row],[Hr]]&lt;6,"Late Night", IF(Bike_Sharing_Master6[[#This Row],[Hr]]&lt;10,"Morning Peak", IF(Bike_Sharing_Master6[[#This Row],[Hr]]&lt;17,"Daytime", IF(Bike_Sharing_Master6[[#This Row],[Hr]]&lt;21,"Evening Peak","Night"))))</f>
        <v>Evening Peak</v>
      </c>
      <c r="S426" s="1" t="str">
        <f>IF(Bike_Sharing_Master6[[#This Row],[Holiday]]=1,"Holiday","Non-Holiday")</f>
        <v>Non-Holiday</v>
      </c>
      <c r="T426" s="1" t="str">
        <f>IF(Bike_Sharing_Master6[[#This Row],[Cnt]]&lt;80,"Low",IF(Bike_Sharing_Master6[[#This Row],[Cnt]]&lt;160,"Medium","High"))</f>
        <v>High</v>
      </c>
      <c r="U426" s="1" t="str">
        <f>VLOOKUP(Bike_Sharing_Master6[[#This Row],[Weathersit]],[1]Lookup_Weather!A:B,2,FALSE)</f>
        <v>Clear</v>
      </c>
    </row>
    <row r="427" spans="1:21" x14ac:dyDescent="0.3">
      <c r="A427">
        <v>426</v>
      </c>
      <c r="B427" s="3">
        <v>40562</v>
      </c>
      <c r="C427" s="1">
        <v>1</v>
      </c>
      <c r="D427" s="1">
        <v>0</v>
      </c>
      <c r="E427" s="1">
        <v>1</v>
      </c>
      <c r="F427" s="1">
        <v>18</v>
      </c>
      <c r="G427" t="b">
        <v>0</v>
      </c>
      <c r="H427" s="1">
        <v>3</v>
      </c>
      <c r="I427" s="1">
        <v>1</v>
      </c>
      <c r="J427" s="2">
        <v>0.34</v>
      </c>
      <c r="K427" s="2">
        <v>0.31819999999999998</v>
      </c>
      <c r="L427" s="2">
        <v>0.61</v>
      </c>
      <c r="M427" s="2">
        <v>0.28360000000000002</v>
      </c>
      <c r="N427" s="1">
        <v>5</v>
      </c>
      <c r="O427" s="1">
        <v>156</v>
      </c>
      <c r="P427" s="1">
        <v>161</v>
      </c>
      <c r="Q427" s="1" t="str">
        <f>IF(WEEKDAY(Bike_Sharing_Master6[[#This Row],[Dteday]],2)&gt;=6,"Weekend","Weekday")</f>
        <v>Weekday</v>
      </c>
      <c r="R427" s="1" t="str">
        <f xml:space="preserve"> IF(Bike_Sharing_Master6[[#This Row],[Hr]]&lt;6,"Late Night", IF(Bike_Sharing_Master6[[#This Row],[Hr]]&lt;10,"Morning Peak", IF(Bike_Sharing_Master6[[#This Row],[Hr]]&lt;17,"Daytime", IF(Bike_Sharing_Master6[[#This Row],[Hr]]&lt;21,"Evening Peak","Night"))))</f>
        <v>Evening Peak</v>
      </c>
      <c r="S427" s="1" t="str">
        <f>IF(Bike_Sharing_Master6[[#This Row],[Holiday]]=1,"Holiday","Non-Holiday")</f>
        <v>Non-Holiday</v>
      </c>
      <c r="T427" s="1" t="str">
        <f>IF(Bike_Sharing_Master6[[#This Row],[Cnt]]&lt;80,"Low",IF(Bike_Sharing_Master6[[#This Row],[Cnt]]&lt;160,"Medium","High"))</f>
        <v>High</v>
      </c>
      <c r="U427" s="1" t="str">
        <f>VLOOKUP(Bike_Sharing_Master6[[#This Row],[Weathersit]],[1]Lookup_Weather!A:B,2,FALSE)</f>
        <v>Clear</v>
      </c>
    </row>
    <row r="428" spans="1:21" x14ac:dyDescent="0.3">
      <c r="A428">
        <v>427</v>
      </c>
      <c r="B428" s="3">
        <v>40562</v>
      </c>
      <c r="C428" s="1">
        <v>1</v>
      </c>
      <c r="D428" s="1">
        <v>0</v>
      </c>
      <c r="E428" s="1">
        <v>1</v>
      </c>
      <c r="F428" s="1">
        <v>19</v>
      </c>
      <c r="G428" t="b">
        <v>0</v>
      </c>
      <c r="H428" s="1">
        <v>3</v>
      </c>
      <c r="I428" s="1">
        <v>1</v>
      </c>
      <c r="J428" s="2">
        <v>0.32</v>
      </c>
      <c r="K428" s="2">
        <v>0.28789999999999999</v>
      </c>
      <c r="L428" s="2">
        <v>0.56999999999999995</v>
      </c>
      <c r="M428" s="2">
        <v>0.41789999999999999</v>
      </c>
      <c r="N428" s="1">
        <v>4</v>
      </c>
      <c r="O428" s="1">
        <v>108</v>
      </c>
      <c r="P428" s="1">
        <v>112</v>
      </c>
      <c r="Q428" s="1" t="str">
        <f>IF(WEEKDAY(Bike_Sharing_Master6[[#This Row],[Dteday]],2)&gt;=6,"Weekend","Weekday")</f>
        <v>Weekday</v>
      </c>
      <c r="R428" s="1" t="str">
        <f xml:space="preserve"> IF(Bike_Sharing_Master6[[#This Row],[Hr]]&lt;6,"Late Night", IF(Bike_Sharing_Master6[[#This Row],[Hr]]&lt;10,"Morning Peak", IF(Bike_Sharing_Master6[[#This Row],[Hr]]&lt;17,"Daytime", IF(Bike_Sharing_Master6[[#This Row],[Hr]]&lt;21,"Evening Peak","Night"))))</f>
        <v>Evening Peak</v>
      </c>
      <c r="S428" s="1" t="str">
        <f>IF(Bike_Sharing_Master6[[#This Row],[Holiday]]=1,"Holiday","Non-Holiday")</f>
        <v>Non-Holiday</v>
      </c>
      <c r="T428" s="1" t="str">
        <f>IF(Bike_Sharing_Master6[[#This Row],[Cnt]]&lt;80,"Low",IF(Bike_Sharing_Master6[[#This Row],[Cnt]]&lt;160,"Medium","High"))</f>
        <v>Medium</v>
      </c>
      <c r="U428" s="1" t="str">
        <f>VLOOKUP(Bike_Sharing_Master6[[#This Row],[Weathersit]],[1]Lookup_Weather!A:B,2,FALSE)</f>
        <v>Clear</v>
      </c>
    </row>
    <row r="429" spans="1:21" x14ac:dyDescent="0.3">
      <c r="A429">
        <v>428</v>
      </c>
      <c r="B429" s="3">
        <v>40562</v>
      </c>
      <c r="C429" s="1">
        <v>1</v>
      </c>
      <c r="D429" s="1">
        <v>0</v>
      </c>
      <c r="E429" s="1">
        <v>1</v>
      </c>
      <c r="F429" s="1">
        <v>20</v>
      </c>
      <c r="G429" t="b">
        <v>0</v>
      </c>
      <c r="H429" s="1">
        <v>3</v>
      </c>
      <c r="I429" s="1">
        <v>1</v>
      </c>
      <c r="J429" s="2">
        <v>0.32</v>
      </c>
      <c r="K429" s="2">
        <v>0.30299999999999999</v>
      </c>
      <c r="L429" s="2">
        <v>0.49</v>
      </c>
      <c r="M429" s="2">
        <v>0.29849999999999999</v>
      </c>
      <c r="N429" s="1">
        <v>2</v>
      </c>
      <c r="O429" s="1">
        <v>74</v>
      </c>
      <c r="P429" s="1">
        <v>76</v>
      </c>
      <c r="Q429" s="1" t="str">
        <f>IF(WEEKDAY(Bike_Sharing_Master6[[#This Row],[Dteday]],2)&gt;=6,"Weekend","Weekday")</f>
        <v>Weekday</v>
      </c>
      <c r="R429" s="1" t="str">
        <f xml:space="preserve"> IF(Bike_Sharing_Master6[[#This Row],[Hr]]&lt;6,"Late Night", IF(Bike_Sharing_Master6[[#This Row],[Hr]]&lt;10,"Morning Peak", IF(Bike_Sharing_Master6[[#This Row],[Hr]]&lt;17,"Daytime", IF(Bike_Sharing_Master6[[#This Row],[Hr]]&lt;21,"Evening Peak","Night"))))</f>
        <v>Evening Peak</v>
      </c>
      <c r="S429" s="1" t="str">
        <f>IF(Bike_Sharing_Master6[[#This Row],[Holiday]]=1,"Holiday","Non-Holiday")</f>
        <v>Non-Holiday</v>
      </c>
      <c r="T429" s="1" t="str">
        <f>IF(Bike_Sharing_Master6[[#This Row],[Cnt]]&lt;80,"Low",IF(Bike_Sharing_Master6[[#This Row],[Cnt]]&lt;160,"Medium","High"))</f>
        <v>Low</v>
      </c>
      <c r="U429" s="1" t="str">
        <f>VLOOKUP(Bike_Sharing_Master6[[#This Row],[Weathersit]],[1]Lookup_Weather!A:B,2,FALSE)</f>
        <v>Clear</v>
      </c>
    </row>
    <row r="430" spans="1:21" x14ac:dyDescent="0.3">
      <c r="A430">
        <v>429</v>
      </c>
      <c r="B430" s="3">
        <v>40562</v>
      </c>
      <c r="C430" s="1">
        <v>1</v>
      </c>
      <c r="D430" s="1">
        <v>0</v>
      </c>
      <c r="E430" s="1">
        <v>1</v>
      </c>
      <c r="F430" s="1">
        <v>21</v>
      </c>
      <c r="G430" t="b">
        <v>0</v>
      </c>
      <c r="H430" s="1">
        <v>3</v>
      </c>
      <c r="I430" s="1">
        <v>1</v>
      </c>
      <c r="J430" s="2">
        <v>0.32</v>
      </c>
      <c r="K430" s="2">
        <v>0.28789999999999999</v>
      </c>
      <c r="L430" s="2">
        <v>0.49</v>
      </c>
      <c r="M430" s="2">
        <v>0.41789999999999999</v>
      </c>
      <c r="N430" s="1">
        <v>4</v>
      </c>
      <c r="O430" s="1">
        <v>55</v>
      </c>
      <c r="P430" s="1">
        <v>59</v>
      </c>
      <c r="Q430" s="1" t="str">
        <f>IF(WEEKDAY(Bike_Sharing_Master6[[#This Row],[Dteday]],2)&gt;=6,"Weekend","Weekday")</f>
        <v>Weekday</v>
      </c>
      <c r="R430" s="1" t="str">
        <f xml:space="preserve"> IF(Bike_Sharing_Master6[[#This Row],[Hr]]&lt;6,"Late Night", IF(Bike_Sharing_Master6[[#This Row],[Hr]]&lt;10,"Morning Peak", IF(Bike_Sharing_Master6[[#This Row],[Hr]]&lt;17,"Daytime", IF(Bike_Sharing_Master6[[#This Row],[Hr]]&lt;21,"Evening Peak","Night"))))</f>
        <v>Night</v>
      </c>
      <c r="S430" s="1" t="str">
        <f>IF(Bike_Sharing_Master6[[#This Row],[Holiday]]=1,"Holiday","Non-Holiday")</f>
        <v>Non-Holiday</v>
      </c>
      <c r="T430" s="1" t="str">
        <f>IF(Bike_Sharing_Master6[[#This Row],[Cnt]]&lt;80,"Low",IF(Bike_Sharing_Master6[[#This Row],[Cnt]]&lt;160,"Medium","High"))</f>
        <v>Low</v>
      </c>
      <c r="U430" s="1" t="str">
        <f>VLOOKUP(Bike_Sharing_Master6[[#This Row],[Weathersit]],[1]Lookup_Weather!A:B,2,FALSE)</f>
        <v>Clear</v>
      </c>
    </row>
    <row r="431" spans="1:21" x14ac:dyDescent="0.3">
      <c r="A431">
        <v>430</v>
      </c>
      <c r="B431" s="3">
        <v>40562</v>
      </c>
      <c r="C431" s="1">
        <v>1</v>
      </c>
      <c r="D431" s="1">
        <v>0</v>
      </c>
      <c r="E431" s="1">
        <v>1</v>
      </c>
      <c r="F431" s="1">
        <v>22</v>
      </c>
      <c r="G431" t="b">
        <v>0</v>
      </c>
      <c r="H431" s="1">
        <v>3</v>
      </c>
      <c r="I431" s="1">
        <v>1</v>
      </c>
      <c r="J431" s="2">
        <v>0.3</v>
      </c>
      <c r="K431" s="2">
        <v>0.30299999999999999</v>
      </c>
      <c r="L431" s="2">
        <v>0.52</v>
      </c>
      <c r="M431" s="2">
        <v>0.16420000000000001</v>
      </c>
      <c r="N431" s="1">
        <v>6</v>
      </c>
      <c r="O431" s="1">
        <v>53</v>
      </c>
      <c r="P431" s="1">
        <v>59</v>
      </c>
      <c r="Q431" s="1" t="str">
        <f>IF(WEEKDAY(Bike_Sharing_Master6[[#This Row],[Dteday]],2)&gt;=6,"Weekend","Weekday")</f>
        <v>Weekday</v>
      </c>
      <c r="R431" s="1" t="str">
        <f xml:space="preserve"> IF(Bike_Sharing_Master6[[#This Row],[Hr]]&lt;6,"Late Night", IF(Bike_Sharing_Master6[[#This Row],[Hr]]&lt;10,"Morning Peak", IF(Bike_Sharing_Master6[[#This Row],[Hr]]&lt;17,"Daytime", IF(Bike_Sharing_Master6[[#This Row],[Hr]]&lt;21,"Evening Peak","Night"))))</f>
        <v>Night</v>
      </c>
      <c r="S431" s="1" t="str">
        <f>IF(Bike_Sharing_Master6[[#This Row],[Holiday]]=1,"Holiday","Non-Holiday")</f>
        <v>Non-Holiday</v>
      </c>
      <c r="T431" s="1" t="str">
        <f>IF(Bike_Sharing_Master6[[#This Row],[Cnt]]&lt;80,"Low",IF(Bike_Sharing_Master6[[#This Row],[Cnt]]&lt;160,"Medium","High"))</f>
        <v>Low</v>
      </c>
      <c r="U431" s="1" t="str">
        <f>VLOOKUP(Bike_Sharing_Master6[[#This Row],[Weathersit]],[1]Lookup_Weather!A:B,2,FALSE)</f>
        <v>Clear</v>
      </c>
    </row>
    <row r="432" spans="1:21" x14ac:dyDescent="0.3">
      <c r="A432">
        <v>431</v>
      </c>
      <c r="B432" s="3">
        <v>40562</v>
      </c>
      <c r="C432" s="1">
        <v>1</v>
      </c>
      <c r="D432" s="1">
        <v>0</v>
      </c>
      <c r="E432" s="1">
        <v>1</v>
      </c>
      <c r="F432" s="1">
        <v>23</v>
      </c>
      <c r="G432" t="b">
        <v>0</v>
      </c>
      <c r="H432" s="1">
        <v>3</v>
      </c>
      <c r="I432" s="1">
        <v>1</v>
      </c>
      <c r="J432" s="2">
        <v>0.3</v>
      </c>
      <c r="K432" s="2">
        <v>0.2727</v>
      </c>
      <c r="L432" s="2">
        <v>0.52</v>
      </c>
      <c r="M432" s="2">
        <v>0.4627</v>
      </c>
      <c r="N432" s="1">
        <v>1</v>
      </c>
      <c r="O432" s="1">
        <v>27</v>
      </c>
      <c r="P432" s="1">
        <v>28</v>
      </c>
      <c r="Q432" s="1" t="str">
        <f>IF(WEEKDAY(Bike_Sharing_Master6[[#This Row],[Dteday]],2)&gt;=6,"Weekend","Weekday")</f>
        <v>Weekday</v>
      </c>
      <c r="R432" s="1" t="str">
        <f xml:space="preserve"> IF(Bike_Sharing_Master6[[#This Row],[Hr]]&lt;6,"Late Night", IF(Bike_Sharing_Master6[[#This Row],[Hr]]&lt;10,"Morning Peak", IF(Bike_Sharing_Master6[[#This Row],[Hr]]&lt;17,"Daytime", IF(Bike_Sharing_Master6[[#This Row],[Hr]]&lt;21,"Evening Peak","Night"))))</f>
        <v>Night</v>
      </c>
      <c r="S432" s="1" t="str">
        <f>IF(Bike_Sharing_Master6[[#This Row],[Holiday]]=1,"Holiday","Non-Holiday")</f>
        <v>Non-Holiday</v>
      </c>
      <c r="T432" s="1" t="str">
        <f>IF(Bike_Sharing_Master6[[#This Row],[Cnt]]&lt;80,"Low",IF(Bike_Sharing_Master6[[#This Row],[Cnt]]&lt;160,"Medium","High"))</f>
        <v>Low</v>
      </c>
      <c r="U432" s="1" t="str">
        <f>VLOOKUP(Bike_Sharing_Master6[[#This Row],[Weathersit]],[1]Lookup_Weather!A:B,2,FALSE)</f>
        <v>Clear</v>
      </c>
    </row>
    <row r="433" spans="1:21" x14ac:dyDescent="0.3">
      <c r="A433">
        <v>432</v>
      </c>
      <c r="B433" s="3">
        <v>40563</v>
      </c>
      <c r="C433" s="1">
        <v>1</v>
      </c>
      <c r="D433" s="1">
        <v>0</v>
      </c>
      <c r="E433" s="1">
        <v>1</v>
      </c>
      <c r="F433" s="1">
        <v>0</v>
      </c>
      <c r="G433" t="b">
        <v>0</v>
      </c>
      <c r="H433" s="1">
        <v>4</v>
      </c>
      <c r="I433" s="1">
        <v>1</v>
      </c>
      <c r="J433" s="2">
        <v>0.26</v>
      </c>
      <c r="K433" s="2">
        <v>0.2273</v>
      </c>
      <c r="L433" s="2">
        <v>0.56000000000000005</v>
      </c>
      <c r="M433" s="2">
        <v>0.3881</v>
      </c>
      <c r="N433" s="1">
        <v>5</v>
      </c>
      <c r="O433" s="1">
        <v>8</v>
      </c>
      <c r="P433" s="1">
        <v>13</v>
      </c>
      <c r="Q433" s="1" t="str">
        <f>IF(WEEKDAY(Bike_Sharing_Master6[[#This Row],[Dteday]],2)&gt;=6,"Weekend","Weekday")</f>
        <v>Weekday</v>
      </c>
      <c r="R433" s="1" t="str">
        <f xml:space="preserve"> IF(Bike_Sharing_Master6[[#This Row],[Hr]]&lt;6,"Late Night", IF(Bike_Sharing_Master6[[#This Row],[Hr]]&lt;10,"Morning Peak", IF(Bike_Sharing_Master6[[#This Row],[Hr]]&lt;17,"Daytime", IF(Bike_Sharing_Master6[[#This Row],[Hr]]&lt;21,"Evening Peak","Night"))))</f>
        <v>Late Night</v>
      </c>
      <c r="S433" s="1" t="str">
        <f>IF(Bike_Sharing_Master6[[#This Row],[Holiday]]=1,"Holiday","Non-Holiday")</f>
        <v>Non-Holiday</v>
      </c>
      <c r="T433" s="1" t="str">
        <f>IF(Bike_Sharing_Master6[[#This Row],[Cnt]]&lt;80,"Low",IF(Bike_Sharing_Master6[[#This Row],[Cnt]]&lt;160,"Medium","High"))</f>
        <v>Low</v>
      </c>
      <c r="U433" s="1" t="str">
        <f>VLOOKUP(Bike_Sharing_Master6[[#This Row],[Weathersit]],[1]Lookup_Weather!A:B,2,FALSE)</f>
        <v>Clear</v>
      </c>
    </row>
    <row r="434" spans="1:21" x14ac:dyDescent="0.3">
      <c r="A434">
        <v>433</v>
      </c>
      <c r="B434" s="3">
        <v>40563</v>
      </c>
      <c r="C434" s="1">
        <v>1</v>
      </c>
      <c r="D434" s="1">
        <v>0</v>
      </c>
      <c r="E434" s="1">
        <v>1</v>
      </c>
      <c r="F434" s="1">
        <v>1</v>
      </c>
      <c r="G434" t="b">
        <v>0</v>
      </c>
      <c r="H434" s="1">
        <v>4</v>
      </c>
      <c r="I434" s="1">
        <v>1</v>
      </c>
      <c r="J434" s="2">
        <v>0.26</v>
      </c>
      <c r="K434" s="2">
        <v>0.2727</v>
      </c>
      <c r="L434" s="2">
        <v>0.56000000000000005</v>
      </c>
      <c r="M434" s="2">
        <v>0</v>
      </c>
      <c r="N434" s="1">
        <v>2</v>
      </c>
      <c r="O434" s="1">
        <v>3</v>
      </c>
      <c r="P434" s="1">
        <v>5</v>
      </c>
      <c r="Q434" s="1" t="str">
        <f>IF(WEEKDAY(Bike_Sharing_Master6[[#This Row],[Dteday]],2)&gt;=6,"Weekend","Weekday")</f>
        <v>Weekday</v>
      </c>
      <c r="R434" s="1" t="str">
        <f xml:space="preserve"> IF(Bike_Sharing_Master6[[#This Row],[Hr]]&lt;6,"Late Night", IF(Bike_Sharing_Master6[[#This Row],[Hr]]&lt;10,"Morning Peak", IF(Bike_Sharing_Master6[[#This Row],[Hr]]&lt;17,"Daytime", IF(Bike_Sharing_Master6[[#This Row],[Hr]]&lt;21,"Evening Peak","Night"))))</f>
        <v>Late Night</v>
      </c>
      <c r="S434" s="1" t="str">
        <f>IF(Bike_Sharing_Master6[[#This Row],[Holiday]]=1,"Holiday","Non-Holiday")</f>
        <v>Non-Holiday</v>
      </c>
      <c r="T434" s="1" t="str">
        <f>IF(Bike_Sharing_Master6[[#This Row],[Cnt]]&lt;80,"Low",IF(Bike_Sharing_Master6[[#This Row],[Cnt]]&lt;160,"Medium","High"))</f>
        <v>Low</v>
      </c>
      <c r="U434" s="1" t="str">
        <f>VLOOKUP(Bike_Sharing_Master6[[#This Row],[Weathersit]],[1]Lookup_Weather!A:B,2,FALSE)</f>
        <v>Clear</v>
      </c>
    </row>
    <row r="435" spans="1:21" x14ac:dyDescent="0.3">
      <c r="A435">
        <v>434</v>
      </c>
      <c r="B435" s="3">
        <v>40563</v>
      </c>
      <c r="C435" s="1">
        <v>1</v>
      </c>
      <c r="D435" s="1">
        <v>0</v>
      </c>
      <c r="E435" s="1">
        <v>1</v>
      </c>
      <c r="F435" s="1">
        <v>2</v>
      </c>
      <c r="G435" t="b">
        <v>0</v>
      </c>
      <c r="H435" s="1">
        <v>4</v>
      </c>
      <c r="I435" s="1">
        <v>1</v>
      </c>
      <c r="J435" s="2">
        <v>0.26</v>
      </c>
      <c r="K435" s="2">
        <v>0.2727</v>
      </c>
      <c r="L435" s="2">
        <v>0.56000000000000005</v>
      </c>
      <c r="M435" s="2">
        <v>0</v>
      </c>
      <c r="N435" s="1">
        <v>0</v>
      </c>
      <c r="O435" s="1">
        <v>2</v>
      </c>
      <c r="P435" s="1">
        <v>2</v>
      </c>
      <c r="Q435" s="1" t="str">
        <f>IF(WEEKDAY(Bike_Sharing_Master6[[#This Row],[Dteday]],2)&gt;=6,"Weekend","Weekday")</f>
        <v>Weekday</v>
      </c>
      <c r="R435" s="1" t="str">
        <f xml:space="preserve"> IF(Bike_Sharing_Master6[[#This Row],[Hr]]&lt;6,"Late Night", IF(Bike_Sharing_Master6[[#This Row],[Hr]]&lt;10,"Morning Peak", IF(Bike_Sharing_Master6[[#This Row],[Hr]]&lt;17,"Daytime", IF(Bike_Sharing_Master6[[#This Row],[Hr]]&lt;21,"Evening Peak","Night"))))</f>
        <v>Late Night</v>
      </c>
      <c r="S435" s="1" t="str">
        <f>IF(Bike_Sharing_Master6[[#This Row],[Holiday]]=1,"Holiday","Non-Holiday")</f>
        <v>Non-Holiday</v>
      </c>
      <c r="T435" s="1" t="str">
        <f>IF(Bike_Sharing_Master6[[#This Row],[Cnt]]&lt;80,"Low",IF(Bike_Sharing_Master6[[#This Row],[Cnt]]&lt;160,"Medium","High"))</f>
        <v>Low</v>
      </c>
      <c r="U435" s="1" t="str">
        <f>VLOOKUP(Bike_Sharing_Master6[[#This Row],[Weathersit]],[1]Lookup_Weather!A:B,2,FALSE)</f>
        <v>Clear</v>
      </c>
    </row>
    <row r="436" spans="1:21" x14ac:dyDescent="0.3">
      <c r="A436">
        <v>435</v>
      </c>
      <c r="B436" s="3">
        <v>40563</v>
      </c>
      <c r="C436" s="1">
        <v>1</v>
      </c>
      <c r="D436" s="1">
        <v>0</v>
      </c>
      <c r="E436" s="1">
        <v>1</v>
      </c>
      <c r="F436" s="1">
        <v>3</v>
      </c>
      <c r="G436" t="b">
        <v>0</v>
      </c>
      <c r="H436" s="1">
        <v>4</v>
      </c>
      <c r="I436" s="1">
        <v>1</v>
      </c>
      <c r="J436" s="2">
        <v>0.26</v>
      </c>
      <c r="K436" s="2">
        <v>0.2576</v>
      </c>
      <c r="L436" s="2">
        <v>0.56000000000000005</v>
      </c>
      <c r="M436" s="2">
        <v>0.16420000000000001</v>
      </c>
      <c r="N436" s="1">
        <v>0</v>
      </c>
      <c r="O436" s="1">
        <v>1</v>
      </c>
      <c r="P436" s="1">
        <v>1</v>
      </c>
      <c r="Q436" s="1" t="str">
        <f>IF(WEEKDAY(Bike_Sharing_Master6[[#This Row],[Dteday]],2)&gt;=6,"Weekend","Weekday")</f>
        <v>Weekday</v>
      </c>
      <c r="R436" s="1" t="str">
        <f xml:space="preserve"> IF(Bike_Sharing_Master6[[#This Row],[Hr]]&lt;6,"Late Night", IF(Bike_Sharing_Master6[[#This Row],[Hr]]&lt;10,"Morning Peak", IF(Bike_Sharing_Master6[[#This Row],[Hr]]&lt;17,"Daytime", IF(Bike_Sharing_Master6[[#This Row],[Hr]]&lt;21,"Evening Peak","Night"))))</f>
        <v>Late Night</v>
      </c>
      <c r="S436" s="1" t="str">
        <f>IF(Bike_Sharing_Master6[[#This Row],[Holiday]]=1,"Holiday","Non-Holiday")</f>
        <v>Non-Holiday</v>
      </c>
      <c r="T436" s="1" t="str">
        <f>IF(Bike_Sharing_Master6[[#This Row],[Cnt]]&lt;80,"Low",IF(Bike_Sharing_Master6[[#This Row],[Cnt]]&lt;160,"Medium","High"))</f>
        <v>Low</v>
      </c>
      <c r="U436" s="1" t="str">
        <f>VLOOKUP(Bike_Sharing_Master6[[#This Row],[Weathersit]],[1]Lookup_Weather!A:B,2,FALSE)</f>
        <v>Clear</v>
      </c>
    </row>
    <row r="437" spans="1:21" x14ac:dyDescent="0.3">
      <c r="A437">
        <v>436</v>
      </c>
      <c r="B437" s="3">
        <v>40563</v>
      </c>
      <c r="C437" s="1">
        <v>1</v>
      </c>
      <c r="D437" s="1">
        <v>0</v>
      </c>
      <c r="E437" s="1">
        <v>1</v>
      </c>
      <c r="F437" s="1">
        <v>4</v>
      </c>
      <c r="G437" t="b">
        <v>0</v>
      </c>
      <c r="H437" s="1">
        <v>4</v>
      </c>
      <c r="I437" s="1">
        <v>1</v>
      </c>
      <c r="J437" s="2">
        <v>0.26</v>
      </c>
      <c r="K437" s="2">
        <v>0.2576</v>
      </c>
      <c r="L437" s="2">
        <v>0.56000000000000005</v>
      </c>
      <c r="M437" s="2">
        <v>0.16420000000000001</v>
      </c>
      <c r="N437" s="1">
        <v>0</v>
      </c>
      <c r="O437" s="1">
        <v>1</v>
      </c>
      <c r="P437" s="1">
        <v>1</v>
      </c>
      <c r="Q437" s="1" t="str">
        <f>IF(WEEKDAY(Bike_Sharing_Master6[[#This Row],[Dteday]],2)&gt;=6,"Weekend","Weekday")</f>
        <v>Weekday</v>
      </c>
      <c r="R437" s="1" t="str">
        <f xml:space="preserve"> IF(Bike_Sharing_Master6[[#This Row],[Hr]]&lt;6,"Late Night", IF(Bike_Sharing_Master6[[#This Row],[Hr]]&lt;10,"Morning Peak", IF(Bike_Sharing_Master6[[#This Row],[Hr]]&lt;17,"Daytime", IF(Bike_Sharing_Master6[[#This Row],[Hr]]&lt;21,"Evening Peak","Night"))))</f>
        <v>Late Night</v>
      </c>
      <c r="S437" s="1" t="str">
        <f>IF(Bike_Sharing_Master6[[#This Row],[Holiday]]=1,"Holiday","Non-Holiday")</f>
        <v>Non-Holiday</v>
      </c>
      <c r="T437" s="1" t="str">
        <f>IF(Bike_Sharing_Master6[[#This Row],[Cnt]]&lt;80,"Low",IF(Bike_Sharing_Master6[[#This Row],[Cnt]]&lt;160,"Medium","High"))</f>
        <v>Low</v>
      </c>
      <c r="U437" s="1" t="str">
        <f>VLOOKUP(Bike_Sharing_Master6[[#This Row],[Weathersit]],[1]Lookup_Weather!A:B,2,FALSE)</f>
        <v>Clear</v>
      </c>
    </row>
    <row r="438" spans="1:21" x14ac:dyDescent="0.3">
      <c r="A438">
        <v>437</v>
      </c>
      <c r="B438" s="3">
        <v>40563</v>
      </c>
      <c r="C438" s="1">
        <v>1</v>
      </c>
      <c r="D438" s="1">
        <v>0</v>
      </c>
      <c r="E438" s="1">
        <v>1</v>
      </c>
      <c r="F438" s="1">
        <v>5</v>
      </c>
      <c r="G438" t="b">
        <v>0</v>
      </c>
      <c r="H438" s="1">
        <v>4</v>
      </c>
      <c r="I438" s="1">
        <v>1</v>
      </c>
      <c r="J438" s="2">
        <v>0.24</v>
      </c>
      <c r="K438" s="2">
        <v>0.2273</v>
      </c>
      <c r="L438" s="2">
        <v>0.6</v>
      </c>
      <c r="M438" s="2">
        <v>0.22389999999999999</v>
      </c>
      <c r="N438" s="1">
        <v>0</v>
      </c>
      <c r="O438" s="1">
        <v>6</v>
      </c>
      <c r="P438" s="1">
        <v>6</v>
      </c>
      <c r="Q438" s="1" t="str">
        <f>IF(WEEKDAY(Bike_Sharing_Master6[[#This Row],[Dteday]],2)&gt;=6,"Weekend","Weekday")</f>
        <v>Weekday</v>
      </c>
      <c r="R438" s="1" t="str">
        <f xml:space="preserve"> IF(Bike_Sharing_Master6[[#This Row],[Hr]]&lt;6,"Late Night", IF(Bike_Sharing_Master6[[#This Row],[Hr]]&lt;10,"Morning Peak", IF(Bike_Sharing_Master6[[#This Row],[Hr]]&lt;17,"Daytime", IF(Bike_Sharing_Master6[[#This Row],[Hr]]&lt;21,"Evening Peak","Night"))))</f>
        <v>Late Night</v>
      </c>
      <c r="S438" s="1" t="str">
        <f>IF(Bike_Sharing_Master6[[#This Row],[Holiday]]=1,"Holiday","Non-Holiday")</f>
        <v>Non-Holiday</v>
      </c>
      <c r="T438" s="1" t="str">
        <f>IF(Bike_Sharing_Master6[[#This Row],[Cnt]]&lt;80,"Low",IF(Bike_Sharing_Master6[[#This Row],[Cnt]]&lt;160,"Medium","High"))</f>
        <v>Low</v>
      </c>
      <c r="U438" s="1" t="str">
        <f>VLOOKUP(Bike_Sharing_Master6[[#This Row],[Weathersit]],[1]Lookup_Weather!A:B,2,FALSE)</f>
        <v>Clear</v>
      </c>
    </row>
    <row r="439" spans="1:21" x14ac:dyDescent="0.3">
      <c r="A439">
        <v>438</v>
      </c>
      <c r="B439" s="3">
        <v>40563</v>
      </c>
      <c r="C439" s="1">
        <v>1</v>
      </c>
      <c r="D439" s="1">
        <v>0</v>
      </c>
      <c r="E439" s="1">
        <v>1</v>
      </c>
      <c r="F439" s="1">
        <v>6</v>
      </c>
      <c r="G439" t="b">
        <v>0</v>
      </c>
      <c r="H439" s="1">
        <v>4</v>
      </c>
      <c r="I439" s="1">
        <v>1</v>
      </c>
      <c r="J439" s="2">
        <v>0.22</v>
      </c>
      <c r="K439" s="2">
        <v>0.21210000000000001</v>
      </c>
      <c r="L439" s="2">
        <v>0.6</v>
      </c>
      <c r="M439" s="2">
        <v>0.22389999999999999</v>
      </c>
      <c r="N439" s="1">
        <v>0</v>
      </c>
      <c r="O439" s="1">
        <v>35</v>
      </c>
      <c r="P439" s="1">
        <v>35</v>
      </c>
      <c r="Q439" s="1" t="str">
        <f>IF(WEEKDAY(Bike_Sharing_Master6[[#This Row],[Dteday]],2)&gt;=6,"Weekend","Weekday")</f>
        <v>Weekday</v>
      </c>
      <c r="R439" s="1" t="str">
        <f xml:space="preserve"> IF(Bike_Sharing_Master6[[#This Row],[Hr]]&lt;6,"Late Night", IF(Bike_Sharing_Master6[[#This Row],[Hr]]&lt;10,"Morning Peak", IF(Bike_Sharing_Master6[[#This Row],[Hr]]&lt;17,"Daytime", IF(Bike_Sharing_Master6[[#This Row],[Hr]]&lt;21,"Evening Peak","Night"))))</f>
        <v>Morning Peak</v>
      </c>
      <c r="S439" s="1" t="str">
        <f>IF(Bike_Sharing_Master6[[#This Row],[Holiday]]=1,"Holiday","Non-Holiday")</f>
        <v>Non-Holiday</v>
      </c>
      <c r="T439" s="1" t="str">
        <f>IF(Bike_Sharing_Master6[[#This Row],[Cnt]]&lt;80,"Low",IF(Bike_Sharing_Master6[[#This Row],[Cnt]]&lt;160,"Medium","High"))</f>
        <v>Low</v>
      </c>
      <c r="U439" s="1" t="str">
        <f>VLOOKUP(Bike_Sharing_Master6[[#This Row],[Weathersit]],[1]Lookup_Weather!A:B,2,FALSE)</f>
        <v>Clear</v>
      </c>
    </row>
    <row r="440" spans="1:21" x14ac:dyDescent="0.3">
      <c r="A440">
        <v>439</v>
      </c>
      <c r="B440" s="3">
        <v>40563</v>
      </c>
      <c r="C440" s="1">
        <v>1</v>
      </c>
      <c r="D440" s="1">
        <v>0</v>
      </c>
      <c r="E440" s="1">
        <v>1</v>
      </c>
      <c r="F440" s="1">
        <v>7</v>
      </c>
      <c r="G440" t="b">
        <v>0</v>
      </c>
      <c r="H440" s="1">
        <v>4</v>
      </c>
      <c r="I440" s="1">
        <v>1</v>
      </c>
      <c r="J440" s="2">
        <v>0.22</v>
      </c>
      <c r="K440" s="2">
        <v>0.21210000000000001</v>
      </c>
      <c r="L440" s="2">
        <v>0.55000000000000004</v>
      </c>
      <c r="M440" s="2">
        <v>0.22389999999999999</v>
      </c>
      <c r="N440" s="1">
        <v>1</v>
      </c>
      <c r="O440" s="1">
        <v>100</v>
      </c>
      <c r="P440" s="1">
        <v>101</v>
      </c>
      <c r="Q440" s="1" t="str">
        <f>IF(WEEKDAY(Bike_Sharing_Master6[[#This Row],[Dteday]],2)&gt;=6,"Weekend","Weekday")</f>
        <v>Weekday</v>
      </c>
      <c r="R440" s="1" t="str">
        <f xml:space="preserve"> IF(Bike_Sharing_Master6[[#This Row],[Hr]]&lt;6,"Late Night", IF(Bike_Sharing_Master6[[#This Row],[Hr]]&lt;10,"Morning Peak", IF(Bike_Sharing_Master6[[#This Row],[Hr]]&lt;17,"Daytime", IF(Bike_Sharing_Master6[[#This Row],[Hr]]&lt;21,"Evening Peak","Night"))))</f>
        <v>Morning Peak</v>
      </c>
      <c r="S440" s="1" t="str">
        <f>IF(Bike_Sharing_Master6[[#This Row],[Holiday]]=1,"Holiday","Non-Holiday")</f>
        <v>Non-Holiday</v>
      </c>
      <c r="T440" s="1" t="str">
        <f>IF(Bike_Sharing_Master6[[#This Row],[Cnt]]&lt;80,"Low",IF(Bike_Sharing_Master6[[#This Row],[Cnt]]&lt;160,"Medium","High"))</f>
        <v>Medium</v>
      </c>
      <c r="U440" s="1" t="str">
        <f>VLOOKUP(Bike_Sharing_Master6[[#This Row],[Weathersit]],[1]Lookup_Weather!A:B,2,FALSE)</f>
        <v>Clear</v>
      </c>
    </row>
    <row r="441" spans="1:21" x14ac:dyDescent="0.3">
      <c r="A441">
        <v>440</v>
      </c>
      <c r="B441" s="3">
        <v>40563</v>
      </c>
      <c r="C441" s="1">
        <v>1</v>
      </c>
      <c r="D441" s="1">
        <v>0</v>
      </c>
      <c r="E441" s="1">
        <v>1</v>
      </c>
      <c r="F441" s="1">
        <v>8</v>
      </c>
      <c r="G441" t="b">
        <v>0</v>
      </c>
      <c r="H441" s="1">
        <v>4</v>
      </c>
      <c r="I441" s="1">
        <v>1</v>
      </c>
      <c r="J441" s="2">
        <v>0.22</v>
      </c>
      <c r="K441" s="2">
        <v>0.21210000000000001</v>
      </c>
      <c r="L441" s="2">
        <v>0.55000000000000004</v>
      </c>
      <c r="M441" s="2">
        <v>0.28360000000000002</v>
      </c>
      <c r="N441" s="1">
        <v>2</v>
      </c>
      <c r="O441" s="1">
        <v>247</v>
      </c>
      <c r="P441" s="1">
        <v>249</v>
      </c>
      <c r="Q441" s="1" t="str">
        <f>IF(WEEKDAY(Bike_Sharing_Master6[[#This Row],[Dteday]],2)&gt;=6,"Weekend","Weekday")</f>
        <v>Weekday</v>
      </c>
      <c r="R441" s="1" t="str">
        <f xml:space="preserve"> IF(Bike_Sharing_Master6[[#This Row],[Hr]]&lt;6,"Late Night", IF(Bike_Sharing_Master6[[#This Row],[Hr]]&lt;10,"Morning Peak", IF(Bike_Sharing_Master6[[#This Row],[Hr]]&lt;17,"Daytime", IF(Bike_Sharing_Master6[[#This Row],[Hr]]&lt;21,"Evening Peak","Night"))))</f>
        <v>Morning Peak</v>
      </c>
      <c r="S441" s="1" t="str">
        <f>IF(Bike_Sharing_Master6[[#This Row],[Holiday]]=1,"Holiday","Non-Holiday")</f>
        <v>Non-Holiday</v>
      </c>
      <c r="T441" s="1" t="str">
        <f>IF(Bike_Sharing_Master6[[#This Row],[Cnt]]&lt;80,"Low",IF(Bike_Sharing_Master6[[#This Row],[Cnt]]&lt;160,"Medium","High"))</f>
        <v>High</v>
      </c>
      <c r="U441" s="1" t="str">
        <f>VLOOKUP(Bike_Sharing_Master6[[#This Row],[Weathersit]],[1]Lookup_Weather!A:B,2,FALSE)</f>
        <v>Clear</v>
      </c>
    </row>
    <row r="442" spans="1:21" x14ac:dyDescent="0.3">
      <c r="A442">
        <v>441</v>
      </c>
      <c r="B442" s="3">
        <v>40563</v>
      </c>
      <c r="C442" s="1">
        <v>1</v>
      </c>
      <c r="D442" s="1">
        <v>0</v>
      </c>
      <c r="E442" s="1">
        <v>1</v>
      </c>
      <c r="F442" s="1">
        <v>9</v>
      </c>
      <c r="G442" t="b">
        <v>0</v>
      </c>
      <c r="H442" s="1">
        <v>4</v>
      </c>
      <c r="I442" s="1">
        <v>2</v>
      </c>
      <c r="J442" s="2">
        <v>0.24</v>
      </c>
      <c r="K442" s="2">
        <v>0.2273</v>
      </c>
      <c r="L442" s="2">
        <v>0.52</v>
      </c>
      <c r="M442" s="2">
        <v>0.22389999999999999</v>
      </c>
      <c r="N442" s="1">
        <v>3</v>
      </c>
      <c r="O442" s="1">
        <v>140</v>
      </c>
      <c r="P442" s="1">
        <v>143</v>
      </c>
      <c r="Q442" s="1" t="str">
        <f>IF(WEEKDAY(Bike_Sharing_Master6[[#This Row],[Dteday]],2)&gt;=6,"Weekend","Weekday")</f>
        <v>Weekday</v>
      </c>
      <c r="R442" s="1" t="str">
        <f xml:space="preserve"> IF(Bike_Sharing_Master6[[#This Row],[Hr]]&lt;6,"Late Night", IF(Bike_Sharing_Master6[[#This Row],[Hr]]&lt;10,"Morning Peak", IF(Bike_Sharing_Master6[[#This Row],[Hr]]&lt;17,"Daytime", IF(Bike_Sharing_Master6[[#This Row],[Hr]]&lt;21,"Evening Peak","Night"))))</f>
        <v>Morning Peak</v>
      </c>
      <c r="S442" s="1" t="str">
        <f>IF(Bike_Sharing_Master6[[#This Row],[Holiday]]=1,"Holiday","Non-Holiday")</f>
        <v>Non-Holiday</v>
      </c>
      <c r="T442" s="1" t="str">
        <f>IF(Bike_Sharing_Master6[[#This Row],[Cnt]]&lt;80,"Low",IF(Bike_Sharing_Master6[[#This Row],[Cnt]]&lt;160,"Medium","High"))</f>
        <v>Medium</v>
      </c>
      <c r="U442" s="1" t="str">
        <f>VLOOKUP(Bike_Sharing_Master6[[#This Row],[Weathersit]],[1]Lookup_Weather!A:B,2,FALSE)</f>
        <v>Mist</v>
      </c>
    </row>
    <row r="443" spans="1:21" x14ac:dyDescent="0.3">
      <c r="A443">
        <v>442</v>
      </c>
      <c r="B443" s="3">
        <v>40563</v>
      </c>
      <c r="C443" s="1">
        <v>1</v>
      </c>
      <c r="D443" s="1">
        <v>0</v>
      </c>
      <c r="E443" s="1">
        <v>1</v>
      </c>
      <c r="F443" s="1">
        <v>10</v>
      </c>
      <c r="G443" t="b">
        <v>0</v>
      </c>
      <c r="H443" s="1">
        <v>4</v>
      </c>
      <c r="I443" s="1">
        <v>1</v>
      </c>
      <c r="J443" s="2">
        <v>0.26</v>
      </c>
      <c r="K443" s="2">
        <v>0.2273</v>
      </c>
      <c r="L443" s="2">
        <v>0.48</v>
      </c>
      <c r="M443" s="2">
        <v>0.29849999999999999</v>
      </c>
      <c r="N443" s="1">
        <v>1</v>
      </c>
      <c r="O443" s="1">
        <v>56</v>
      </c>
      <c r="P443" s="1">
        <v>57</v>
      </c>
      <c r="Q443" s="1" t="str">
        <f>IF(WEEKDAY(Bike_Sharing_Master6[[#This Row],[Dteday]],2)&gt;=6,"Weekend","Weekday")</f>
        <v>Weekday</v>
      </c>
      <c r="R443" s="1" t="str">
        <f xml:space="preserve"> IF(Bike_Sharing_Master6[[#This Row],[Hr]]&lt;6,"Late Night", IF(Bike_Sharing_Master6[[#This Row],[Hr]]&lt;10,"Morning Peak", IF(Bike_Sharing_Master6[[#This Row],[Hr]]&lt;17,"Daytime", IF(Bike_Sharing_Master6[[#This Row],[Hr]]&lt;21,"Evening Peak","Night"))))</f>
        <v>Daytime</v>
      </c>
      <c r="S443" s="1" t="str">
        <f>IF(Bike_Sharing_Master6[[#This Row],[Holiday]]=1,"Holiday","Non-Holiday")</f>
        <v>Non-Holiday</v>
      </c>
      <c r="T443" s="1" t="str">
        <f>IF(Bike_Sharing_Master6[[#This Row],[Cnt]]&lt;80,"Low",IF(Bike_Sharing_Master6[[#This Row],[Cnt]]&lt;160,"Medium","High"))</f>
        <v>Low</v>
      </c>
      <c r="U443" s="1" t="str">
        <f>VLOOKUP(Bike_Sharing_Master6[[#This Row],[Weathersit]],[1]Lookup_Weather!A:B,2,FALSE)</f>
        <v>Clear</v>
      </c>
    </row>
    <row r="444" spans="1:21" x14ac:dyDescent="0.3">
      <c r="A444">
        <v>443</v>
      </c>
      <c r="B444" s="3">
        <v>40563</v>
      </c>
      <c r="C444" s="1">
        <v>1</v>
      </c>
      <c r="D444" s="1">
        <v>0</v>
      </c>
      <c r="E444" s="1">
        <v>1</v>
      </c>
      <c r="F444" s="1">
        <v>11</v>
      </c>
      <c r="G444" t="b">
        <v>0</v>
      </c>
      <c r="H444" s="1">
        <v>4</v>
      </c>
      <c r="I444" s="1">
        <v>2</v>
      </c>
      <c r="J444" s="2">
        <v>0.28000000000000003</v>
      </c>
      <c r="K444" s="2">
        <v>0.2727</v>
      </c>
      <c r="L444" s="2">
        <v>0.45</v>
      </c>
      <c r="M444" s="2">
        <v>0.16420000000000001</v>
      </c>
      <c r="N444" s="1">
        <v>5</v>
      </c>
      <c r="O444" s="1">
        <v>63</v>
      </c>
      <c r="P444" s="1">
        <v>68</v>
      </c>
      <c r="Q444" s="1" t="str">
        <f>IF(WEEKDAY(Bike_Sharing_Master6[[#This Row],[Dteday]],2)&gt;=6,"Weekend","Weekday")</f>
        <v>Weekday</v>
      </c>
      <c r="R444" s="1" t="str">
        <f xml:space="preserve"> IF(Bike_Sharing_Master6[[#This Row],[Hr]]&lt;6,"Late Night", IF(Bike_Sharing_Master6[[#This Row],[Hr]]&lt;10,"Morning Peak", IF(Bike_Sharing_Master6[[#This Row],[Hr]]&lt;17,"Daytime", IF(Bike_Sharing_Master6[[#This Row],[Hr]]&lt;21,"Evening Peak","Night"))))</f>
        <v>Daytime</v>
      </c>
      <c r="S444" s="1" t="str">
        <f>IF(Bike_Sharing_Master6[[#This Row],[Holiday]]=1,"Holiday","Non-Holiday")</f>
        <v>Non-Holiday</v>
      </c>
      <c r="T444" s="1" t="str">
        <f>IF(Bike_Sharing_Master6[[#This Row],[Cnt]]&lt;80,"Low",IF(Bike_Sharing_Master6[[#This Row],[Cnt]]&lt;160,"Medium","High"))</f>
        <v>Low</v>
      </c>
      <c r="U444" s="1" t="str">
        <f>VLOOKUP(Bike_Sharing_Master6[[#This Row],[Weathersit]],[1]Lookup_Weather!A:B,2,FALSE)</f>
        <v>Mist</v>
      </c>
    </row>
    <row r="445" spans="1:21" x14ac:dyDescent="0.3">
      <c r="A445">
        <v>444</v>
      </c>
      <c r="B445" s="3">
        <v>40563</v>
      </c>
      <c r="C445" s="1">
        <v>1</v>
      </c>
      <c r="D445" s="1">
        <v>0</v>
      </c>
      <c r="E445" s="1">
        <v>1</v>
      </c>
      <c r="F445" s="1">
        <v>12</v>
      </c>
      <c r="G445" t="b">
        <v>0</v>
      </c>
      <c r="H445" s="1">
        <v>4</v>
      </c>
      <c r="I445" s="1">
        <v>2</v>
      </c>
      <c r="J445" s="2">
        <v>0.3</v>
      </c>
      <c r="K445" s="2">
        <v>0.33329999999999999</v>
      </c>
      <c r="L445" s="2">
        <v>0.42</v>
      </c>
      <c r="M445" s="2">
        <v>0</v>
      </c>
      <c r="N445" s="1">
        <v>7</v>
      </c>
      <c r="O445" s="1">
        <v>77</v>
      </c>
      <c r="P445" s="1">
        <v>84</v>
      </c>
      <c r="Q445" s="1" t="str">
        <f>IF(WEEKDAY(Bike_Sharing_Master6[[#This Row],[Dteday]],2)&gt;=6,"Weekend","Weekday")</f>
        <v>Weekday</v>
      </c>
      <c r="R445" s="1" t="str">
        <f xml:space="preserve"> IF(Bike_Sharing_Master6[[#This Row],[Hr]]&lt;6,"Late Night", IF(Bike_Sharing_Master6[[#This Row],[Hr]]&lt;10,"Morning Peak", IF(Bike_Sharing_Master6[[#This Row],[Hr]]&lt;17,"Daytime", IF(Bike_Sharing_Master6[[#This Row],[Hr]]&lt;21,"Evening Peak","Night"))))</f>
        <v>Daytime</v>
      </c>
      <c r="S445" s="1" t="str">
        <f>IF(Bike_Sharing_Master6[[#This Row],[Holiday]]=1,"Holiday","Non-Holiday")</f>
        <v>Non-Holiday</v>
      </c>
      <c r="T445" s="1" t="str">
        <f>IF(Bike_Sharing_Master6[[#This Row],[Cnt]]&lt;80,"Low",IF(Bike_Sharing_Master6[[#This Row],[Cnt]]&lt;160,"Medium","High"))</f>
        <v>Medium</v>
      </c>
      <c r="U445" s="1" t="str">
        <f>VLOOKUP(Bike_Sharing_Master6[[#This Row],[Weathersit]],[1]Lookup_Weather!A:B,2,FALSE)</f>
        <v>Mist</v>
      </c>
    </row>
    <row r="446" spans="1:21" x14ac:dyDescent="0.3">
      <c r="A446">
        <v>445</v>
      </c>
      <c r="B446" s="3">
        <v>40563</v>
      </c>
      <c r="C446" s="1">
        <v>1</v>
      </c>
      <c r="D446" s="1">
        <v>0</v>
      </c>
      <c r="E446" s="1">
        <v>1</v>
      </c>
      <c r="F446" s="1">
        <v>13</v>
      </c>
      <c r="G446" t="b">
        <v>0</v>
      </c>
      <c r="H446" s="1">
        <v>4</v>
      </c>
      <c r="I446" s="1">
        <v>2</v>
      </c>
      <c r="J446" s="2">
        <v>0.28000000000000003</v>
      </c>
      <c r="K446" s="2">
        <v>0.28789999999999999</v>
      </c>
      <c r="L446" s="2">
        <v>0.45</v>
      </c>
      <c r="M446" s="2">
        <v>0.1045</v>
      </c>
      <c r="N446" s="1">
        <v>12</v>
      </c>
      <c r="O446" s="1">
        <v>86</v>
      </c>
      <c r="P446" s="1">
        <v>98</v>
      </c>
      <c r="Q446" s="1" t="str">
        <f>IF(WEEKDAY(Bike_Sharing_Master6[[#This Row],[Dteday]],2)&gt;=6,"Weekend","Weekday")</f>
        <v>Weekday</v>
      </c>
      <c r="R446" s="1" t="str">
        <f xml:space="preserve"> IF(Bike_Sharing_Master6[[#This Row],[Hr]]&lt;6,"Late Night", IF(Bike_Sharing_Master6[[#This Row],[Hr]]&lt;10,"Morning Peak", IF(Bike_Sharing_Master6[[#This Row],[Hr]]&lt;17,"Daytime", IF(Bike_Sharing_Master6[[#This Row],[Hr]]&lt;21,"Evening Peak","Night"))))</f>
        <v>Daytime</v>
      </c>
      <c r="S446" s="1" t="str">
        <f>IF(Bike_Sharing_Master6[[#This Row],[Holiday]]=1,"Holiday","Non-Holiday")</f>
        <v>Non-Holiday</v>
      </c>
      <c r="T446" s="1" t="str">
        <f>IF(Bike_Sharing_Master6[[#This Row],[Cnt]]&lt;80,"Low",IF(Bike_Sharing_Master6[[#This Row],[Cnt]]&lt;160,"Medium","High"))</f>
        <v>Medium</v>
      </c>
      <c r="U446" s="1" t="str">
        <f>VLOOKUP(Bike_Sharing_Master6[[#This Row],[Weathersit]],[1]Lookup_Weather!A:B,2,FALSE)</f>
        <v>Mist</v>
      </c>
    </row>
    <row r="447" spans="1:21" x14ac:dyDescent="0.3">
      <c r="A447">
        <v>446</v>
      </c>
      <c r="B447" s="3">
        <v>40563</v>
      </c>
      <c r="C447" s="1">
        <v>1</v>
      </c>
      <c r="D447" s="1">
        <v>0</v>
      </c>
      <c r="E447" s="1">
        <v>1</v>
      </c>
      <c r="F447" s="1">
        <v>14</v>
      </c>
      <c r="G447" t="b">
        <v>0</v>
      </c>
      <c r="H447" s="1">
        <v>4</v>
      </c>
      <c r="I447" s="1">
        <v>2</v>
      </c>
      <c r="J447" s="2">
        <v>0.3</v>
      </c>
      <c r="K447" s="2">
        <v>0.30299999999999999</v>
      </c>
      <c r="L447" s="2">
        <v>0.45</v>
      </c>
      <c r="M447" s="2">
        <v>0.1343</v>
      </c>
      <c r="N447" s="1">
        <v>6</v>
      </c>
      <c r="O447" s="1">
        <v>75</v>
      </c>
      <c r="P447" s="1">
        <v>81</v>
      </c>
      <c r="Q447" s="1" t="str">
        <f>IF(WEEKDAY(Bike_Sharing_Master6[[#This Row],[Dteday]],2)&gt;=6,"Weekend","Weekday")</f>
        <v>Weekday</v>
      </c>
      <c r="R447" s="1" t="str">
        <f xml:space="preserve"> IF(Bike_Sharing_Master6[[#This Row],[Hr]]&lt;6,"Late Night", IF(Bike_Sharing_Master6[[#This Row],[Hr]]&lt;10,"Morning Peak", IF(Bike_Sharing_Master6[[#This Row],[Hr]]&lt;17,"Daytime", IF(Bike_Sharing_Master6[[#This Row],[Hr]]&lt;21,"Evening Peak","Night"))))</f>
        <v>Daytime</v>
      </c>
      <c r="S447" s="1" t="str">
        <f>IF(Bike_Sharing_Master6[[#This Row],[Holiday]]=1,"Holiday","Non-Holiday")</f>
        <v>Non-Holiday</v>
      </c>
      <c r="T447" s="1" t="str">
        <f>IF(Bike_Sharing_Master6[[#This Row],[Cnt]]&lt;80,"Low",IF(Bike_Sharing_Master6[[#This Row],[Cnt]]&lt;160,"Medium","High"))</f>
        <v>Medium</v>
      </c>
      <c r="U447" s="1" t="str">
        <f>VLOOKUP(Bike_Sharing_Master6[[#This Row],[Weathersit]],[1]Lookup_Weather!A:B,2,FALSE)</f>
        <v>Mist</v>
      </c>
    </row>
    <row r="448" spans="1:21" x14ac:dyDescent="0.3">
      <c r="A448">
        <v>447</v>
      </c>
      <c r="B448" s="3">
        <v>40563</v>
      </c>
      <c r="C448" s="1">
        <v>1</v>
      </c>
      <c r="D448" s="1">
        <v>0</v>
      </c>
      <c r="E448" s="1">
        <v>1</v>
      </c>
      <c r="F448" s="1">
        <v>15</v>
      </c>
      <c r="G448" t="b">
        <v>0</v>
      </c>
      <c r="H448" s="1">
        <v>4</v>
      </c>
      <c r="I448" s="1">
        <v>2</v>
      </c>
      <c r="J448" s="2">
        <v>0.32</v>
      </c>
      <c r="K448" s="2">
        <v>0.31819999999999998</v>
      </c>
      <c r="L448" s="2">
        <v>0.45</v>
      </c>
      <c r="M448" s="2">
        <v>0.19400000000000001</v>
      </c>
      <c r="N448" s="1">
        <v>8</v>
      </c>
      <c r="O448" s="1">
        <v>62</v>
      </c>
      <c r="P448" s="1">
        <v>70</v>
      </c>
      <c r="Q448" s="1" t="str">
        <f>IF(WEEKDAY(Bike_Sharing_Master6[[#This Row],[Dteday]],2)&gt;=6,"Weekend","Weekday")</f>
        <v>Weekday</v>
      </c>
      <c r="R448" s="1" t="str">
        <f xml:space="preserve"> IF(Bike_Sharing_Master6[[#This Row],[Hr]]&lt;6,"Late Night", IF(Bike_Sharing_Master6[[#This Row],[Hr]]&lt;10,"Morning Peak", IF(Bike_Sharing_Master6[[#This Row],[Hr]]&lt;17,"Daytime", IF(Bike_Sharing_Master6[[#This Row],[Hr]]&lt;21,"Evening Peak","Night"))))</f>
        <v>Daytime</v>
      </c>
      <c r="S448" s="1" t="str">
        <f>IF(Bike_Sharing_Master6[[#This Row],[Holiday]]=1,"Holiday","Non-Holiday")</f>
        <v>Non-Holiday</v>
      </c>
      <c r="T448" s="1" t="str">
        <f>IF(Bike_Sharing_Master6[[#This Row],[Cnt]]&lt;80,"Low",IF(Bike_Sharing_Master6[[#This Row],[Cnt]]&lt;160,"Medium","High"))</f>
        <v>Low</v>
      </c>
      <c r="U448" s="1" t="str">
        <f>VLOOKUP(Bike_Sharing_Master6[[#This Row],[Weathersit]],[1]Lookup_Weather!A:B,2,FALSE)</f>
        <v>Mist</v>
      </c>
    </row>
    <row r="449" spans="1:21" x14ac:dyDescent="0.3">
      <c r="A449">
        <v>448</v>
      </c>
      <c r="B449" s="3">
        <v>40563</v>
      </c>
      <c r="C449" s="1">
        <v>1</v>
      </c>
      <c r="D449" s="1">
        <v>0</v>
      </c>
      <c r="E449" s="1">
        <v>1</v>
      </c>
      <c r="F449" s="1">
        <v>16</v>
      </c>
      <c r="G449" t="b">
        <v>0</v>
      </c>
      <c r="H449" s="1">
        <v>4</v>
      </c>
      <c r="I449" s="1">
        <v>2</v>
      </c>
      <c r="J449" s="2">
        <v>0.3</v>
      </c>
      <c r="K449" s="2">
        <v>0.30299999999999999</v>
      </c>
      <c r="L449" s="2">
        <v>0.49</v>
      </c>
      <c r="M449" s="2">
        <v>0.1343</v>
      </c>
      <c r="N449" s="1">
        <v>8</v>
      </c>
      <c r="O449" s="1">
        <v>83</v>
      </c>
      <c r="P449" s="1">
        <v>91</v>
      </c>
      <c r="Q449" s="1" t="str">
        <f>IF(WEEKDAY(Bike_Sharing_Master6[[#This Row],[Dteday]],2)&gt;=6,"Weekend","Weekday")</f>
        <v>Weekday</v>
      </c>
      <c r="R449" s="1" t="str">
        <f xml:space="preserve"> IF(Bike_Sharing_Master6[[#This Row],[Hr]]&lt;6,"Late Night", IF(Bike_Sharing_Master6[[#This Row],[Hr]]&lt;10,"Morning Peak", IF(Bike_Sharing_Master6[[#This Row],[Hr]]&lt;17,"Daytime", IF(Bike_Sharing_Master6[[#This Row],[Hr]]&lt;21,"Evening Peak","Night"))))</f>
        <v>Daytime</v>
      </c>
      <c r="S449" s="1" t="str">
        <f>IF(Bike_Sharing_Master6[[#This Row],[Holiday]]=1,"Holiday","Non-Holiday")</f>
        <v>Non-Holiday</v>
      </c>
      <c r="T449" s="1" t="str">
        <f>IF(Bike_Sharing_Master6[[#This Row],[Cnt]]&lt;80,"Low",IF(Bike_Sharing_Master6[[#This Row],[Cnt]]&lt;160,"Medium","High"))</f>
        <v>Medium</v>
      </c>
      <c r="U449" s="1" t="str">
        <f>VLOOKUP(Bike_Sharing_Master6[[#This Row],[Weathersit]],[1]Lookup_Weather!A:B,2,FALSE)</f>
        <v>Mist</v>
      </c>
    </row>
    <row r="450" spans="1:21" x14ac:dyDescent="0.3">
      <c r="A450">
        <v>449</v>
      </c>
      <c r="B450" s="3">
        <v>40563</v>
      </c>
      <c r="C450" s="1">
        <v>1</v>
      </c>
      <c r="D450" s="1">
        <v>0</v>
      </c>
      <c r="E450" s="1">
        <v>1</v>
      </c>
      <c r="F450" s="1">
        <v>17</v>
      </c>
      <c r="G450" t="b">
        <v>0</v>
      </c>
      <c r="H450" s="1">
        <v>4</v>
      </c>
      <c r="I450" s="1">
        <v>2</v>
      </c>
      <c r="J450" s="2">
        <v>0.3</v>
      </c>
      <c r="K450" s="2">
        <v>0.31819999999999998</v>
      </c>
      <c r="L450" s="2">
        <v>0.49</v>
      </c>
      <c r="M450" s="2">
        <v>0.1045</v>
      </c>
      <c r="N450" s="1">
        <v>8</v>
      </c>
      <c r="O450" s="1">
        <v>207</v>
      </c>
      <c r="P450" s="1">
        <v>215</v>
      </c>
      <c r="Q450" s="1" t="str">
        <f>IF(WEEKDAY(Bike_Sharing_Master6[[#This Row],[Dteday]],2)&gt;=6,"Weekend","Weekday")</f>
        <v>Weekday</v>
      </c>
      <c r="R450" s="1" t="str">
        <f xml:space="preserve"> IF(Bike_Sharing_Master6[[#This Row],[Hr]]&lt;6,"Late Night", IF(Bike_Sharing_Master6[[#This Row],[Hr]]&lt;10,"Morning Peak", IF(Bike_Sharing_Master6[[#This Row],[Hr]]&lt;17,"Daytime", IF(Bike_Sharing_Master6[[#This Row],[Hr]]&lt;21,"Evening Peak","Night"))))</f>
        <v>Evening Peak</v>
      </c>
      <c r="S450" s="1" t="str">
        <f>IF(Bike_Sharing_Master6[[#This Row],[Holiday]]=1,"Holiday","Non-Holiday")</f>
        <v>Non-Holiday</v>
      </c>
      <c r="T450" s="1" t="str">
        <f>IF(Bike_Sharing_Master6[[#This Row],[Cnt]]&lt;80,"Low",IF(Bike_Sharing_Master6[[#This Row],[Cnt]]&lt;160,"Medium","High"))</f>
        <v>High</v>
      </c>
      <c r="U450" s="1" t="str">
        <f>VLOOKUP(Bike_Sharing_Master6[[#This Row],[Weathersit]],[1]Lookup_Weather!A:B,2,FALSE)</f>
        <v>Mist</v>
      </c>
    </row>
    <row r="451" spans="1:21" x14ac:dyDescent="0.3">
      <c r="A451">
        <v>450</v>
      </c>
      <c r="B451" s="3">
        <v>40563</v>
      </c>
      <c r="C451" s="1">
        <v>1</v>
      </c>
      <c r="D451" s="1">
        <v>0</v>
      </c>
      <c r="E451" s="1">
        <v>1</v>
      </c>
      <c r="F451" s="1">
        <v>18</v>
      </c>
      <c r="G451" t="b">
        <v>0</v>
      </c>
      <c r="H451" s="1">
        <v>4</v>
      </c>
      <c r="I451" s="1">
        <v>2</v>
      </c>
      <c r="J451" s="2">
        <v>0.26</v>
      </c>
      <c r="K451" s="2">
        <v>0.2576</v>
      </c>
      <c r="L451" s="2">
        <v>0.56000000000000005</v>
      </c>
      <c r="M451" s="2">
        <v>0.19400000000000001</v>
      </c>
      <c r="N451" s="1">
        <v>1</v>
      </c>
      <c r="O451" s="1">
        <v>184</v>
      </c>
      <c r="P451" s="1">
        <v>185</v>
      </c>
      <c r="Q451" s="1" t="str">
        <f>IF(WEEKDAY(Bike_Sharing_Master6[[#This Row],[Dteday]],2)&gt;=6,"Weekend","Weekday")</f>
        <v>Weekday</v>
      </c>
      <c r="R451" s="1" t="str">
        <f xml:space="preserve"> IF(Bike_Sharing_Master6[[#This Row],[Hr]]&lt;6,"Late Night", IF(Bike_Sharing_Master6[[#This Row],[Hr]]&lt;10,"Morning Peak", IF(Bike_Sharing_Master6[[#This Row],[Hr]]&lt;17,"Daytime", IF(Bike_Sharing_Master6[[#This Row],[Hr]]&lt;21,"Evening Peak","Night"))))</f>
        <v>Evening Peak</v>
      </c>
      <c r="S451" s="1" t="str">
        <f>IF(Bike_Sharing_Master6[[#This Row],[Holiday]]=1,"Holiday","Non-Holiday")</f>
        <v>Non-Holiday</v>
      </c>
      <c r="T451" s="1" t="str">
        <f>IF(Bike_Sharing_Master6[[#This Row],[Cnt]]&lt;80,"Low",IF(Bike_Sharing_Master6[[#This Row],[Cnt]]&lt;160,"Medium","High"))</f>
        <v>High</v>
      </c>
      <c r="U451" s="1" t="str">
        <f>VLOOKUP(Bike_Sharing_Master6[[#This Row],[Weathersit]],[1]Lookup_Weather!A:B,2,FALSE)</f>
        <v>Mist</v>
      </c>
    </row>
    <row r="452" spans="1:21" x14ac:dyDescent="0.3">
      <c r="A452">
        <v>451</v>
      </c>
      <c r="B452" s="3">
        <v>40563</v>
      </c>
      <c r="C452" s="1">
        <v>1</v>
      </c>
      <c r="D452" s="1">
        <v>0</v>
      </c>
      <c r="E452" s="1">
        <v>1</v>
      </c>
      <c r="F452" s="1">
        <v>19</v>
      </c>
      <c r="G452" t="b">
        <v>0</v>
      </c>
      <c r="H452" s="1">
        <v>4</v>
      </c>
      <c r="I452" s="1">
        <v>1</v>
      </c>
      <c r="J452" s="2">
        <v>0.26</v>
      </c>
      <c r="K452" s="2">
        <v>0.2273</v>
      </c>
      <c r="L452" s="2">
        <v>0.56000000000000005</v>
      </c>
      <c r="M452" s="2">
        <v>0.32840000000000003</v>
      </c>
      <c r="N452" s="1">
        <v>6</v>
      </c>
      <c r="O452" s="1">
        <v>146</v>
      </c>
      <c r="P452" s="1">
        <v>152</v>
      </c>
      <c r="Q452" s="1" t="str">
        <f>IF(WEEKDAY(Bike_Sharing_Master6[[#This Row],[Dteday]],2)&gt;=6,"Weekend","Weekday")</f>
        <v>Weekday</v>
      </c>
      <c r="R452" s="1" t="str">
        <f xml:space="preserve"> IF(Bike_Sharing_Master6[[#This Row],[Hr]]&lt;6,"Late Night", IF(Bike_Sharing_Master6[[#This Row],[Hr]]&lt;10,"Morning Peak", IF(Bike_Sharing_Master6[[#This Row],[Hr]]&lt;17,"Daytime", IF(Bike_Sharing_Master6[[#This Row],[Hr]]&lt;21,"Evening Peak","Night"))))</f>
        <v>Evening Peak</v>
      </c>
      <c r="S452" s="1" t="str">
        <f>IF(Bike_Sharing_Master6[[#This Row],[Holiday]]=1,"Holiday","Non-Holiday")</f>
        <v>Non-Holiday</v>
      </c>
      <c r="T452" s="1" t="str">
        <f>IF(Bike_Sharing_Master6[[#This Row],[Cnt]]&lt;80,"Low",IF(Bike_Sharing_Master6[[#This Row],[Cnt]]&lt;160,"Medium","High"))</f>
        <v>Medium</v>
      </c>
      <c r="U452" s="1" t="str">
        <f>VLOOKUP(Bike_Sharing_Master6[[#This Row],[Weathersit]],[1]Lookup_Weather!A:B,2,FALSE)</f>
        <v>Clear</v>
      </c>
    </row>
    <row r="453" spans="1:21" x14ac:dyDescent="0.3">
      <c r="A453">
        <v>452</v>
      </c>
      <c r="B453" s="3">
        <v>40563</v>
      </c>
      <c r="C453" s="1">
        <v>1</v>
      </c>
      <c r="D453" s="1">
        <v>0</v>
      </c>
      <c r="E453" s="1">
        <v>1</v>
      </c>
      <c r="F453" s="1">
        <v>20</v>
      </c>
      <c r="G453" t="b">
        <v>0</v>
      </c>
      <c r="H453" s="1">
        <v>4</v>
      </c>
      <c r="I453" s="1">
        <v>2</v>
      </c>
      <c r="J453" s="2">
        <v>0.26</v>
      </c>
      <c r="K453" s="2">
        <v>0.2424</v>
      </c>
      <c r="L453" s="2">
        <v>0.6</v>
      </c>
      <c r="M453" s="2">
        <v>0.28360000000000002</v>
      </c>
      <c r="N453" s="1">
        <v>2</v>
      </c>
      <c r="O453" s="1">
        <v>124</v>
      </c>
      <c r="P453" s="1">
        <v>126</v>
      </c>
      <c r="Q453" s="1" t="str">
        <f>IF(WEEKDAY(Bike_Sharing_Master6[[#This Row],[Dteday]],2)&gt;=6,"Weekend","Weekday")</f>
        <v>Weekday</v>
      </c>
      <c r="R453" s="1" t="str">
        <f xml:space="preserve"> IF(Bike_Sharing_Master6[[#This Row],[Hr]]&lt;6,"Late Night", IF(Bike_Sharing_Master6[[#This Row],[Hr]]&lt;10,"Morning Peak", IF(Bike_Sharing_Master6[[#This Row],[Hr]]&lt;17,"Daytime", IF(Bike_Sharing_Master6[[#This Row],[Hr]]&lt;21,"Evening Peak","Night"))))</f>
        <v>Evening Peak</v>
      </c>
      <c r="S453" s="1" t="str">
        <f>IF(Bike_Sharing_Master6[[#This Row],[Holiday]]=1,"Holiday","Non-Holiday")</f>
        <v>Non-Holiday</v>
      </c>
      <c r="T453" s="1" t="str">
        <f>IF(Bike_Sharing_Master6[[#This Row],[Cnt]]&lt;80,"Low",IF(Bike_Sharing_Master6[[#This Row],[Cnt]]&lt;160,"Medium","High"))</f>
        <v>Medium</v>
      </c>
      <c r="U453" s="1" t="str">
        <f>VLOOKUP(Bike_Sharing_Master6[[#This Row],[Weathersit]],[1]Lookup_Weather!A:B,2,FALSE)</f>
        <v>Mist</v>
      </c>
    </row>
    <row r="454" spans="1:21" x14ac:dyDescent="0.3">
      <c r="A454">
        <v>453</v>
      </c>
      <c r="B454" s="3">
        <v>40563</v>
      </c>
      <c r="C454" s="1">
        <v>1</v>
      </c>
      <c r="D454" s="1">
        <v>0</v>
      </c>
      <c r="E454" s="1">
        <v>1</v>
      </c>
      <c r="F454" s="1">
        <v>21</v>
      </c>
      <c r="G454" t="b">
        <v>0</v>
      </c>
      <c r="H454" s="1">
        <v>4</v>
      </c>
      <c r="I454" s="1">
        <v>2</v>
      </c>
      <c r="J454" s="2">
        <v>0.24</v>
      </c>
      <c r="K454" s="2">
        <v>0.2273</v>
      </c>
      <c r="L454" s="2">
        <v>0.6</v>
      </c>
      <c r="M454" s="2">
        <v>0.25369999999999998</v>
      </c>
      <c r="N454" s="1">
        <v>3</v>
      </c>
      <c r="O454" s="1">
        <v>54</v>
      </c>
      <c r="P454" s="1">
        <v>57</v>
      </c>
      <c r="Q454" s="1" t="str">
        <f>IF(WEEKDAY(Bike_Sharing_Master6[[#This Row],[Dteday]],2)&gt;=6,"Weekend","Weekday")</f>
        <v>Weekday</v>
      </c>
      <c r="R454" s="1" t="str">
        <f xml:space="preserve"> IF(Bike_Sharing_Master6[[#This Row],[Hr]]&lt;6,"Late Night", IF(Bike_Sharing_Master6[[#This Row],[Hr]]&lt;10,"Morning Peak", IF(Bike_Sharing_Master6[[#This Row],[Hr]]&lt;17,"Daytime", IF(Bike_Sharing_Master6[[#This Row],[Hr]]&lt;21,"Evening Peak","Night"))))</f>
        <v>Night</v>
      </c>
      <c r="S454" s="1" t="str">
        <f>IF(Bike_Sharing_Master6[[#This Row],[Holiday]]=1,"Holiday","Non-Holiday")</f>
        <v>Non-Holiday</v>
      </c>
      <c r="T454" s="1" t="str">
        <f>IF(Bike_Sharing_Master6[[#This Row],[Cnt]]&lt;80,"Low",IF(Bike_Sharing_Master6[[#This Row],[Cnt]]&lt;160,"Medium","High"))</f>
        <v>Low</v>
      </c>
      <c r="U454" s="1" t="str">
        <f>VLOOKUP(Bike_Sharing_Master6[[#This Row],[Weathersit]],[1]Lookup_Weather!A:B,2,FALSE)</f>
        <v>Mist</v>
      </c>
    </row>
    <row r="455" spans="1:21" x14ac:dyDescent="0.3">
      <c r="A455">
        <v>454</v>
      </c>
      <c r="B455" s="3">
        <v>40563</v>
      </c>
      <c r="C455" s="1">
        <v>1</v>
      </c>
      <c r="D455" s="1">
        <v>0</v>
      </c>
      <c r="E455" s="1">
        <v>1</v>
      </c>
      <c r="F455" s="1">
        <v>22</v>
      </c>
      <c r="G455" t="b">
        <v>0</v>
      </c>
      <c r="H455" s="1">
        <v>4</v>
      </c>
      <c r="I455" s="1">
        <v>2</v>
      </c>
      <c r="J455" s="2">
        <v>0.24</v>
      </c>
      <c r="K455" s="2">
        <v>0.21210000000000001</v>
      </c>
      <c r="L455" s="2">
        <v>0.65</v>
      </c>
      <c r="M455" s="2">
        <v>0.28360000000000002</v>
      </c>
      <c r="N455" s="1">
        <v>0</v>
      </c>
      <c r="O455" s="1">
        <v>56</v>
      </c>
      <c r="P455" s="1">
        <v>56</v>
      </c>
      <c r="Q455" s="1" t="str">
        <f>IF(WEEKDAY(Bike_Sharing_Master6[[#This Row],[Dteday]],2)&gt;=6,"Weekend","Weekday")</f>
        <v>Weekday</v>
      </c>
      <c r="R455" s="1" t="str">
        <f xml:space="preserve"> IF(Bike_Sharing_Master6[[#This Row],[Hr]]&lt;6,"Late Night", IF(Bike_Sharing_Master6[[#This Row],[Hr]]&lt;10,"Morning Peak", IF(Bike_Sharing_Master6[[#This Row],[Hr]]&lt;17,"Daytime", IF(Bike_Sharing_Master6[[#This Row],[Hr]]&lt;21,"Evening Peak","Night"))))</f>
        <v>Night</v>
      </c>
      <c r="S455" s="1" t="str">
        <f>IF(Bike_Sharing_Master6[[#This Row],[Holiday]]=1,"Holiday","Non-Holiday")</f>
        <v>Non-Holiday</v>
      </c>
      <c r="T455" s="1" t="str">
        <f>IF(Bike_Sharing_Master6[[#This Row],[Cnt]]&lt;80,"Low",IF(Bike_Sharing_Master6[[#This Row],[Cnt]]&lt;160,"Medium","High"))</f>
        <v>Low</v>
      </c>
      <c r="U455" s="1" t="str">
        <f>VLOOKUP(Bike_Sharing_Master6[[#This Row],[Weathersit]],[1]Lookup_Weather!A:B,2,FALSE)</f>
        <v>Mist</v>
      </c>
    </row>
    <row r="456" spans="1:21" x14ac:dyDescent="0.3">
      <c r="A456">
        <v>455</v>
      </c>
      <c r="B456" s="3">
        <v>40563</v>
      </c>
      <c r="C456" s="1">
        <v>1</v>
      </c>
      <c r="D456" s="1">
        <v>0</v>
      </c>
      <c r="E456" s="1">
        <v>1</v>
      </c>
      <c r="F456" s="1">
        <v>23</v>
      </c>
      <c r="G456" t="b">
        <v>0</v>
      </c>
      <c r="H456" s="1">
        <v>4</v>
      </c>
      <c r="I456" s="1">
        <v>2</v>
      </c>
      <c r="J456" s="2">
        <v>0.24</v>
      </c>
      <c r="K456" s="2">
        <v>0.21210000000000001</v>
      </c>
      <c r="L456" s="2">
        <v>0.65</v>
      </c>
      <c r="M456" s="2">
        <v>0.32840000000000003</v>
      </c>
      <c r="N456" s="1">
        <v>3</v>
      </c>
      <c r="O456" s="1">
        <v>28</v>
      </c>
      <c r="P456" s="1">
        <v>31</v>
      </c>
      <c r="Q456" s="1" t="str">
        <f>IF(WEEKDAY(Bike_Sharing_Master6[[#This Row],[Dteday]],2)&gt;=6,"Weekend","Weekday")</f>
        <v>Weekday</v>
      </c>
      <c r="R456" s="1" t="str">
        <f xml:space="preserve"> IF(Bike_Sharing_Master6[[#This Row],[Hr]]&lt;6,"Late Night", IF(Bike_Sharing_Master6[[#This Row],[Hr]]&lt;10,"Morning Peak", IF(Bike_Sharing_Master6[[#This Row],[Hr]]&lt;17,"Daytime", IF(Bike_Sharing_Master6[[#This Row],[Hr]]&lt;21,"Evening Peak","Night"))))</f>
        <v>Night</v>
      </c>
      <c r="S456" s="1" t="str">
        <f>IF(Bike_Sharing_Master6[[#This Row],[Holiday]]=1,"Holiday","Non-Holiday")</f>
        <v>Non-Holiday</v>
      </c>
      <c r="T456" s="1" t="str">
        <f>IF(Bike_Sharing_Master6[[#This Row],[Cnt]]&lt;80,"Low",IF(Bike_Sharing_Master6[[#This Row],[Cnt]]&lt;160,"Medium","High"))</f>
        <v>Low</v>
      </c>
      <c r="U456" s="1" t="str">
        <f>VLOOKUP(Bike_Sharing_Master6[[#This Row],[Weathersit]],[1]Lookup_Weather!A:B,2,FALSE)</f>
        <v>Mist</v>
      </c>
    </row>
    <row r="457" spans="1:21" x14ac:dyDescent="0.3">
      <c r="A457">
        <v>456</v>
      </c>
      <c r="B457" s="3">
        <v>40564</v>
      </c>
      <c r="C457" s="1">
        <v>1</v>
      </c>
      <c r="D457" s="1">
        <v>0</v>
      </c>
      <c r="E457" s="1">
        <v>1</v>
      </c>
      <c r="F457" s="1">
        <v>0</v>
      </c>
      <c r="G457" t="b">
        <v>0</v>
      </c>
      <c r="H457" s="1">
        <v>5</v>
      </c>
      <c r="I457" s="1">
        <v>2</v>
      </c>
      <c r="J457" s="2">
        <v>0.24</v>
      </c>
      <c r="K457" s="2">
        <v>0.2273</v>
      </c>
      <c r="L457" s="2">
        <v>0.7</v>
      </c>
      <c r="M457" s="2">
        <v>0.25369999999999998</v>
      </c>
      <c r="N457" s="1">
        <v>1</v>
      </c>
      <c r="O457" s="1">
        <v>20</v>
      </c>
      <c r="P457" s="1">
        <v>21</v>
      </c>
      <c r="Q457" s="1" t="str">
        <f>IF(WEEKDAY(Bike_Sharing_Master6[[#This Row],[Dteday]],2)&gt;=6,"Weekend","Weekday")</f>
        <v>Weekday</v>
      </c>
      <c r="R457" s="1" t="str">
        <f xml:space="preserve"> IF(Bike_Sharing_Master6[[#This Row],[Hr]]&lt;6,"Late Night", IF(Bike_Sharing_Master6[[#This Row],[Hr]]&lt;10,"Morning Peak", IF(Bike_Sharing_Master6[[#This Row],[Hr]]&lt;17,"Daytime", IF(Bike_Sharing_Master6[[#This Row],[Hr]]&lt;21,"Evening Peak","Night"))))</f>
        <v>Late Night</v>
      </c>
      <c r="S457" s="1" t="str">
        <f>IF(Bike_Sharing_Master6[[#This Row],[Holiday]]=1,"Holiday","Non-Holiday")</f>
        <v>Non-Holiday</v>
      </c>
      <c r="T457" s="1" t="str">
        <f>IF(Bike_Sharing_Master6[[#This Row],[Cnt]]&lt;80,"Low",IF(Bike_Sharing_Master6[[#This Row],[Cnt]]&lt;160,"Medium","High"))</f>
        <v>Low</v>
      </c>
      <c r="U457" s="1" t="str">
        <f>VLOOKUP(Bike_Sharing_Master6[[#This Row],[Weathersit]],[1]Lookup_Weather!A:B,2,FALSE)</f>
        <v>Mist</v>
      </c>
    </row>
    <row r="458" spans="1:21" x14ac:dyDescent="0.3">
      <c r="A458">
        <v>457</v>
      </c>
      <c r="B458" s="3">
        <v>40564</v>
      </c>
      <c r="C458" s="1">
        <v>1</v>
      </c>
      <c r="D458" s="1">
        <v>0</v>
      </c>
      <c r="E458" s="1">
        <v>1</v>
      </c>
      <c r="F458" s="1">
        <v>1</v>
      </c>
      <c r="G458" t="b">
        <v>0</v>
      </c>
      <c r="H458" s="1">
        <v>5</v>
      </c>
      <c r="I458" s="1">
        <v>2</v>
      </c>
      <c r="J458" s="2">
        <v>0.24</v>
      </c>
      <c r="K458" s="2">
        <v>0.2273</v>
      </c>
      <c r="L458" s="2">
        <v>0.7</v>
      </c>
      <c r="M458" s="2">
        <v>0.25369999999999998</v>
      </c>
      <c r="N458" s="1">
        <v>0</v>
      </c>
      <c r="O458" s="1">
        <v>6</v>
      </c>
      <c r="P458" s="1">
        <v>6</v>
      </c>
      <c r="Q458" s="1" t="str">
        <f>IF(WEEKDAY(Bike_Sharing_Master6[[#This Row],[Dteday]],2)&gt;=6,"Weekend","Weekday")</f>
        <v>Weekday</v>
      </c>
      <c r="R458" s="1" t="str">
        <f xml:space="preserve"> IF(Bike_Sharing_Master6[[#This Row],[Hr]]&lt;6,"Late Night", IF(Bike_Sharing_Master6[[#This Row],[Hr]]&lt;10,"Morning Peak", IF(Bike_Sharing_Master6[[#This Row],[Hr]]&lt;17,"Daytime", IF(Bike_Sharing_Master6[[#This Row],[Hr]]&lt;21,"Evening Peak","Night"))))</f>
        <v>Late Night</v>
      </c>
      <c r="S458" s="1" t="str">
        <f>IF(Bike_Sharing_Master6[[#This Row],[Holiday]]=1,"Holiday","Non-Holiday")</f>
        <v>Non-Holiday</v>
      </c>
      <c r="T458" s="1" t="str">
        <f>IF(Bike_Sharing_Master6[[#This Row],[Cnt]]&lt;80,"Low",IF(Bike_Sharing_Master6[[#This Row],[Cnt]]&lt;160,"Medium","High"))</f>
        <v>Low</v>
      </c>
      <c r="U458" s="1" t="str">
        <f>VLOOKUP(Bike_Sharing_Master6[[#This Row],[Weathersit]],[1]Lookup_Weather!A:B,2,FALSE)</f>
        <v>Mist</v>
      </c>
    </row>
    <row r="459" spans="1:21" x14ac:dyDescent="0.3">
      <c r="A459">
        <v>458</v>
      </c>
      <c r="B459" s="3">
        <v>40564</v>
      </c>
      <c r="C459" s="1">
        <v>1</v>
      </c>
      <c r="D459" s="1">
        <v>0</v>
      </c>
      <c r="E459" s="1">
        <v>1</v>
      </c>
      <c r="F459" s="1">
        <v>2</v>
      </c>
      <c r="G459" t="b">
        <v>0</v>
      </c>
      <c r="H459" s="1">
        <v>5</v>
      </c>
      <c r="I459" s="1">
        <v>3</v>
      </c>
      <c r="J459" s="2">
        <v>0.24</v>
      </c>
      <c r="K459" s="2">
        <v>0.2424</v>
      </c>
      <c r="L459" s="2">
        <v>0.75</v>
      </c>
      <c r="M459" s="2">
        <v>0.16420000000000001</v>
      </c>
      <c r="N459" s="1">
        <v>0</v>
      </c>
      <c r="O459" s="1">
        <v>2</v>
      </c>
      <c r="P459" s="1">
        <v>2</v>
      </c>
      <c r="Q459" s="1" t="str">
        <f>IF(WEEKDAY(Bike_Sharing_Master6[[#This Row],[Dteday]],2)&gt;=6,"Weekend","Weekday")</f>
        <v>Weekday</v>
      </c>
      <c r="R459" s="1" t="str">
        <f xml:space="preserve"> IF(Bike_Sharing_Master6[[#This Row],[Hr]]&lt;6,"Late Night", IF(Bike_Sharing_Master6[[#This Row],[Hr]]&lt;10,"Morning Peak", IF(Bike_Sharing_Master6[[#This Row],[Hr]]&lt;17,"Daytime", IF(Bike_Sharing_Master6[[#This Row],[Hr]]&lt;21,"Evening Peak","Night"))))</f>
        <v>Late Night</v>
      </c>
      <c r="S459" s="1" t="str">
        <f>IF(Bike_Sharing_Master6[[#This Row],[Holiday]]=1,"Holiday","Non-Holiday")</f>
        <v>Non-Holiday</v>
      </c>
      <c r="T459" s="1" t="str">
        <f>IF(Bike_Sharing_Master6[[#This Row],[Cnt]]&lt;80,"Low",IF(Bike_Sharing_Master6[[#This Row],[Cnt]]&lt;160,"Medium","High"))</f>
        <v>Low</v>
      </c>
      <c r="U459" s="1" t="str">
        <f>VLOOKUP(Bike_Sharing_Master6[[#This Row],[Weathersit]],[1]Lookup_Weather!A:B,2,FALSE)</f>
        <v>Light Rain</v>
      </c>
    </row>
    <row r="460" spans="1:21" x14ac:dyDescent="0.3">
      <c r="A460">
        <v>459</v>
      </c>
      <c r="B460" s="3">
        <v>40564</v>
      </c>
      <c r="C460" s="1">
        <v>1</v>
      </c>
      <c r="D460" s="1">
        <v>0</v>
      </c>
      <c r="E460" s="1">
        <v>1</v>
      </c>
      <c r="F460" s="1">
        <v>3</v>
      </c>
      <c r="G460" t="b">
        <v>0</v>
      </c>
      <c r="H460" s="1">
        <v>5</v>
      </c>
      <c r="I460" s="1">
        <v>3</v>
      </c>
      <c r="J460" s="2">
        <v>0.22</v>
      </c>
      <c r="K460" s="2">
        <v>0.21210000000000001</v>
      </c>
      <c r="L460" s="2">
        <v>0.8</v>
      </c>
      <c r="M460" s="2">
        <v>0.29849999999999999</v>
      </c>
      <c r="N460" s="1">
        <v>0</v>
      </c>
      <c r="O460" s="1">
        <v>1</v>
      </c>
      <c r="P460" s="1">
        <v>1</v>
      </c>
      <c r="Q460" s="1" t="str">
        <f>IF(WEEKDAY(Bike_Sharing_Master6[[#This Row],[Dteday]],2)&gt;=6,"Weekend","Weekday")</f>
        <v>Weekday</v>
      </c>
      <c r="R460" s="1" t="str">
        <f xml:space="preserve"> IF(Bike_Sharing_Master6[[#This Row],[Hr]]&lt;6,"Late Night", IF(Bike_Sharing_Master6[[#This Row],[Hr]]&lt;10,"Morning Peak", IF(Bike_Sharing_Master6[[#This Row],[Hr]]&lt;17,"Daytime", IF(Bike_Sharing_Master6[[#This Row],[Hr]]&lt;21,"Evening Peak","Night"))))</f>
        <v>Late Night</v>
      </c>
      <c r="S460" s="1" t="str">
        <f>IF(Bike_Sharing_Master6[[#This Row],[Holiday]]=1,"Holiday","Non-Holiday")</f>
        <v>Non-Holiday</v>
      </c>
      <c r="T460" s="1" t="str">
        <f>IF(Bike_Sharing_Master6[[#This Row],[Cnt]]&lt;80,"Low",IF(Bike_Sharing_Master6[[#This Row],[Cnt]]&lt;160,"Medium","High"))</f>
        <v>Low</v>
      </c>
      <c r="U460" s="1" t="str">
        <f>VLOOKUP(Bike_Sharing_Master6[[#This Row],[Weathersit]],[1]Lookup_Weather!A:B,2,FALSE)</f>
        <v>Light Rain</v>
      </c>
    </row>
    <row r="461" spans="1:21" x14ac:dyDescent="0.3">
      <c r="A461">
        <v>460</v>
      </c>
      <c r="B461" s="3">
        <v>40564</v>
      </c>
      <c r="C461" s="1">
        <v>1</v>
      </c>
      <c r="D461" s="1">
        <v>0</v>
      </c>
      <c r="E461" s="1">
        <v>1</v>
      </c>
      <c r="F461" s="1">
        <v>4</v>
      </c>
      <c r="G461" t="b">
        <v>0</v>
      </c>
      <c r="H461" s="1">
        <v>5</v>
      </c>
      <c r="I461" s="1">
        <v>2</v>
      </c>
      <c r="J461" s="2">
        <v>0.22</v>
      </c>
      <c r="K461" s="2">
        <v>0.2576</v>
      </c>
      <c r="L461" s="2">
        <v>0.87</v>
      </c>
      <c r="M461" s="2">
        <v>8.9599999999999999E-2</v>
      </c>
      <c r="N461" s="1">
        <v>0</v>
      </c>
      <c r="O461" s="1">
        <v>1</v>
      </c>
      <c r="P461" s="1">
        <v>1</v>
      </c>
      <c r="Q461" s="1" t="str">
        <f>IF(WEEKDAY(Bike_Sharing_Master6[[#This Row],[Dteday]],2)&gt;=6,"Weekend","Weekday")</f>
        <v>Weekday</v>
      </c>
      <c r="R461" s="1" t="str">
        <f xml:space="preserve"> IF(Bike_Sharing_Master6[[#This Row],[Hr]]&lt;6,"Late Night", IF(Bike_Sharing_Master6[[#This Row],[Hr]]&lt;10,"Morning Peak", IF(Bike_Sharing_Master6[[#This Row],[Hr]]&lt;17,"Daytime", IF(Bike_Sharing_Master6[[#This Row],[Hr]]&lt;21,"Evening Peak","Night"))))</f>
        <v>Late Night</v>
      </c>
      <c r="S461" s="1" t="str">
        <f>IF(Bike_Sharing_Master6[[#This Row],[Holiday]]=1,"Holiday","Non-Holiday")</f>
        <v>Non-Holiday</v>
      </c>
      <c r="T461" s="1" t="str">
        <f>IF(Bike_Sharing_Master6[[#This Row],[Cnt]]&lt;80,"Low",IF(Bike_Sharing_Master6[[#This Row],[Cnt]]&lt;160,"Medium","High"))</f>
        <v>Low</v>
      </c>
      <c r="U461" s="1" t="str">
        <f>VLOOKUP(Bike_Sharing_Master6[[#This Row],[Weathersit]],[1]Lookup_Weather!A:B,2,FALSE)</f>
        <v>Mist</v>
      </c>
    </row>
    <row r="462" spans="1:21" x14ac:dyDescent="0.3">
      <c r="A462">
        <v>461</v>
      </c>
      <c r="B462" s="3">
        <v>40564</v>
      </c>
      <c r="C462" s="1">
        <v>1</v>
      </c>
      <c r="D462" s="1">
        <v>0</v>
      </c>
      <c r="E462" s="1">
        <v>1</v>
      </c>
      <c r="F462" s="1">
        <v>5</v>
      </c>
      <c r="G462" t="b">
        <v>0</v>
      </c>
      <c r="H462" s="1">
        <v>5</v>
      </c>
      <c r="I462" s="1">
        <v>1</v>
      </c>
      <c r="J462" s="2">
        <v>0.24</v>
      </c>
      <c r="K462" s="2">
        <v>0.19700000000000001</v>
      </c>
      <c r="L462" s="2">
        <v>0.6</v>
      </c>
      <c r="M462" s="2">
        <v>0.41789999999999999</v>
      </c>
      <c r="N462" s="1">
        <v>1</v>
      </c>
      <c r="O462" s="1">
        <v>4</v>
      </c>
      <c r="P462" s="1">
        <v>5</v>
      </c>
      <c r="Q462" s="1" t="str">
        <f>IF(WEEKDAY(Bike_Sharing_Master6[[#This Row],[Dteday]],2)&gt;=6,"Weekend","Weekday")</f>
        <v>Weekday</v>
      </c>
      <c r="R462" s="1" t="str">
        <f xml:space="preserve"> IF(Bike_Sharing_Master6[[#This Row],[Hr]]&lt;6,"Late Night", IF(Bike_Sharing_Master6[[#This Row],[Hr]]&lt;10,"Morning Peak", IF(Bike_Sharing_Master6[[#This Row],[Hr]]&lt;17,"Daytime", IF(Bike_Sharing_Master6[[#This Row],[Hr]]&lt;21,"Evening Peak","Night"))))</f>
        <v>Late Night</v>
      </c>
      <c r="S462" s="1" t="str">
        <f>IF(Bike_Sharing_Master6[[#This Row],[Holiday]]=1,"Holiday","Non-Holiday")</f>
        <v>Non-Holiday</v>
      </c>
      <c r="T462" s="1" t="str">
        <f>IF(Bike_Sharing_Master6[[#This Row],[Cnt]]&lt;80,"Low",IF(Bike_Sharing_Master6[[#This Row],[Cnt]]&lt;160,"Medium","High"))</f>
        <v>Low</v>
      </c>
      <c r="U462" s="1" t="str">
        <f>VLOOKUP(Bike_Sharing_Master6[[#This Row],[Weathersit]],[1]Lookup_Weather!A:B,2,FALSE)</f>
        <v>Clear</v>
      </c>
    </row>
    <row r="463" spans="1:21" x14ac:dyDescent="0.3">
      <c r="A463">
        <v>462</v>
      </c>
      <c r="B463" s="3">
        <v>40564</v>
      </c>
      <c r="C463" s="1">
        <v>1</v>
      </c>
      <c r="D463" s="1">
        <v>0</v>
      </c>
      <c r="E463" s="1">
        <v>1</v>
      </c>
      <c r="F463" s="1">
        <v>6</v>
      </c>
      <c r="G463" t="b">
        <v>0</v>
      </c>
      <c r="H463" s="1">
        <v>5</v>
      </c>
      <c r="I463" s="1">
        <v>1</v>
      </c>
      <c r="J463" s="2">
        <v>0.22</v>
      </c>
      <c r="K463" s="2">
        <v>0.21210000000000001</v>
      </c>
      <c r="L463" s="2">
        <v>0.55000000000000004</v>
      </c>
      <c r="M463" s="2">
        <v>0.25369999999999998</v>
      </c>
      <c r="N463" s="1">
        <v>0</v>
      </c>
      <c r="O463" s="1">
        <v>27</v>
      </c>
      <c r="P463" s="1">
        <v>27</v>
      </c>
      <c r="Q463" s="1" t="str">
        <f>IF(WEEKDAY(Bike_Sharing_Master6[[#This Row],[Dteday]],2)&gt;=6,"Weekend","Weekday")</f>
        <v>Weekday</v>
      </c>
      <c r="R463" s="1" t="str">
        <f xml:space="preserve"> IF(Bike_Sharing_Master6[[#This Row],[Hr]]&lt;6,"Late Night", IF(Bike_Sharing_Master6[[#This Row],[Hr]]&lt;10,"Morning Peak", IF(Bike_Sharing_Master6[[#This Row],[Hr]]&lt;17,"Daytime", IF(Bike_Sharing_Master6[[#This Row],[Hr]]&lt;21,"Evening Peak","Night"))))</f>
        <v>Morning Peak</v>
      </c>
      <c r="S463" s="1" t="str">
        <f>IF(Bike_Sharing_Master6[[#This Row],[Holiday]]=1,"Holiday","Non-Holiday")</f>
        <v>Non-Holiday</v>
      </c>
      <c r="T463" s="1" t="str">
        <f>IF(Bike_Sharing_Master6[[#This Row],[Cnt]]&lt;80,"Low",IF(Bike_Sharing_Master6[[#This Row],[Cnt]]&lt;160,"Medium","High"))</f>
        <v>Low</v>
      </c>
      <c r="U463" s="1" t="str">
        <f>VLOOKUP(Bike_Sharing_Master6[[#This Row],[Weathersit]],[1]Lookup_Weather!A:B,2,FALSE)</f>
        <v>Clear</v>
      </c>
    </row>
    <row r="464" spans="1:21" x14ac:dyDescent="0.3">
      <c r="A464">
        <v>463</v>
      </c>
      <c r="B464" s="3">
        <v>40564</v>
      </c>
      <c r="C464" s="1">
        <v>1</v>
      </c>
      <c r="D464" s="1">
        <v>0</v>
      </c>
      <c r="E464" s="1">
        <v>1</v>
      </c>
      <c r="F464" s="1">
        <v>7</v>
      </c>
      <c r="G464" t="b">
        <v>0</v>
      </c>
      <c r="H464" s="1">
        <v>5</v>
      </c>
      <c r="I464" s="1">
        <v>1</v>
      </c>
      <c r="J464" s="2">
        <v>0.2</v>
      </c>
      <c r="K464" s="2">
        <v>0.18179999999999999</v>
      </c>
      <c r="L464" s="2">
        <v>0.51</v>
      </c>
      <c r="M464" s="2">
        <v>0.28360000000000002</v>
      </c>
      <c r="N464" s="1">
        <v>2</v>
      </c>
      <c r="O464" s="1">
        <v>66</v>
      </c>
      <c r="P464" s="1">
        <v>68</v>
      </c>
      <c r="Q464" s="1" t="str">
        <f>IF(WEEKDAY(Bike_Sharing_Master6[[#This Row],[Dteday]],2)&gt;=6,"Weekend","Weekday")</f>
        <v>Weekday</v>
      </c>
      <c r="R464" s="1" t="str">
        <f xml:space="preserve"> IF(Bike_Sharing_Master6[[#This Row],[Hr]]&lt;6,"Late Night", IF(Bike_Sharing_Master6[[#This Row],[Hr]]&lt;10,"Morning Peak", IF(Bike_Sharing_Master6[[#This Row],[Hr]]&lt;17,"Daytime", IF(Bike_Sharing_Master6[[#This Row],[Hr]]&lt;21,"Evening Peak","Night"))))</f>
        <v>Morning Peak</v>
      </c>
      <c r="S464" s="1" t="str">
        <f>IF(Bike_Sharing_Master6[[#This Row],[Holiday]]=1,"Holiday","Non-Holiday")</f>
        <v>Non-Holiday</v>
      </c>
      <c r="T464" s="1" t="str">
        <f>IF(Bike_Sharing_Master6[[#This Row],[Cnt]]&lt;80,"Low",IF(Bike_Sharing_Master6[[#This Row],[Cnt]]&lt;160,"Medium","High"))</f>
        <v>Low</v>
      </c>
      <c r="U464" s="1" t="str">
        <f>VLOOKUP(Bike_Sharing_Master6[[#This Row],[Weathersit]],[1]Lookup_Weather!A:B,2,FALSE)</f>
        <v>Clear</v>
      </c>
    </row>
    <row r="465" spans="1:21" x14ac:dyDescent="0.3">
      <c r="A465">
        <v>464</v>
      </c>
      <c r="B465" s="3">
        <v>40564</v>
      </c>
      <c r="C465" s="1">
        <v>1</v>
      </c>
      <c r="D465" s="1">
        <v>0</v>
      </c>
      <c r="E465" s="1">
        <v>1</v>
      </c>
      <c r="F465" s="1">
        <v>8</v>
      </c>
      <c r="G465" t="b">
        <v>0</v>
      </c>
      <c r="H465" s="1">
        <v>5</v>
      </c>
      <c r="I465" s="1">
        <v>1</v>
      </c>
      <c r="J465" s="2">
        <v>0.2</v>
      </c>
      <c r="K465" s="2">
        <v>0.18179999999999999</v>
      </c>
      <c r="L465" s="2">
        <v>0.47</v>
      </c>
      <c r="M465" s="2">
        <v>0.32840000000000003</v>
      </c>
      <c r="N465" s="1">
        <v>7</v>
      </c>
      <c r="O465" s="1">
        <v>210</v>
      </c>
      <c r="P465" s="1">
        <v>217</v>
      </c>
      <c r="Q465" s="1" t="str">
        <f>IF(WEEKDAY(Bike_Sharing_Master6[[#This Row],[Dteday]],2)&gt;=6,"Weekend","Weekday")</f>
        <v>Weekday</v>
      </c>
      <c r="R465" s="1" t="str">
        <f xml:space="preserve"> IF(Bike_Sharing_Master6[[#This Row],[Hr]]&lt;6,"Late Night", IF(Bike_Sharing_Master6[[#This Row],[Hr]]&lt;10,"Morning Peak", IF(Bike_Sharing_Master6[[#This Row],[Hr]]&lt;17,"Daytime", IF(Bike_Sharing_Master6[[#This Row],[Hr]]&lt;21,"Evening Peak","Night"))))</f>
        <v>Morning Peak</v>
      </c>
      <c r="S465" s="1" t="str">
        <f>IF(Bike_Sharing_Master6[[#This Row],[Holiday]]=1,"Holiday","Non-Holiday")</f>
        <v>Non-Holiday</v>
      </c>
      <c r="T465" s="1" t="str">
        <f>IF(Bike_Sharing_Master6[[#This Row],[Cnt]]&lt;80,"Low",IF(Bike_Sharing_Master6[[#This Row],[Cnt]]&lt;160,"Medium","High"))</f>
        <v>High</v>
      </c>
      <c r="U465" s="1" t="str">
        <f>VLOOKUP(Bike_Sharing_Master6[[#This Row],[Weathersit]],[1]Lookup_Weather!A:B,2,FALSE)</f>
        <v>Clear</v>
      </c>
    </row>
    <row r="466" spans="1:21" x14ac:dyDescent="0.3">
      <c r="A466">
        <v>465</v>
      </c>
      <c r="B466" s="3">
        <v>40564</v>
      </c>
      <c r="C466" s="1">
        <v>1</v>
      </c>
      <c r="D466" s="1">
        <v>0</v>
      </c>
      <c r="E466" s="1">
        <v>1</v>
      </c>
      <c r="F466" s="1">
        <v>9</v>
      </c>
      <c r="G466" t="b">
        <v>0</v>
      </c>
      <c r="H466" s="1">
        <v>5</v>
      </c>
      <c r="I466" s="1">
        <v>1</v>
      </c>
      <c r="J466" s="2">
        <v>0.2</v>
      </c>
      <c r="K466" s="2">
        <v>0.18179999999999999</v>
      </c>
      <c r="L466" s="2">
        <v>0.51</v>
      </c>
      <c r="M466" s="2">
        <v>0.35820000000000002</v>
      </c>
      <c r="N466" s="1">
        <v>7</v>
      </c>
      <c r="O466" s="1">
        <v>159</v>
      </c>
      <c r="P466" s="1">
        <v>166</v>
      </c>
      <c r="Q466" s="1" t="str">
        <f>IF(WEEKDAY(Bike_Sharing_Master6[[#This Row],[Dteday]],2)&gt;=6,"Weekend","Weekday")</f>
        <v>Weekday</v>
      </c>
      <c r="R466" s="1" t="str">
        <f xml:space="preserve"> IF(Bike_Sharing_Master6[[#This Row],[Hr]]&lt;6,"Late Night", IF(Bike_Sharing_Master6[[#This Row],[Hr]]&lt;10,"Morning Peak", IF(Bike_Sharing_Master6[[#This Row],[Hr]]&lt;17,"Daytime", IF(Bike_Sharing_Master6[[#This Row],[Hr]]&lt;21,"Evening Peak","Night"))))</f>
        <v>Morning Peak</v>
      </c>
      <c r="S466" s="1" t="str">
        <f>IF(Bike_Sharing_Master6[[#This Row],[Holiday]]=1,"Holiday","Non-Holiday")</f>
        <v>Non-Holiday</v>
      </c>
      <c r="T466" s="1" t="str">
        <f>IF(Bike_Sharing_Master6[[#This Row],[Cnt]]&lt;80,"Low",IF(Bike_Sharing_Master6[[#This Row],[Cnt]]&lt;160,"Medium","High"))</f>
        <v>High</v>
      </c>
      <c r="U466" s="1" t="str">
        <f>VLOOKUP(Bike_Sharing_Master6[[#This Row],[Weathersit]],[1]Lookup_Weather!A:B,2,FALSE)</f>
        <v>Clear</v>
      </c>
    </row>
    <row r="467" spans="1:21" x14ac:dyDescent="0.3">
      <c r="A467">
        <v>466</v>
      </c>
      <c r="B467" s="3">
        <v>40564</v>
      </c>
      <c r="C467" s="1">
        <v>1</v>
      </c>
      <c r="D467" s="1">
        <v>0</v>
      </c>
      <c r="E467" s="1">
        <v>1</v>
      </c>
      <c r="F467" s="1">
        <v>10</v>
      </c>
      <c r="G467" t="b">
        <v>0</v>
      </c>
      <c r="H467" s="1">
        <v>5</v>
      </c>
      <c r="I467" s="1">
        <v>1</v>
      </c>
      <c r="J467" s="2">
        <v>0.2</v>
      </c>
      <c r="K467" s="2">
        <v>0.16669999999999999</v>
      </c>
      <c r="L467" s="2">
        <v>0.47</v>
      </c>
      <c r="M467" s="2">
        <v>0.4627</v>
      </c>
      <c r="N467" s="1">
        <v>6</v>
      </c>
      <c r="O467" s="1">
        <v>57</v>
      </c>
      <c r="P467" s="1">
        <v>63</v>
      </c>
      <c r="Q467" s="1" t="str">
        <f>IF(WEEKDAY(Bike_Sharing_Master6[[#This Row],[Dteday]],2)&gt;=6,"Weekend","Weekday")</f>
        <v>Weekday</v>
      </c>
      <c r="R467" s="1" t="str">
        <f xml:space="preserve"> IF(Bike_Sharing_Master6[[#This Row],[Hr]]&lt;6,"Late Night", IF(Bike_Sharing_Master6[[#This Row],[Hr]]&lt;10,"Morning Peak", IF(Bike_Sharing_Master6[[#This Row],[Hr]]&lt;17,"Daytime", IF(Bike_Sharing_Master6[[#This Row],[Hr]]&lt;21,"Evening Peak","Night"))))</f>
        <v>Daytime</v>
      </c>
      <c r="S467" s="1" t="str">
        <f>IF(Bike_Sharing_Master6[[#This Row],[Holiday]]=1,"Holiday","Non-Holiday")</f>
        <v>Non-Holiday</v>
      </c>
      <c r="T467" s="1" t="str">
        <f>IF(Bike_Sharing_Master6[[#This Row],[Cnt]]&lt;80,"Low",IF(Bike_Sharing_Master6[[#This Row],[Cnt]]&lt;160,"Medium","High"))</f>
        <v>Low</v>
      </c>
      <c r="U467" s="1" t="str">
        <f>VLOOKUP(Bike_Sharing_Master6[[#This Row],[Weathersit]],[1]Lookup_Weather!A:B,2,FALSE)</f>
        <v>Clear</v>
      </c>
    </row>
    <row r="468" spans="1:21" x14ac:dyDescent="0.3">
      <c r="A468">
        <v>467</v>
      </c>
      <c r="B468" s="3">
        <v>40564</v>
      </c>
      <c r="C468" s="1">
        <v>1</v>
      </c>
      <c r="D468" s="1">
        <v>0</v>
      </c>
      <c r="E468" s="1">
        <v>1</v>
      </c>
      <c r="F468" s="1">
        <v>11</v>
      </c>
      <c r="G468" t="b">
        <v>0</v>
      </c>
      <c r="H468" s="1">
        <v>5</v>
      </c>
      <c r="I468" s="1">
        <v>1</v>
      </c>
      <c r="J468" s="2">
        <v>0.22</v>
      </c>
      <c r="K468" s="2">
        <v>0.18179999999999999</v>
      </c>
      <c r="L468" s="2">
        <v>0.41</v>
      </c>
      <c r="M468" s="2">
        <v>0.4627</v>
      </c>
      <c r="N468" s="1">
        <v>6</v>
      </c>
      <c r="O468" s="1">
        <v>53</v>
      </c>
      <c r="P468" s="1">
        <v>59</v>
      </c>
      <c r="Q468" s="1" t="str">
        <f>IF(WEEKDAY(Bike_Sharing_Master6[[#This Row],[Dteday]],2)&gt;=6,"Weekend","Weekday")</f>
        <v>Weekday</v>
      </c>
      <c r="R468" s="1" t="str">
        <f xml:space="preserve"> IF(Bike_Sharing_Master6[[#This Row],[Hr]]&lt;6,"Late Night", IF(Bike_Sharing_Master6[[#This Row],[Hr]]&lt;10,"Morning Peak", IF(Bike_Sharing_Master6[[#This Row],[Hr]]&lt;17,"Daytime", IF(Bike_Sharing_Master6[[#This Row],[Hr]]&lt;21,"Evening Peak","Night"))))</f>
        <v>Daytime</v>
      </c>
      <c r="S468" s="1" t="str">
        <f>IF(Bike_Sharing_Master6[[#This Row],[Holiday]]=1,"Holiday","Non-Holiday")</f>
        <v>Non-Holiday</v>
      </c>
      <c r="T468" s="1" t="str">
        <f>IF(Bike_Sharing_Master6[[#This Row],[Cnt]]&lt;80,"Low",IF(Bike_Sharing_Master6[[#This Row],[Cnt]]&lt;160,"Medium","High"))</f>
        <v>Low</v>
      </c>
      <c r="U468" s="1" t="str">
        <f>VLOOKUP(Bike_Sharing_Master6[[#This Row],[Weathersit]],[1]Lookup_Weather!A:B,2,FALSE)</f>
        <v>Clear</v>
      </c>
    </row>
    <row r="469" spans="1:21" x14ac:dyDescent="0.3">
      <c r="A469">
        <v>468</v>
      </c>
      <c r="B469" s="3">
        <v>40564</v>
      </c>
      <c r="C469" s="1">
        <v>1</v>
      </c>
      <c r="D469" s="1">
        <v>0</v>
      </c>
      <c r="E469" s="1">
        <v>1</v>
      </c>
      <c r="F469" s="1">
        <v>12</v>
      </c>
      <c r="G469" t="b">
        <v>0</v>
      </c>
      <c r="H469" s="1">
        <v>5</v>
      </c>
      <c r="I469" s="1">
        <v>1</v>
      </c>
      <c r="J469" s="2">
        <v>0.22</v>
      </c>
      <c r="K469" s="2">
        <v>0.18179999999999999</v>
      </c>
      <c r="L469" s="2">
        <v>0.27</v>
      </c>
      <c r="M469" s="2">
        <v>0.58209999999999995</v>
      </c>
      <c r="N469" s="1">
        <v>11</v>
      </c>
      <c r="O469" s="1">
        <v>67</v>
      </c>
      <c r="P469" s="1">
        <v>78</v>
      </c>
      <c r="Q469" s="1" t="str">
        <f>IF(WEEKDAY(Bike_Sharing_Master6[[#This Row],[Dteday]],2)&gt;=6,"Weekend","Weekday")</f>
        <v>Weekday</v>
      </c>
      <c r="R469" s="1" t="str">
        <f xml:space="preserve"> IF(Bike_Sharing_Master6[[#This Row],[Hr]]&lt;6,"Late Night", IF(Bike_Sharing_Master6[[#This Row],[Hr]]&lt;10,"Morning Peak", IF(Bike_Sharing_Master6[[#This Row],[Hr]]&lt;17,"Daytime", IF(Bike_Sharing_Master6[[#This Row],[Hr]]&lt;21,"Evening Peak","Night"))))</f>
        <v>Daytime</v>
      </c>
      <c r="S469" s="1" t="str">
        <f>IF(Bike_Sharing_Master6[[#This Row],[Holiday]]=1,"Holiday","Non-Holiday")</f>
        <v>Non-Holiday</v>
      </c>
      <c r="T469" s="1" t="str">
        <f>IF(Bike_Sharing_Master6[[#This Row],[Cnt]]&lt;80,"Low",IF(Bike_Sharing_Master6[[#This Row],[Cnt]]&lt;160,"Medium","High"))</f>
        <v>Low</v>
      </c>
      <c r="U469" s="1" t="str">
        <f>VLOOKUP(Bike_Sharing_Master6[[#This Row],[Weathersit]],[1]Lookup_Weather!A:B,2,FALSE)</f>
        <v>Clear</v>
      </c>
    </row>
    <row r="470" spans="1:21" x14ac:dyDescent="0.3">
      <c r="A470">
        <v>469</v>
      </c>
      <c r="B470" s="3">
        <v>40564</v>
      </c>
      <c r="C470" s="1">
        <v>1</v>
      </c>
      <c r="D470" s="1">
        <v>0</v>
      </c>
      <c r="E470" s="1">
        <v>1</v>
      </c>
      <c r="F470" s="1">
        <v>13</v>
      </c>
      <c r="G470" t="b">
        <v>0</v>
      </c>
      <c r="H470" s="1">
        <v>5</v>
      </c>
      <c r="I470" s="1">
        <v>1</v>
      </c>
      <c r="J470" s="2">
        <v>0.2</v>
      </c>
      <c r="K470" s="2">
        <v>0.1515</v>
      </c>
      <c r="L470" s="2">
        <v>0.21</v>
      </c>
      <c r="M470" s="2">
        <v>0.58209999999999995</v>
      </c>
      <c r="N470" s="1">
        <v>8</v>
      </c>
      <c r="O470" s="1">
        <v>65</v>
      </c>
      <c r="P470" s="1">
        <v>73</v>
      </c>
      <c r="Q470" s="1" t="str">
        <f>IF(WEEKDAY(Bike_Sharing_Master6[[#This Row],[Dteday]],2)&gt;=6,"Weekend","Weekday")</f>
        <v>Weekday</v>
      </c>
      <c r="R470" s="1" t="str">
        <f xml:space="preserve"> IF(Bike_Sharing_Master6[[#This Row],[Hr]]&lt;6,"Late Night", IF(Bike_Sharing_Master6[[#This Row],[Hr]]&lt;10,"Morning Peak", IF(Bike_Sharing_Master6[[#This Row],[Hr]]&lt;17,"Daytime", IF(Bike_Sharing_Master6[[#This Row],[Hr]]&lt;21,"Evening Peak","Night"))))</f>
        <v>Daytime</v>
      </c>
      <c r="S470" s="1" t="str">
        <f>IF(Bike_Sharing_Master6[[#This Row],[Holiday]]=1,"Holiday","Non-Holiday")</f>
        <v>Non-Holiday</v>
      </c>
      <c r="T470" s="1" t="str">
        <f>IF(Bike_Sharing_Master6[[#This Row],[Cnt]]&lt;80,"Low",IF(Bike_Sharing_Master6[[#This Row],[Cnt]]&lt;160,"Medium","High"))</f>
        <v>Low</v>
      </c>
      <c r="U470" s="1" t="str">
        <f>VLOOKUP(Bike_Sharing_Master6[[#This Row],[Weathersit]],[1]Lookup_Weather!A:B,2,FALSE)</f>
        <v>Clear</v>
      </c>
    </row>
    <row r="471" spans="1:21" x14ac:dyDescent="0.3">
      <c r="A471">
        <v>470</v>
      </c>
      <c r="B471" s="3">
        <v>40564</v>
      </c>
      <c r="C471" s="1">
        <v>1</v>
      </c>
      <c r="D471" s="1">
        <v>0</v>
      </c>
      <c r="E471" s="1">
        <v>1</v>
      </c>
      <c r="F471" s="1">
        <v>14</v>
      </c>
      <c r="G471" t="b">
        <v>0</v>
      </c>
      <c r="H471" s="1">
        <v>5</v>
      </c>
      <c r="I471" s="1">
        <v>1</v>
      </c>
      <c r="J471" s="2">
        <v>0.2</v>
      </c>
      <c r="K471" s="2">
        <v>0.1515</v>
      </c>
      <c r="L471" s="2">
        <v>0.25</v>
      </c>
      <c r="M471" s="2">
        <v>0.52239999999999998</v>
      </c>
      <c r="N471" s="1">
        <v>6</v>
      </c>
      <c r="O471" s="1">
        <v>56</v>
      </c>
      <c r="P471" s="1">
        <v>62</v>
      </c>
      <c r="Q471" s="1" t="str">
        <f>IF(WEEKDAY(Bike_Sharing_Master6[[#This Row],[Dteday]],2)&gt;=6,"Weekend","Weekday")</f>
        <v>Weekday</v>
      </c>
      <c r="R471" s="1" t="str">
        <f xml:space="preserve"> IF(Bike_Sharing_Master6[[#This Row],[Hr]]&lt;6,"Late Night", IF(Bike_Sharing_Master6[[#This Row],[Hr]]&lt;10,"Morning Peak", IF(Bike_Sharing_Master6[[#This Row],[Hr]]&lt;17,"Daytime", IF(Bike_Sharing_Master6[[#This Row],[Hr]]&lt;21,"Evening Peak","Night"))))</f>
        <v>Daytime</v>
      </c>
      <c r="S471" s="1" t="str">
        <f>IF(Bike_Sharing_Master6[[#This Row],[Holiday]]=1,"Holiday","Non-Holiday")</f>
        <v>Non-Holiday</v>
      </c>
      <c r="T471" s="1" t="str">
        <f>IF(Bike_Sharing_Master6[[#This Row],[Cnt]]&lt;80,"Low",IF(Bike_Sharing_Master6[[#This Row],[Cnt]]&lt;160,"Medium","High"))</f>
        <v>Low</v>
      </c>
      <c r="U471" s="1" t="str">
        <f>VLOOKUP(Bike_Sharing_Master6[[#This Row],[Weathersit]],[1]Lookup_Weather!A:B,2,FALSE)</f>
        <v>Clear</v>
      </c>
    </row>
    <row r="472" spans="1:21" x14ac:dyDescent="0.3">
      <c r="A472">
        <v>471</v>
      </c>
      <c r="B472" s="3">
        <v>40564</v>
      </c>
      <c r="C472" s="1">
        <v>1</v>
      </c>
      <c r="D472" s="1">
        <v>0</v>
      </c>
      <c r="E472" s="1">
        <v>1</v>
      </c>
      <c r="F472" s="1">
        <v>15</v>
      </c>
      <c r="G472" t="b">
        <v>0</v>
      </c>
      <c r="H472" s="1">
        <v>5</v>
      </c>
      <c r="I472" s="1">
        <v>1</v>
      </c>
      <c r="J472" s="2">
        <v>0.16</v>
      </c>
      <c r="K472" s="2">
        <v>0.1212</v>
      </c>
      <c r="L472" s="2">
        <v>0.26</v>
      </c>
      <c r="M472" s="2">
        <v>0.44779999999999998</v>
      </c>
      <c r="N472" s="1">
        <v>4</v>
      </c>
      <c r="O472" s="1">
        <v>61</v>
      </c>
      <c r="P472" s="1">
        <v>65</v>
      </c>
      <c r="Q472" s="1" t="str">
        <f>IF(WEEKDAY(Bike_Sharing_Master6[[#This Row],[Dteday]],2)&gt;=6,"Weekend","Weekday")</f>
        <v>Weekday</v>
      </c>
      <c r="R472" s="1" t="str">
        <f xml:space="preserve"> IF(Bike_Sharing_Master6[[#This Row],[Hr]]&lt;6,"Late Night", IF(Bike_Sharing_Master6[[#This Row],[Hr]]&lt;10,"Morning Peak", IF(Bike_Sharing_Master6[[#This Row],[Hr]]&lt;17,"Daytime", IF(Bike_Sharing_Master6[[#This Row],[Hr]]&lt;21,"Evening Peak","Night"))))</f>
        <v>Daytime</v>
      </c>
      <c r="S472" s="1" t="str">
        <f>IF(Bike_Sharing_Master6[[#This Row],[Holiday]]=1,"Holiday","Non-Holiday")</f>
        <v>Non-Holiday</v>
      </c>
      <c r="T472" s="1" t="str">
        <f>IF(Bike_Sharing_Master6[[#This Row],[Cnt]]&lt;80,"Low",IF(Bike_Sharing_Master6[[#This Row],[Cnt]]&lt;160,"Medium","High"))</f>
        <v>Low</v>
      </c>
      <c r="U472" s="1" t="str">
        <f>VLOOKUP(Bike_Sharing_Master6[[#This Row],[Weathersit]],[1]Lookup_Weather!A:B,2,FALSE)</f>
        <v>Clear</v>
      </c>
    </row>
    <row r="473" spans="1:21" x14ac:dyDescent="0.3">
      <c r="A473">
        <v>472</v>
      </c>
      <c r="B473" s="3">
        <v>40564</v>
      </c>
      <c r="C473" s="1">
        <v>1</v>
      </c>
      <c r="D473" s="1">
        <v>0</v>
      </c>
      <c r="E473" s="1">
        <v>1</v>
      </c>
      <c r="F473" s="1">
        <v>16</v>
      </c>
      <c r="G473" t="b">
        <v>0</v>
      </c>
      <c r="H473" s="1">
        <v>5</v>
      </c>
      <c r="I473" s="1">
        <v>1</v>
      </c>
      <c r="J473" s="2">
        <v>0.16</v>
      </c>
      <c r="K473" s="2">
        <v>0.13639999999999999</v>
      </c>
      <c r="L473" s="2">
        <v>0.26</v>
      </c>
      <c r="M473" s="2">
        <v>0.35820000000000002</v>
      </c>
      <c r="N473" s="1">
        <v>0</v>
      </c>
      <c r="O473" s="1">
        <v>97</v>
      </c>
      <c r="P473" s="1">
        <v>97</v>
      </c>
      <c r="Q473" s="1" t="str">
        <f>IF(WEEKDAY(Bike_Sharing_Master6[[#This Row],[Dteday]],2)&gt;=6,"Weekend","Weekday")</f>
        <v>Weekday</v>
      </c>
      <c r="R473" s="1" t="str">
        <f xml:space="preserve"> IF(Bike_Sharing_Master6[[#This Row],[Hr]]&lt;6,"Late Night", IF(Bike_Sharing_Master6[[#This Row],[Hr]]&lt;10,"Morning Peak", IF(Bike_Sharing_Master6[[#This Row],[Hr]]&lt;17,"Daytime", IF(Bike_Sharing_Master6[[#This Row],[Hr]]&lt;21,"Evening Peak","Night"))))</f>
        <v>Daytime</v>
      </c>
      <c r="S473" s="1" t="str">
        <f>IF(Bike_Sharing_Master6[[#This Row],[Holiday]]=1,"Holiday","Non-Holiday")</f>
        <v>Non-Holiday</v>
      </c>
      <c r="T473" s="1" t="str">
        <f>IF(Bike_Sharing_Master6[[#This Row],[Cnt]]&lt;80,"Low",IF(Bike_Sharing_Master6[[#This Row],[Cnt]]&lt;160,"Medium","High"))</f>
        <v>Medium</v>
      </c>
      <c r="U473" s="1" t="str">
        <f>VLOOKUP(Bike_Sharing_Master6[[#This Row],[Weathersit]],[1]Lookup_Weather!A:B,2,FALSE)</f>
        <v>Clear</v>
      </c>
    </row>
    <row r="474" spans="1:21" x14ac:dyDescent="0.3">
      <c r="A474">
        <v>473</v>
      </c>
      <c r="B474" s="3">
        <v>40564</v>
      </c>
      <c r="C474" s="1">
        <v>1</v>
      </c>
      <c r="D474" s="1">
        <v>0</v>
      </c>
      <c r="E474" s="1">
        <v>1</v>
      </c>
      <c r="F474" s="1">
        <v>17</v>
      </c>
      <c r="G474" t="b">
        <v>0</v>
      </c>
      <c r="H474" s="1">
        <v>5</v>
      </c>
      <c r="I474" s="1">
        <v>1</v>
      </c>
      <c r="J474" s="2">
        <v>0.14000000000000001</v>
      </c>
      <c r="K474" s="2">
        <v>0.1212</v>
      </c>
      <c r="L474" s="2">
        <v>0.28000000000000003</v>
      </c>
      <c r="M474" s="2">
        <v>0.35820000000000002</v>
      </c>
      <c r="N474" s="1">
        <v>10</v>
      </c>
      <c r="O474" s="1">
        <v>151</v>
      </c>
      <c r="P474" s="1">
        <v>161</v>
      </c>
      <c r="Q474" s="1" t="str">
        <f>IF(WEEKDAY(Bike_Sharing_Master6[[#This Row],[Dteday]],2)&gt;=6,"Weekend","Weekday")</f>
        <v>Weekday</v>
      </c>
      <c r="R474" s="1" t="str">
        <f xml:space="preserve"> IF(Bike_Sharing_Master6[[#This Row],[Hr]]&lt;6,"Late Night", IF(Bike_Sharing_Master6[[#This Row],[Hr]]&lt;10,"Morning Peak", IF(Bike_Sharing_Master6[[#This Row],[Hr]]&lt;17,"Daytime", IF(Bike_Sharing_Master6[[#This Row],[Hr]]&lt;21,"Evening Peak","Night"))))</f>
        <v>Evening Peak</v>
      </c>
      <c r="S474" s="1" t="str">
        <f>IF(Bike_Sharing_Master6[[#This Row],[Holiday]]=1,"Holiday","Non-Holiday")</f>
        <v>Non-Holiday</v>
      </c>
      <c r="T474" s="1" t="str">
        <f>IF(Bike_Sharing_Master6[[#This Row],[Cnt]]&lt;80,"Low",IF(Bike_Sharing_Master6[[#This Row],[Cnt]]&lt;160,"Medium","High"))</f>
        <v>High</v>
      </c>
      <c r="U474" s="1" t="str">
        <f>VLOOKUP(Bike_Sharing_Master6[[#This Row],[Weathersit]],[1]Lookup_Weather!A:B,2,FALSE)</f>
        <v>Clear</v>
      </c>
    </row>
    <row r="475" spans="1:21" x14ac:dyDescent="0.3">
      <c r="A475">
        <v>474</v>
      </c>
      <c r="B475" s="3">
        <v>40564</v>
      </c>
      <c r="C475" s="1">
        <v>1</v>
      </c>
      <c r="D475" s="1">
        <v>0</v>
      </c>
      <c r="E475" s="1">
        <v>1</v>
      </c>
      <c r="F475" s="1">
        <v>18</v>
      </c>
      <c r="G475" t="b">
        <v>0</v>
      </c>
      <c r="H475" s="1">
        <v>5</v>
      </c>
      <c r="I475" s="1">
        <v>1</v>
      </c>
      <c r="J475" s="2">
        <v>0.12</v>
      </c>
      <c r="K475" s="2">
        <v>0.1212</v>
      </c>
      <c r="L475" s="2">
        <v>0.3</v>
      </c>
      <c r="M475" s="2">
        <v>0.25369999999999998</v>
      </c>
      <c r="N475" s="1">
        <v>1</v>
      </c>
      <c r="O475" s="1">
        <v>119</v>
      </c>
      <c r="P475" s="1">
        <v>120</v>
      </c>
      <c r="Q475" s="1" t="str">
        <f>IF(WEEKDAY(Bike_Sharing_Master6[[#This Row],[Dteday]],2)&gt;=6,"Weekend","Weekday")</f>
        <v>Weekday</v>
      </c>
      <c r="R475" s="1" t="str">
        <f xml:space="preserve"> IF(Bike_Sharing_Master6[[#This Row],[Hr]]&lt;6,"Late Night", IF(Bike_Sharing_Master6[[#This Row],[Hr]]&lt;10,"Morning Peak", IF(Bike_Sharing_Master6[[#This Row],[Hr]]&lt;17,"Daytime", IF(Bike_Sharing_Master6[[#This Row],[Hr]]&lt;21,"Evening Peak","Night"))))</f>
        <v>Evening Peak</v>
      </c>
      <c r="S475" s="1" t="str">
        <f>IF(Bike_Sharing_Master6[[#This Row],[Holiday]]=1,"Holiday","Non-Holiday")</f>
        <v>Non-Holiday</v>
      </c>
      <c r="T475" s="1" t="str">
        <f>IF(Bike_Sharing_Master6[[#This Row],[Cnt]]&lt;80,"Low",IF(Bike_Sharing_Master6[[#This Row],[Cnt]]&lt;160,"Medium","High"))</f>
        <v>Medium</v>
      </c>
      <c r="U475" s="1" t="str">
        <f>VLOOKUP(Bike_Sharing_Master6[[#This Row],[Weathersit]],[1]Lookup_Weather!A:B,2,FALSE)</f>
        <v>Clear</v>
      </c>
    </row>
    <row r="476" spans="1:21" x14ac:dyDescent="0.3">
      <c r="A476">
        <v>475</v>
      </c>
      <c r="B476" s="3">
        <v>40564</v>
      </c>
      <c r="C476" s="1">
        <v>1</v>
      </c>
      <c r="D476" s="1">
        <v>0</v>
      </c>
      <c r="E476" s="1">
        <v>1</v>
      </c>
      <c r="F476" s="1">
        <v>19</v>
      </c>
      <c r="G476" t="b">
        <v>0</v>
      </c>
      <c r="H476" s="1">
        <v>5</v>
      </c>
      <c r="I476" s="1">
        <v>1</v>
      </c>
      <c r="J476" s="2">
        <v>0.12</v>
      </c>
      <c r="K476" s="2">
        <v>0.1061</v>
      </c>
      <c r="L476" s="2">
        <v>0.3</v>
      </c>
      <c r="M476" s="2">
        <v>0.32840000000000003</v>
      </c>
      <c r="N476" s="1">
        <v>3</v>
      </c>
      <c r="O476" s="1">
        <v>93</v>
      </c>
      <c r="P476" s="1">
        <v>96</v>
      </c>
      <c r="Q476" s="1" t="str">
        <f>IF(WEEKDAY(Bike_Sharing_Master6[[#This Row],[Dteday]],2)&gt;=6,"Weekend","Weekday")</f>
        <v>Weekday</v>
      </c>
      <c r="R476" s="1" t="str">
        <f xml:space="preserve"> IF(Bike_Sharing_Master6[[#This Row],[Hr]]&lt;6,"Late Night", IF(Bike_Sharing_Master6[[#This Row],[Hr]]&lt;10,"Morning Peak", IF(Bike_Sharing_Master6[[#This Row],[Hr]]&lt;17,"Daytime", IF(Bike_Sharing_Master6[[#This Row],[Hr]]&lt;21,"Evening Peak","Night"))))</f>
        <v>Evening Peak</v>
      </c>
      <c r="S476" s="1" t="str">
        <f>IF(Bike_Sharing_Master6[[#This Row],[Holiday]]=1,"Holiday","Non-Holiday")</f>
        <v>Non-Holiday</v>
      </c>
      <c r="T476" s="1" t="str">
        <f>IF(Bike_Sharing_Master6[[#This Row],[Cnt]]&lt;80,"Low",IF(Bike_Sharing_Master6[[#This Row],[Cnt]]&lt;160,"Medium","High"))</f>
        <v>Medium</v>
      </c>
      <c r="U476" s="1" t="str">
        <f>VLOOKUP(Bike_Sharing_Master6[[#This Row],[Weathersit]],[1]Lookup_Weather!A:B,2,FALSE)</f>
        <v>Clear</v>
      </c>
    </row>
    <row r="477" spans="1:21" x14ac:dyDescent="0.3">
      <c r="A477">
        <v>476</v>
      </c>
      <c r="B477" s="3">
        <v>40564</v>
      </c>
      <c r="C477" s="1">
        <v>1</v>
      </c>
      <c r="D477" s="1">
        <v>0</v>
      </c>
      <c r="E477" s="1">
        <v>1</v>
      </c>
      <c r="F477" s="1">
        <v>20</v>
      </c>
      <c r="G477" t="b">
        <v>0</v>
      </c>
      <c r="H477" s="1">
        <v>5</v>
      </c>
      <c r="I477" s="1">
        <v>1</v>
      </c>
      <c r="J477" s="2">
        <v>0.1</v>
      </c>
      <c r="K477" s="2">
        <v>7.5800000000000006E-2</v>
      </c>
      <c r="L477" s="2">
        <v>0.33</v>
      </c>
      <c r="M477" s="2">
        <v>0.41789999999999999</v>
      </c>
      <c r="N477" s="1">
        <v>1</v>
      </c>
      <c r="O477" s="1">
        <v>52</v>
      </c>
      <c r="P477" s="1">
        <v>53</v>
      </c>
      <c r="Q477" s="1" t="str">
        <f>IF(WEEKDAY(Bike_Sharing_Master6[[#This Row],[Dteday]],2)&gt;=6,"Weekend","Weekday")</f>
        <v>Weekday</v>
      </c>
      <c r="R477" s="1" t="str">
        <f xml:space="preserve"> IF(Bike_Sharing_Master6[[#This Row],[Hr]]&lt;6,"Late Night", IF(Bike_Sharing_Master6[[#This Row],[Hr]]&lt;10,"Morning Peak", IF(Bike_Sharing_Master6[[#This Row],[Hr]]&lt;17,"Daytime", IF(Bike_Sharing_Master6[[#This Row],[Hr]]&lt;21,"Evening Peak","Night"))))</f>
        <v>Evening Peak</v>
      </c>
      <c r="S477" s="1" t="str">
        <f>IF(Bike_Sharing_Master6[[#This Row],[Holiday]]=1,"Holiday","Non-Holiday")</f>
        <v>Non-Holiday</v>
      </c>
      <c r="T477" s="1" t="str">
        <f>IF(Bike_Sharing_Master6[[#This Row],[Cnt]]&lt;80,"Low",IF(Bike_Sharing_Master6[[#This Row],[Cnt]]&lt;160,"Medium","High"))</f>
        <v>Low</v>
      </c>
      <c r="U477" s="1" t="str">
        <f>VLOOKUP(Bike_Sharing_Master6[[#This Row],[Weathersit]],[1]Lookup_Weather!A:B,2,FALSE)</f>
        <v>Clear</v>
      </c>
    </row>
    <row r="478" spans="1:21" x14ac:dyDescent="0.3">
      <c r="A478">
        <v>477</v>
      </c>
      <c r="B478" s="3">
        <v>40564</v>
      </c>
      <c r="C478" s="1">
        <v>1</v>
      </c>
      <c r="D478" s="1">
        <v>0</v>
      </c>
      <c r="E478" s="1">
        <v>1</v>
      </c>
      <c r="F478" s="1">
        <v>21</v>
      </c>
      <c r="G478" t="b">
        <v>0</v>
      </c>
      <c r="H478" s="1">
        <v>5</v>
      </c>
      <c r="I478" s="1">
        <v>1</v>
      </c>
      <c r="J478" s="2">
        <v>0.08</v>
      </c>
      <c r="K478" s="2">
        <v>7.5800000000000006E-2</v>
      </c>
      <c r="L478" s="2">
        <v>0.38</v>
      </c>
      <c r="M478" s="2">
        <v>0.28360000000000002</v>
      </c>
      <c r="N478" s="1">
        <v>0</v>
      </c>
      <c r="O478" s="1">
        <v>41</v>
      </c>
      <c r="P478" s="1">
        <v>41</v>
      </c>
      <c r="Q478" s="1" t="str">
        <f>IF(WEEKDAY(Bike_Sharing_Master6[[#This Row],[Dteday]],2)&gt;=6,"Weekend","Weekday")</f>
        <v>Weekday</v>
      </c>
      <c r="R478" s="1" t="str">
        <f xml:space="preserve"> IF(Bike_Sharing_Master6[[#This Row],[Hr]]&lt;6,"Late Night", IF(Bike_Sharing_Master6[[#This Row],[Hr]]&lt;10,"Morning Peak", IF(Bike_Sharing_Master6[[#This Row],[Hr]]&lt;17,"Daytime", IF(Bike_Sharing_Master6[[#This Row],[Hr]]&lt;21,"Evening Peak","Night"))))</f>
        <v>Night</v>
      </c>
      <c r="S478" s="1" t="str">
        <f>IF(Bike_Sharing_Master6[[#This Row],[Holiday]]=1,"Holiday","Non-Holiday")</f>
        <v>Non-Holiday</v>
      </c>
      <c r="T478" s="1" t="str">
        <f>IF(Bike_Sharing_Master6[[#This Row],[Cnt]]&lt;80,"Low",IF(Bike_Sharing_Master6[[#This Row],[Cnt]]&lt;160,"Medium","High"))</f>
        <v>Low</v>
      </c>
      <c r="U478" s="1" t="str">
        <f>VLOOKUP(Bike_Sharing_Master6[[#This Row],[Weathersit]],[1]Lookup_Weather!A:B,2,FALSE)</f>
        <v>Clear</v>
      </c>
    </row>
    <row r="479" spans="1:21" x14ac:dyDescent="0.3">
      <c r="A479">
        <v>478</v>
      </c>
      <c r="B479" s="3">
        <v>40564</v>
      </c>
      <c r="C479" s="1">
        <v>1</v>
      </c>
      <c r="D479" s="1">
        <v>0</v>
      </c>
      <c r="E479" s="1">
        <v>1</v>
      </c>
      <c r="F479" s="1">
        <v>22</v>
      </c>
      <c r="G479" t="b">
        <v>0</v>
      </c>
      <c r="H479" s="1">
        <v>5</v>
      </c>
      <c r="I479" s="1">
        <v>1</v>
      </c>
      <c r="J479" s="2">
        <v>0.06</v>
      </c>
      <c r="K479" s="2">
        <v>3.0300000000000001E-2</v>
      </c>
      <c r="L479" s="2">
        <v>0.41</v>
      </c>
      <c r="M479" s="2">
        <v>0.3881</v>
      </c>
      <c r="N479" s="1">
        <v>1</v>
      </c>
      <c r="O479" s="1">
        <v>33</v>
      </c>
      <c r="P479" s="1">
        <v>34</v>
      </c>
      <c r="Q479" s="1" t="str">
        <f>IF(WEEKDAY(Bike_Sharing_Master6[[#This Row],[Dteday]],2)&gt;=6,"Weekend","Weekday")</f>
        <v>Weekday</v>
      </c>
      <c r="R479" s="1" t="str">
        <f xml:space="preserve"> IF(Bike_Sharing_Master6[[#This Row],[Hr]]&lt;6,"Late Night", IF(Bike_Sharing_Master6[[#This Row],[Hr]]&lt;10,"Morning Peak", IF(Bike_Sharing_Master6[[#This Row],[Hr]]&lt;17,"Daytime", IF(Bike_Sharing_Master6[[#This Row],[Hr]]&lt;21,"Evening Peak","Night"))))</f>
        <v>Night</v>
      </c>
      <c r="S479" s="1" t="str">
        <f>IF(Bike_Sharing_Master6[[#This Row],[Holiday]]=1,"Holiday","Non-Holiday")</f>
        <v>Non-Holiday</v>
      </c>
      <c r="T479" s="1" t="str">
        <f>IF(Bike_Sharing_Master6[[#This Row],[Cnt]]&lt;80,"Low",IF(Bike_Sharing_Master6[[#This Row],[Cnt]]&lt;160,"Medium","High"))</f>
        <v>Low</v>
      </c>
      <c r="U479" s="1" t="str">
        <f>VLOOKUP(Bike_Sharing_Master6[[#This Row],[Weathersit]],[1]Lookup_Weather!A:B,2,FALSE)</f>
        <v>Clear</v>
      </c>
    </row>
    <row r="480" spans="1:21" x14ac:dyDescent="0.3">
      <c r="A480">
        <v>479</v>
      </c>
      <c r="B480" s="3">
        <v>40564</v>
      </c>
      <c r="C480" s="1">
        <v>1</v>
      </c>
      <c r="D480" s="1">
        <v>0</v>
      </c>
      <c r="E480" s="1">
        <v>1</v>
      </c>
      <c r="F480" s="1">
        <v>23</v>
      </c>
      <c r="G480" t="b">
        <v>0</v>
      </c>
      <c r="H480" s="1">
        <v>5</v>
      </c>
      <c r="I480" s="1">
        <v>1</v>
      </c>
      <c r="J480" s="2">
        <v>0.06</v>
      </c>
      <c r="K480" s="2">
        <v>4.5499999999999999E-2</v>
      </c>
      <c r="L480" s="2">
        <v>0.38</v>
      </c>
      <c r="M480" s="2">
        <v>0.32840000000000003</v>
      </c>
      <c r="N480" s="1">
        <v>0</v>
      </c>
      <c r="O480" s="1">
        <v>27</v>
      </c>
      <c r="P480" s="1">
        <v>27</v>
      </c>
      <c r="Q480" s="1" t="str">
        <f>IF(WEEKDAY(Bike_Sharing_Master6[[#This Row],[Dteday]],2)&gt;=6,"Weekend","Weekday")</f>
        <v>Weekday</v>
      </c>
      <c r="R480" s="1" t="str">
        <f xml:space="preserve"> IF(Bike_Sharing_Master6[[#This Row],[Hr]]&lt;6,"Late Night", IF(Bike_Sharing_Master6[[#This Row],[Hr]]&lt;10,"Morning Peak", IF(Bike_Sharing_Master6[[#This Row],[Hr]]&lt;17,"Daytime", IF(Bike_Sharing_Master6[[#This Row],[Hr]]&lt;21,"Evening Peak","Night"))))</f>
        <v>Night</v>
      </c>
      <c r="S480" s="1" t="str">
        <f>IF(Bike_Sharing_Master6[[#This Row],[Holiday]]=1,"Holiday","Non-Holiday")</f>
        <v>Non-Holiday</v>
      </c>
      <c r="T480" s="1" t="str">
        <f>IF(Bike_Sharing_Master6[[#This Row],[Cnt]]&lt;80,"Low",IF(Bike_Sharing_Master6[[#This Row],[Cnt]]&lt;160,"Medium","High"))</f>
        <v>Low</v>
      </c>
      <c r="U480" s="1" t="str">
        <f>VLOOKUP(Bike_Sharing_Master6[[#This Row],[Weathersit]],[1]Lookup_Weather!A:B,2,FALSE)</f>
        <v>Clear</v>
      </c>
    </row>
    <row r="481" spans="1:21" x14ac:dyDescent="0.3">
      <c r="A481">
        <v>480</v>
      </c>
      <c r="B481" s="3">
        <v>40565</v>
      </c>
      <c r="C481" s="1">
        <v>1</v>
      </c>
      <c r="D481" s="1">
        <v>0</v>
      </c>
      <c r="E481" s="1">
        <v>1</v>
      </c>
      <c r="F481" s="1">
        <v>0</v>
      </c>
      <c r="G481" t="b">
        <v>0</v>
      </c>
      <c r="H481" s="1">
        <v>6</v>
      </c>
      <c r="I481" s="1">
        <v>1</v>
      </c>
      <c r="J481" s="2">
        <v>0.04</v>
      </c>
      <c r="K481" s="2">
        <v>3.0300000000000001E-2</v>
      </c>
      <c r="L481" s="2">
        <v>0.45</v>
      </c>
      <c r="M481" s="2">
        <v>0.25369999999999998</v>
      </c>
      <c r="N481" s="1">
        <v>0</v>
      </c>
      <c r="O481" s="1">
        <v>13</v>
      </c>
      <c r="P481" s="1">
        <v>13</v>
      </c>
      <c r="Q481" s="1" t="str">
        <f>IF(WEEKDAY(Bike_Sharing_Master6[[#This Row],[Dteday]],2)&gt;=6,"Weekend","Weekday")</f>
        <v>Weekend</v>
      </c>
      <c r="R481" s="1" t="str">
        <f xml:space="preserve"> IF(Bike_Sharing_Master6[[#This Row],[Hr]]&lt;6,"Late Night", IF(Bike_Sharing_Master6[[#This Row],[Hr]]&lt;10,"Morning Peak", IF(Bike_Sharing_Master6[[#This Row],[Hr]]&lt;17,"Daytime", IF(Bike_Sharing_Master6[[#This Row],[Hr]]&lt;21,"Evening Peak","Night"))))</f>
        <v>Late Night</v>
      </c>
      <c r="S481" s="1" t="str">
        <f>IF(Bike_Sharing_Master6[[#This Row],[Holiday]]=1,"Holiday","Non-Holiday")</f>
        <v>Non-Holiday</v>
      </c>
      <c r="T481" s="1" t="str">
        <f>IF(Bike_Sharing_Master6[[#This Row],[Cnt]]&lt;80,"Low",IF(Bike_Sharing_Master6[[#This Row],[Cnt]]&lt;160,"Medium","High"))</f>
        <v>Low</v>
      </c>
      <c r="U481" s="1" t="str">
        <f>VLOOKUP(Bike_Sharing_Master6[[#This Row],[Weathersit]],[1]Lookup_Weather!A:B,2,FALSE)</f>
        <v>Clear</v>
      </c>
    </row>
    <row r="482" spans="1:21" x14ac:dyDescent="0.3">
      <c r="A482">
        <v>481</v>
      </c>
      <c r="B482" s="3">
        <v>40565</v>
      </c>
      <c r="C482" s="1">
        <v>1</v>
      </c>
      <c r="D482" s="1">
        <v>0</v>
      </c>
      <c r="E482" s="1">
        <v>1</v>
      </c>
      <c r="F482" s="1">
        <v>1</v>
      </c>
      <c r="G482" t="b">
        <v>0</v>
      </c>
      <c r="H482" s="1">
        <v>6</v>
      </c>
      <c r="I482" s="1">
        <v>2</v>
      </c>
      <c r="J482" s="2">
        <v>0.04</v>
      </c>
      <c r="K482" s="2">
        <v>0</v>
      </c>
      <c r="L482" s="2">
        <v>0.41</v>
      </c>
      <c r="M482" s="2">
        <v>0.3881</v>
      </c>
      <c r="N482" s="1">
        <v>3</v>
      </c>
      <c r="O482" s="1">
        <v>9</v>
      </c>
      <c r="P482" s="1">
        <v>12</v>
      </c>
      <c r="Q482" s="1" t="str">
        <f>IF(WEEKDAY(Bike_Sharing_Master6[[#This Row],[Dteday]],2)&gt;=6,"Weekend","Weekday")</f>
        <v>Weekend</v>
      </c>
      <c r="R482" s="1" t="str">
        <f xml:space="preserve"> IF(Bike_Sharing_Master6[[#This Row],[Hr]]&lt;6,"Late Night", IF(Bike_Sharing_Master6[[#This Row],[Hr]]&lt;10,"Morning Peak", IF(Bike_Sharing_Master6[[#This Row],[Hr]]&lt;17,"Daytime", IF(Bike_Sharing_Master6[[#This Row],[Hr]]&lt;21,"Evening Peak","Night"))))</f>
        <v>Late Night</v>
      </c>
      <c r="S482" s="1" t="str">
        <f>IF(Bike_Sharing_Master6[[#This Row],[Holiday]]=1,"Holiday","Non-Holiday")</f>
        <v>Non-Holiday</v>
      </c>
      <c r="T482" s="1" t="str">
        <f>IF(Bike_Sharing_Master6[[#This Row],[Cnt]]&lt;80,"Low",IF(Bike_Sharing_Master6[[#This Row],[Cnt]]&lt;160,"Medium","High"))</f>
        <v>Low</v>
      </c>
      <c r="U482" s="1" t="str">
        <f>VLOOKUP(Bike_Sharing_Master6[[#This Row],[Weathersit]],[1]Lookup_Weather!A:B,2,FALSE)</f>
        <v>Mist</v>
      </c>
    </row>
    <row r="483" spans="1:21" x14ac:dyDescent="0.3">
      <c r="A483">
        <v>482</v>
      </c>
      <c r="B483" s="3">
        <v>40565</v>
      </c>
      <c r="C483" s="1">
        <v>1</v>
      </c>
      <c r="D483" s="1">
        <v>0</v>
      </c>
      <c r="E483" s="1">
        <v>1</v>
      </c>
      <c r="F483" s="1">
        <v>2</v>
      </c>
      <c r="G483" t="b">
        <v>0</v>
      </c>
      <c r="H483" s="1">
        <v>6</v>
      </c>
      <c r="I483" s="1">
        <v>2</v>
      </c>
      <c r="J483" s="2">
        <v>0.04</v>
      </c>
      <c r="K483" s="2">
        <v>3.0300000000000001E-2</v>
      </c>
      <c r="L483" s="2">
        <v>0.41</v>
      </c>
      <c r="M483" s="2">
        <v>0.25369999999999998</v>
      </c>
      <c r="N483" s="1">
        <v>0</v>
      </c>
      <c r="O483" s="1">
        <v>11</v>
      </c>
      <c r="P483" s="1">
        <v>11</v>
      </c>
      <c r="Q483" s="1" t="str">
        <f>IF(WEEKDAY(Bike_Sharing_Master6[[#This Row],[Dteday]],2)&gt;=6,"Weekend","Weekday")</f>
        <v>Weekend</v>
      </c>
      <c r="R483" s="1" t="str">
        <f xml:space="preserve"> IF(Bike_Sharing_Master6[[#This Row],[Hr]]&lt;6,"Late Night", IF(Bike_Sharing_Master6[[#This Row],[Hr]]&lt;10,"Morning Peak", IF(Bike_Sharing_Master6[[#This Row],[Hr]]&lt;17,"Daytime", IF(Bike_Sharing_Master6[[#This Row],[Hr]]&lt;21,"Evening Peak","Night"))))</f>
        <v>Late Night</v>
      </c>
      <c r="S483" s="1" t="str">
        <f>IF(Bike_Sharing_Master6[[#This Row],[Holiday]]=1,"Holiday","Non-Holiday")</f>
        <v>Non-Holiday</v>
      </c>
      <c r="T483" s="1" t="str">
        <f>IF(Bike_Sharing_Master6[[#This Row],[Cnt]]&lt;80,"Low",IF(Bike_Sharing_Master6[[#This Row],[Cnt]]&lt;160,"Medium","High"))</f>
        <v>Low</v>
      </c>
      <c r="U483" s="1" t="str">
        <f>VLOOKUP(Bike_Sharing_Master6[[#This Row],[Weathersit]],[1]Lookup_Weather!A:B,2,FALSE)</f>
        <v>Mist</v>
      </c>
    </row>
    <row r="484" spans="1:21" x14ac:dyDescent="0.3">
      <c r="A484">
        <v>483</v>
      </c>
      <c r="B484" s="3">
        <v>40565</v>
      </c>
      <c r="C484" s="1">
        <v>1</v>
      </c>
      <c r="D484" s="1">
        <v>0</v>
      </c>
      <c r="E484" s="1">
        <v>1</v>
      </c>
      <c r="F484" s="1">
        <v>3</v>
      </c>
      <c r="G484" t="b">
        <v>0</v>
      </c>
      <c r="H484" s="1">
        <v>6</v>
      </c>
      <c r="I484" s="1">
        <v>2</v>
      </c>
      <c r="J484" s="2">
        <v>0.04</v>
      </c>
      <c r="K484" s="2">
        <v>3.0300000000000001E-2</v>
      </c>
      <c r="L484" s="2">
        <v>0.41</v>
      </c>
      <c r="M484" s="2">
        <v>0.28360000000000002</v>
      </c>
      <c r="N484" s="1">
        <v>1</v>
      </c>
      <c r="O484" s="1">
        <v>6</v>
      </c>
      <c r="P484" s="1">
        <v>7</v>
      </c>
      <c r="Q484" s="1" t="str">
        <f>IF(WEEKDAY(Bike_Sharing_Master6[[#This Row],[Dteday]],2)&gt;=6,"Weekend","Weekday")</f>
        <v>Weekend</v>
      </c>
      <c r="R484" s="1" t="str">
        <f xml:space="preserve"> IF(Bike_Sharing_Master6[[#This Row],[Hr]]&lt;6,"Late Night", IF(Bike_Sharing_Master6[[#This Row],[Hr]]&lt;10,"Morning Peak", IF(Bike_Sharing_Master6[[#This Row],[Hr]]&lt;17,"Daytime", IF(Bike_Sharing_Master6[[#This Row],[Hr]]&lt;21,"Evening Peak","Night"))))</f>
        <v>Late Night</v>
      </c>
      <c r="S484" s="1" t="str">
        <f>IF(Bike_Sharing_Master6[[#This Row],[Holiday]]=1,"Holiday","Non-Holiday")</f>
        <v>Non-Holiday</v>
      </c>
      <c r="T484" s="1" t="str">
        <f>IF(Bike_Sharing_Master6[[#This Row],[Cnt]]&lt;80,"Low",IF(Bike_Sharing_Master6[[#This Row],[Cnt]]&lt;160,"Medium","High"))</f>
        <v>Low</v>
      </c>
      <c r="U484" s="1" t="str">
        <f>VLOOKUP(Bike_Sharing_Master6[[#This Row],[Weathersit]],[1]Lookup_Weather!A:B,2,FALSE)</f>
        <v>Mist</v>
      </c>
    </row>
    <row r="485" spans="1:21" x14ac:dyDescent="0.3">
      <c r="A485">
        <v>484</v>
      </c>
      <c r="B485" s="3">
        <v>40565</v>
      </c>
      <c r="C485" s="1">
        <v>1</v>
      </c>
      <c r="D485" s="1">
        <v>0</v>
      </c>
      <c r="E485" s="1">
        <v>1</v>
      </c>
      <c r="F485" s="1">
        <v>4</v>
      </c>
      <c r="G485" t="b">
        <v>0</v>
      </c>
      <c r="H485" s="1">
        <v>6</v>
      </c>
      <c r="I485" s="1">
        <v>2</v>
      </c>
      <c r="J485" s="2">
        <v>0.02</v>
      </c>
      <c r="K485" s="2">
        <v>1.52E-2</v>
      </c>
      <c r="L485" s="2">
        <v>0.48</v>
      </c>
      <c r="M485" s="2">
        <v>0.29849999999999999</v>
      </c>
      <c r="N485" s="1">
        <v>0</v>
      </c>
      <c r="O485" s="1">
        <v>3</v>
      </c>
      <c r="P485" s="1">
        <v>3</v>
      </c>
      <c r="Q485" s="1" t="str">
        <f>IF(WEEKDAY(Bike_Sharing_Master6[[#This Row],[Dteday]],2)&gt;=6,"Weekend","Weekday")</f>
        <v>Weekend</v>
      </c>
      <c r="R485" s="1" t="str">
        <f xml:space="preserve"> IF(Bike_Sharing_Master6[[#This Row],[Hr]]&lt;6,"Late Night", IF(Bike_Sharing_Master6[[#This Row],[Hr]]&lt;10,"Morning Peak", IF(Bike_Sharing_Master6[[#This Row],[Hr]]&lt;17,"Daytime", IF(Bike_Sharing_Master6[[#This Row],[Hr]]&lt;21,"Evening Peak","Night"))))</f>
        <v>Late Night</v>
      </c>
      <c r="S485" s="1" t="str">
        <f>IF(Bike_Sharing_Master6[[#This Row],[Holiday]]=1,"Holiday","Non-Holiday")</f>
        <v>Non-Holiday</v>
      </c>
      <c r="T485" s="1" t="str">
        <f>IF(Bike_Sharing_Master6[[#This Row],[Cnt]]&lt;80,"Low",IF(Bike_Sharing_Master6[[#This Row],[Cnt]]&lt;160,"Medium","High"))</f>
        <v>Low</v>
      </c>
      <c r="U485" s="1" t="str">
        <f>VLOOKUP(Bike_Sharing_Master6[[#This Row],[Weathersit]],[1]Lookup_Weather!A:B,2,FALSE)</f>
        <v>Mist</v>
      </c>
    </row>
    <row r="486" spans="1:21" x14ac:dyDescent="0.3">
      <c r="A486">
        <v>485</v>
      </c>
      <c r="B486" s="3">
        <v>40565</v>
      </c>
      <c r="C486" s="1">
        <v>1</v>
      </c>
      <c r="D486" s="1">
        <v>0</v>
      </c>
      <c r="E486" s="1">
        <v>1</v>
      </c>
      <c r="F486" s="1">
        <v>6</v>
      </c>
      <c r="G486" t="b">
        <v>0</v>
      </c>
      <c r="H486" s="1">
        <v>6</v>
      </c>
      <c r="I486" s="1">
        <v>2</v>
      </c>
      <c r="J486" s="2">
        <v>0.02</v>
      </c>
      <c r="K486" s="2">
        <v>3.0300000000000001E-2</v>
      </c>
      <c r="L486" s="2">
        <v>0.44</v>
      </c>
      <c r="M486" s="2">
        <v>0.22389999999999999</v>
      </c>
      <c r="N486" s="1">
        <v>0</v>
      </c>
      <c r="O486" s="1">
        <v>2</v>
      </c>
      <c r="P486" s="1">
        <v>2</v>
      </c>
      <c r="Q486" s="1" t="str">
        <f>IF(WEEKDAY(Bike_Sharing_Master6[[#This Row],[Dteday]],2)&gt;=6,"Weekend","Weekday")</f>
        <v>Weekend</v>
      </c>
      <c r="R486" s="1" t="str">
        <f xml:space="preserve"> IF(Bike_Sharing_Master6[[#This Row],[Hr]]&lt;6,"Late Night", IF(Bike_Sharing_Master6[[#This Row],[Hr]]&lt;10,"Morning Peak", IF(Bike_Sharing_Master6[[#This Row],[Hr]]&lt;17,"Daytime", IF(Bike_Sharing_Master6[[#This Row],[Hr]]&lt;21,"Evening Peak","Night"))))</f>
        <v>Morning Peak</v>
      </c>
      <c r="S486" s="1" t="str">
        <f>IF(Bike_Sharing_Master6[[#This Row],[Holiday]]=1,"Holiday","Non-Holiday")</f>
        <v>Non-Holiday</v>
      </c>
      <c r="T486" s="1" t="str">
        <f>IF(Bike_Sharing_Master6[[#This Row],[Cnt]]&lt;80,"Low",IF(Bike_Sharing_Master6[[#This Row],[Cnt]]&lt;160,"Medium","High"))</f>
        <v>Low</v>
      </c>
      <c r="U486" s="1" t="str">
        <f>VLOOKUP(Bike_Sharing_Master6[[#This Row],[Weathersit]],[1]Lookup_Weather!A:B,2,FALSE)</f>
        <v>Mist</v>
      </c>
    </row>
    <row r="487" spans="1:21" x14ac:dyDescent="0.3">
      <c r="A487">
        <v>486</v>
      </c>
      <c r="B487" s="3">
        <v>40565</v>
      </c>
      <c r="C487" s="1">
        <v>1</v>
      </c>
      <c r="D487" s="1">
        <v>0</v>
      </c>
      <c r="E487" s="1">
        <v>1</v>
      </c>
      <c r="F487" s="1">
        <v>7</v>
      </c>
      <c r="G487" t="b">
        <v>0</v>
      </c>
      <c r="H487" s="1">
        <v>6</v>
      </c>
      <c r="I487" s="1">
        <v>1</v>
      </c>
      <c r="J487" s="2">
        <v>0.02</v>
      </c>
      <c r="K487" s="2">
        <v>1.52E-2</v>
      </c>
      <c r="L487" s="2">
        <v>0.44</v>
      </c>
      <c r="M487" s="2">
        <v>0.28360000000000002</v>
      </c>
      <c r="N487" s="1">
        <v>0</v>
      </c>
      <c r="O487" s="1">
        <v>8</v>
      </c>
      <c r="P487" s="1">
        <v>8</v>
      </c>
      <c r="Q487" s="1" t="str">
        <f>IF(WEEKDAY(Bike_Sharing_Master6[[#This Row],[Dteday]],2)&gt;=6,"Weekend","Weekday")</f>
        <v>Weekend</v>
      </c>
      <c r="R487" s="1" t="str">
        <f xml:space="preserve"> IF(Bike_Sharing_Master6[[#This Row],[Hr]]&lt;6,"Late Night", IF(Bike_Sharing_Master6[[#This Row],[Hr]]&lt;10,"Morning Peak", IF(Bike_Sharing_Master6[[#This Row],[Hr]]&lt;17,"Daytime", IF(Bike_Sharing_Master6[[#This Row],[Hr]]&lt;21,"Evening Peak","Night"))))</f>
        <v>Morning Peak</v>
      </c>
      <c r="S487" s="1" t="str">
        <f>IF(Bike_Sharing_Master6[[#This Row],[Holiday]]=1,"Holiday","Non-Holiday")</f>
        <v>Non-Holiday</v>
      </c>
      <c r="T487" s="1" t="str">
        <f>IF(Bike_Sharing_Master6[[#This Row],[Cnt]]&lt;80,"Low",IF(Bike_Sharing_Master6[[#This Row],[Cnt]]&lt;160,"Medium","High"))</f>
        <v>Low</v>
      </c>
      <c r="U487" s="1" t="str">
        <f>VLOOKUP(Bike_Sharing_Master6[[#This Row],[Weathersit]],[1]Lookup_Weather!A:B,2,FALSE)</f>
        <v>Clear</v>
      </c>
    </row>
    <row r="488" spans="1:21" x14ac:dyDescent="0.3">
      <c r="A488">
        <v>487</v>
      </c>
      <c r="B488" s="3">
        <v>40565</v>
      </c>
      <c r="C488" s="1">
        <v>1</v>
      </c>
      <c r="D488" s="1">
        <v>0</v>
      </c>
      <c r="E488" s="1">
        <v>1</v>
      </c>
      <c r="F488" s="1">
        <v>8</v>
      </c>
      <c r="G488" t="b">
        <v>0</v>
      </c>
      <c r="H488" s="1">
        <v>6</v>
      </c>
      <c r="I488" s="1">
        <v>1</v>
      </c>
      <c r="J488" s="2">
        <v>0.02</v>
      </c>
      <c r="K488" s="2">
        <v>0</v>
      </c>
      <c r="L488" s="2">
        <v>0.44</v>
      </c>
      <c r="M488" s="2">
        <v>0.32840000000000003</v>
      </c>
      <c r="N488" s="1">
        <v>1</v>
      </c>
      <c r="O488" s="1">
        <v>26</v>
      </c>
      <c r="P488" s="1">
        <v>27</v>
      </c>
      <c r="Q488" s="1" t="str">
        <f>IF(WEEKDAY(Bike_Sharing_Master6[[#This Row],[Dteday]],2)&gt;=6,"Weekend","Weekday")</f>
        <v>Weekend</v>
      </c>
      <c r="R488" s="1" t="str">
        <f xml:space="preserve"> IF(Bike_Sharing_Master6[[#This Row],[Hr]]&lt;6,"Late Night", IF(Bike_Sharing_Master6[[#This Row],[Hr]]&lt;10,"Morning Peak", IF(Bike_Sharing_Master6[[#This Row],[Hr]]&lt;17,"Daytime", IF(Bike_Sharing_Master6[[#This Row],[Hr]]&lt;21,"Evening Peak","Night"))))</f>
        <v>Morning Peak</v>
      </c>
      <c r="S488" s="1" t="str">
        <f>IF(Bike_Sharing_Master6[[#This Row],[Holiday]]=1,"Holiday","Non-Holiday")</f>
        <v>Non-Holiday</v>
      </c>
      <c r="T488" s="1" t="str">
        <f>IF(Bike_Sharing_Master6[[#This Row],[Cnt]]&lt;80,"Low",IF(Bike_Sharing_Master6[[#This Row],[Cnt]]&lt;160,"Medium","High"))</f>
        <v>Low</v>
      </c>
      <c r="U488" s="1" t="str">
        <f>VLOOKUP(Bike_Sharing_Master6[[#This Row],[Weathersit]],[1]Lookup_Weather!A:B,2,FALSE)</f>
        <v>Clear</v>
      </c>
    </row>
    <row r="489" spans="1:21" x14ac:dyDescent="0.3">
      <c r="A489">
        <v>488</v>
      </c>
      <c r="B489" s="3">
        <v>40565</v>
      </c>
      <c r="C489" s="1">
        <v>1</v>
      </c>
      <c r="D489" s="1">
        <v>0</v>
      </c>
      <c r="E489" s="1">
        <v>1</v>
      </c>
      <c r="F489" s="1">
        <v>9</v>
      </c>
      <c r="G489" t="b">
        <v>0</v>
      </c>
      <c r="H489" s="1">
        <v>6</v>
      </c>
      <c r="I489" s="1">
        <v>1</v>
      </c>
      <c r="J489" s="2">
        <v>0.04</v>
      </c>
      <c r="K489" s="2">
        <v>3.0300000000000001E-2</v>
      </c>
      <c r="L489" s="2">
        <v>0.41</v>
      </c>
      <c r="M489" s="2">
        <v>0.25369999999999998</v>
      </c>
      <c r="N489" s="1">
        <v>3</v>
      </c>
      <c r="O489" s="1">
        <v>37</v>
      </c>
      <c r="P489" s="1">
        <v>40</v>
      </c>
      <c r="Q489" s="1" t="str">
        <f>IF(WEEKDAY(Bike_Sharing_Master6[[#This Row],[Dteday]],2)&gt;=6,"Weekend","Weekday")</f>
        <v>Weekend</v>
      </c>
      <c r="R489" s="1" t="str">
        <f xml:space="preserve"> IF(Bike_Sharing_Master6[[#This Row],[Hr]]&lt;6,"Late Night", IF(Bike_Sharing_Master6[[#This Row],[Hr]]&lt;10,"Morning Peak", IF(Bike_Sharing_Master6[[#This Row],[Hr]]&lt;17,"Daytime", IF(Bike_Sharing_Master6[[#This Row],[Hr]]&lt;21,"Evening Peak","Night"))))</f>
        <v>Morning Peak</v>
      </c>
      <c r="S489" s="1" t="str">
        <f>IF(Bike_Sharing_Master6[[#This Row],[Holiday]]=1,"Holiday","Non-Holiday")</f>
        <v>Non-Holiday</v>
      </c>
      <c r="T489" s="1" t="str">
        <f>IF(Bike_Sharing_Master6[[#This Row],[Cnt]]&lt;80,"Low",IF(Bike_Sharing_Master6[[#This Row],[Cnt]]&lt;160,"Medium","High"))</f>
        <v>Low</v>
      </c>
      <c r="U489" s="1" t="str">
        <f>VLOOKUP(Bike_Sharing_Master6[[#This Row],[Weathersit]],[1]Lookup_Weather!A:B,2,FALSE)</f>
        <v>Clear</v>
      </c>
    </row>
    <row r="490" spans="1:21" x14ac:dyDescent="0.3">
      <c r="A490">
        <v>489</v>
      </c>
      <c r="B490" s="3">
        <v>40565</v>
      </c>
      <c r="C490" s="1">
        <v>1</v>
      </c>
      <c r="D490" s="1">
        <v>0</v>
      </c>
      <c r="E490" s="1">
        <v>1</v>
      </c>
      <c r="F490" s="1">
        <v>10</v>
      </c>
      <c r="G490" t="b">
        <v>0</v>
      </c>
      <c r="H490" s="1">
        <v>6</v>
      </c>
      <c r="I490" s="1">
        <v>2</v>
      </c>
      <c r="J490" s="2">
        <v>0.04</v>
      </c>
      <c r="K490" s="2">
        <v>6.0600000000000001E-2</v>
      </c>
      <c r="L490" s="2">
        <v>0.41</v>
      </c>
      <c r="M490" s="2">
        <v>0.16420000000000001</v>
      </c>
      <c r="N490" s="1">
        <v>3</v>
      </c>
      <c r="O490" s="1">
        <v>50</v>
      </c>
      <c r="P490" s="1">
        <v>53</v>
      </c>
      <c r="Q490" s="1" t="str">
        <f>IF(WEEKDAY(Bike_Sharing_Master6[[#This Row],[Dteday]],2)&gt;=6,"Weekend","Weekday")</f>
        <v>Weekend</v>
      </c>
      <c r="R490" s="1" t="str">
        <f xml:space="preserve"> IF(Bike_Sharing_Master6[[#This Row],[Hr]]&lt;6,"Late Night", IF(Bike_Sharing_Master6[[#This Row],[Hr]]&lt;10,"Morning Peak", IF(Bike_Sharing_Master6[[#This Row],[Hr]]&lt;17,"Daytime", IF(Bike_Sharing_Master6[[#This Row],[Hr]]&lt;21,"Evening Peak","Night"))))</f>
        <v>Daytime</v>
      </c>
      <c r="S490" s="1" t="str">
        <f>IF(Bike_Sharing_Master6[[#This Row],[Holiday]]=1,"Holiday","Non-Holiday")</f>
        <v>Non-Holiday</v>
      </c>
      <c r="T490" s="1" t="str">
        <f>IF(Bike_Sharing_Master6[[#This Row],[Cnt]]&lt;80,"Low",IF(Bike_Sharing_Master6[[#This Row],[Cnt]]&lt;160,"Medium","High"))</f>
        <v>Low</v>
      </c>
      <c r="U490" s="1" t="str">
        <f>VLOOKUP(Bike_Sharing_Master6[[#This Row],[Weathersit]],[1]Lookup_Weather!A:B,2,FALSE)</f>
        <v>Mist</v>
      </c>
    </row>
    <row r="491" spans="1:21" x14ac:dyDescent="0.3">
      <c r="A491">
        <v>490</v>
      </c>
      <c r="B491" s="3">
        <v>40565</v>
      </c>
      <c r="C491" s="1">
        <v>1</v>
      </c>
      <c r="D491" s="1">
        <v>0</v>
      </c>
      <c r="E491" s="1">
        <v>1</v>
      </c>
      <c r="F491" s="1">
        <v>11</v>
      </c>
      <c r="G491" t="b">
        <v>0</v>
      </c>
      <c r="H491" s="1">
        <v>6</v>
      </c>
      <c r="I491" s="1">
        <v>2</v>
      </c>
      <c r="J491" s="2">
        <v>0.06</v>
      </c>
      <c r="K491" s="2">
        <v>7.5800000000000006E-2</v>
      </c>
      <c r="L491" s="2">
        <v>0.38</v>
      </c>
      <c r="M491" s="2">
        <v>0.1343</v>
      </c>
      <c r="N491" s="1">
        <v>4</v>
      </c>
      <c r="O491" s="1">
        <v>59</v>
      </c>
      <c r="P491" s="1">
        <v>63</v>
      </c>
      <c r="Q491" s="1" t="str">
        <f>IF(WEEKDAY(Bike_Sharing_Master6[[#This Row],[Dteday]],2)&gt;=6,"Weekend","Weekday")</f>
        <v>Weekend</v>
      </c>
      <c r="R491" s="1" t="str">
        <f xml:space="preserve"> IF(Bike_Sharing_Master6[[#This Row],[Hr]]&lt;6,"Late Night", IF(Bike_Sharing_Master6[[#This Row],[Hr]]&lt;10,"Morning Peak", IF(Bike_Sharing_Master6[[#This Row],[Hr]]&lt;17,"Daytime", IF(Bike_Sharing_Master6[[#This Row],[Hr]]&lt;21,"Evening Peak","Night"))))</f>
        <v>Daytime</v>
      </c>
      <c r="S491" s="1" t="str">
        <f>IF(Bike_Sharing_Master6[[#This Row],[Holiday]]=1,"Holiday","Non-Holiday")</f>
        <v>Non-Holiday</v>
      </c>
      <c r="T491" s="1" t="str">
        <f>IF(Bike_Sharing_Master6[[#This Row],[Cnt]]&lt;80,"Low",IF(Bike_Sharing_Master6[[#This Row],[Cnt]]&lt;160,"Medium","High"))</f>
        <v>Low</v>
      </c>
      <c r="U491" s="1" t="str">
        <f>VLOOKUP(Bike_Sharing_Master6[[#This Row],[Weathersit]],[1]Lookup_Weather!A:B,2,FALSE)</f>
        <v>Mist</v>
      </c>
    </row>
    <row r="492" spans="1:21" x14ac:dyDescent="0.3">
      <c r="A492">
        <v>491</v>
      </c>
      <c r="B492" s="3">
        <v>40565</v>
      </c>
      <c r="C492" s="1">
        <v>1</v>
      </c>
      <c r="D492" s="1">
        <v>0</v>
      </c>
      <c r="E492" s="1">
        <v>1</v>
      </c>
      <c r="F492" s="1">
        <v>12</v>
      </c>
      <c r="G492" t="b">
        <v>0</v>
      </c>
      <c r="H492" s="1">
        <v>6</v>
      </c>
      <c r="I492" s="1">
        <v>2</v>
      </c>
      <c r="J492" s="2">
        <v>0.06</v>
      </c>
      <c r="K492" s="2">
        <v>0.1061</v>
      </c>
      <c r="L492" s="2">
        <v>0.38</v>
      </c>
      <c r="M492" s="2">
        <v>0.1045</v>
      </c>
      <c r="N492" s="1">
        <v>10</v>
      </c>
      <c r="O492" s="1">
        <v>60</v>
      </c>
      <c r="P492" s="1">
        <v>70</v>
      </c>
      <c r="Q492" s="1" t="str">
        <f>IF(WEEKDAY(Bike_Sharing_Master6[[#This Row],[Dteday]],2)&gt;=6,"Weekend","Weekday")</f>
        <v>Weekend</v>
      </c>
      <c r="R492" s="1" t="str">
        <f xml:space="preserve"> IF(Bike_Sharing_Master6[[#This Row],[Hr]]&lt;6,"Late Night", IF(Bike_Sharing_Master6[[#This Row],[Hr]]&lt;10,"Morning Peak", IF(Bike_Sharing_Master6[[#This Row],[Hr]]&lt;17,"Daytime", IF(Bike_Sharing_Master6[[#This Row],[Hr]]&lt;21,"Evening Peak","Night"))))</f>
        <v>Daytime</v>
      </c>
      <c r="S492" s="1" t="str">
        <f>IF(Bike_Sharing_Master6[[#This Row],[Holiday]]=1,"Holiday","Non-Holiday")</f>
        <v>Non-Holiday</v>
      </c>
      <c r="T492" s="1" t="str">
        <f>IF(Bike_Sharing_Master6[[#This Row],[Cnt]]&lt;80,"Low",IF(Bike_Sharing_Master6[[#This Row],[Cnt]]&lt;160,"Medium","High"))</f>
        <v>Low</v>
      </c>
      <c r="U492" s="1" t="str">
        <f>VLOOKUP(Bike_Sharing_Master6[[#This Row],[Weathersit]],[1]Lookup_Weather!A:B,2,FALSE)</f>
        <v>Mist</v>
      </c>
    </row>
    <row r="493" spans="1:21" x14ac:dyDescent="0.3">
      <c r="A493">
        <v>492</v>
      </c>
      <c r="B493" s="3">
        <v>40565</v>
      </c>
      <c r="C493" s="1">
        <v>1</v>
      </c>
      <c r="D493" s="1">
        <v>0</v>
      </c>
      <c r="E493" s="1">
        <v>1</v>
      </c>
      <c r="F493" s="1">
        <v>13</v>
      </c>
      <c r="G493" t="b">
        <v>0</v>
      </c>
      <c r="H493" s="1">
        <v>6</v>
      </c>
      <c r="I493" s="1">
        <v>1</v>
      </c>
      <c r="J493" s="2">
        <v>0.08</v>
      </c>
      <c r="K493" s="2">
        <v>0.16669999999999999</v>
      </c>
      <c r="L493" s="2">
        <v>0.35</v>
      </c>
      <c r="M493" s="2">
        <v>0</v>
      </c>
      <c r="N493" s="1">
        <v>12</v>
      </c>
      <c r="O493" s="1">
        <v>72</v>
      </c>
      <c r="P493" s="1">
        <v>84</v>
      </c>
      <c r="Q493" s="1" t="str">
        <f>IF(WEEKDAY(Bike_Sharing_Master6[[#This Row],[Dteday]],2)&gt;=6,"Weekend","Weekday")</f>
        <v>Weekend</v>
      </c>
      <c r="R493" s="1" t="str">
        <f xml:space="preserve"> IF(Bike_Sharing_Master6[[#This Row],[Hr]]&lt;6,"Late Night", IF(Bike_Sharing_Master6[[#This Row],[Hr]]&lt;10,"Morning Peak", IF(Bike_Sharing_Master6[[#This Row],[Hr]]&lt;17,"Daytime", IF(Bike_Sharing_Master6[[#This Row],[Hr]]&lt;21,"Evening Peak","Night"))))</f>
        <v>Daytime</v>
      </c>
      <c r="S493" s="1" t="str">
        <f>IF(Bike_Sharing_Master6[[#This Row],[Holiday]]=1,"Holiday","Non-Holiday")</f>
        <v>Non-Holiday</v>
      </c>
      <c r="T493" s="1" t="str">
        <f>IF(Bike_Sharing_Master6[[#This Row],[Cnt]]&lt;80,"Low",IF(Bike_Sharing_Master6[[#This Row],[Cnt]]&lt;160,"Medium","High"))</f>
        <v>Medium</v>
      </c>
      <c r="U493" s="1" t="str">
        <f>VLOOKUP(Bike_Sharing_Master6[[#This Row],[Weathersit]],[1]Lookup_Weather!A:B,2,FALSE)</f>
        <v>Clear</v>
      </c>
    </row>
    <row r="494" spans="1:21" x14ac:dyDescent="0.3">
      <c r="A494">
        <v>493</v>
      </c>
      <c r="B494" s="3">
        <v>40565</v>
      </c>
      <c r="C494" s="1">
        <v>1</v>
      </c>
      <c r="D494" s="1">
        <v>0</v>
      </c>
      <c r="E494" s="1">
        <v>1</v>
      </c>
      <c r="F494" s="1">
        <v>14</v>
      </c>
      <c r="G494" t="b">
        <v>0</v>
      </c>
      <c r="H494" s="1">
        <v>6</v>
      </c>
      <c r="I494" s="1">
        <v>1</v>
      </c>
      <c r="J494" s="2">
        <v>0.1</v>
      </c>
      <c r="K494" s="2">
        <v>0.13639999999999999</v>
      </c>
      <c r="L494" s="2">
        <v>0.33</v>
      </c>
      <c r="M494" s="2">
        <v>0.1045</v>
      </c>
      <c r="N494" s="1">
        <v>11</v>
      </c>
      <c r="O494" s="1">
        <v>64</v>
      </c>
      <c r="P494" s="1">
        <v>75</v>
      </c>
      <c r="Q494" s="1" t="str">
        <f>IF(WEEKDAY(Bike_Sharing_Master6[[#This Row],[Dteday]],2)&gt;=6,"Weekend","Weekday")</f>
        <v>Weekend</v>
      </c>
      <c r="R494" s="1" t="str">
        <f xml:space="preserve"> IF(Bike_Sharing_Master6[[#This Row],[Hr]]&lt;6,"Late Night", IF(Bike_Sharing_Master6[[#This Row],[Hr]]&lt;10,"Morning Peak", IF(Bike_Sharing_Master6[[#This Row],[Hr]]&lt;17,"Daytime", IF(Bike_Sharing_Master6[[#This Row],[Hr]]&lt;21,"Evening Peak","Night"))))</f>
        <v>Daytime</v>
      </c>
      <c r="S494" s="1" t="str">
        <f>IF(Bike_Sharing_Master6[[#This Row],[Holiday]]=1,"Holiday","Non-Holiday")</f>
        <v>Non-Holiday</v>
      </c>
      <c r="T494" s="1" t="str">
        <f>IF(Bike_Sharing_Master6[[#This Row],[Cnt]]&lt;80,"Low",IF(Bike_Sharing_Master6[[#This Row],[Cnt]]&lt;160,"Medium","High"))</f>
        <v>Low</v>
      </c>
      <c r="U494" s="1" t="str">
        <f>VLOOKUP(Bike_Sharing_Master6[[#This Row],[Weathersit]],[1]Lookup_Weather!A:B,2,FALSE)</f>
        <v>Clear</v>
      </c>
    </row>
    <row r="495" spans="1:21" x14ac:dyDescent="0.3">
      <c r="A495">
        <v>494</v>
      </c>
      <c r="B495" s="3">
        <v>40565</v>
      </c>
      <c r="C495" s="1">
        <v>1</v>
      </c>
      <c r="D495" s="1">
        <v>0</v>
      </c>
      <c r="E495" s="1">
        <v>1</v>
      </c>
      <c r="F495" s="1">
        <v>15</v>
      </c>
      <c r="G495" t="b">
        <v>0</v>
      </c>
      <c r="H495" s="1">
        <v>6</v>
      </c>
      <c r="I495" s="1">
        <v>1</v>
      </c>
      <c r="J495" s="2">
        <v>0.12</v>
      </c>
      <c r="K495" s="2">
        <v>0.1515</v>
      </c>
      <c r="L495" s="2">
        <v>0.28000000000000003</v>
      </c>
      <c r="M495" s="2">
        <v>0</v>
      </c>
      <c r="N495" s="1">
        <v>10</v>
      </c>
      <c r="O495" s="1">
        <v>93</v>
      </c>
      <c r="P495" s="1">
        <v>103</v>
      </c>
      <c r="Q495" s="1" t="str">
        <f>IF(WEEKDAY(Bike_Sharing_Master6[[#This Row],[Dteday]],2)&gt;=6,"Weekend","Weekday")</f>
        <v>Weekend</v>
      </c>
      <c r="R495" s="1" t="str">
        <f xml:space="preserve"> IF(Bike_Sharing_Master6[[#This Row],[Hr]]&lt;6,"Late Night", IF(Bike_Sharing_Master6[[#This Row],[Hr]]&lt;10,"Morning Peak", IF(Bike_Sharing_Master6[[#This Row],[Hr]]&lt;17,"Daytime", IF(Bike_Sharing_Master6[[#This Row],[Hr]]&lt;21,"Evening Peak","Night"))))</f>
        <v>Daytime</v>
      </c>
      <c r="S495" s="1" t="str">
        <f>IF(Bike_Sharing_Master6[[#This Row],[Holiday]]=1,"Holiday","Non-Holiday")</f>
        <v>Non-Holiday</v>
      </c>
      <c r="T495" s="1" t="str">
        <f>IF(Bike_Sharing_Master6[[#This Row],[Cnt]]&lt;80,"Low",IF(Bike_Sharing_Master6[[#This Row],[Cnt]]&lt;160,"Medium","High"))</f>
        <v>Medium</v>
      </c>
      <c r="U495" s="1" t="str">
        <f>VLOOKUP(Bike_Sharing_Master6[[#This Row],[Weathersit]],[1]Lookup_Weather!A:B,2,FALSE)</f>
        <v>Clear</v>
      </c>
    </row>
    <row r="496" spans="1:21" x14ac:dyDescent="0.3">
      <c r="A496">
        <v>495</v>
      </c>
      <c r="B496" s="3">
        <v>40565</v>
      </c>
      <c r="C496" s="1">
        <v>1</v>
      </c>
      <c r="D496" s="1">
        <v>0</v>
      </c>
      <c r="E496" s="1">
        <v>1</v>
      </c>
      <c r="F496" s="1">
        <v>16</v>
      </c>
      <c r="G496" t="b">
        <v>0</v>
      </c>
      <c r="H496" s="1">
        <v>6</v>
      </c>
      <c r="I496" s="1">
        <v>1</v>
      </c>
      <c r="J496" s="2">
        <v>0.12</v>
      </c>
      <c r="K496" s="2">
        <v>0.13639999999999999</v>
      </c>
      <c r="L496" s="2">
        <v>0.28000000000000003</v>
      </c>
      <c r="M496" s="2">
        <v>0.19400000000000001</v>
      </c>
      <c r="N496" s="1">
        <v>11</v>
      </c>
      <c r="O496" s="1">
        <v>72</v>
      </c>
      <c r="P496" s="1">
        <v>83</v>
      </c>
      <c r="Q496" s="1" t="str">
        <f>IF(WEEKDAY(Bike_Sharing_Master6[[#This Row],[Dteday]],2)&gt;=6,"Weekend","Weekday")</f>
        <v>Weekend</v>
      </c>
      <c r="R496" s="1" t="str">
        <f xml:space="preserve"> IF(Bike_Sharing_Master6[[#This Row],[Hr]]&lt;6,"Late Night", IF(Bike_Sharing_Master6[[#This Row],[Hr]]&lt;10,"Morning Peak", IF(Bike_Sharing_Master6[[#This Row],[Hr]]&lt;17,"Daytime", IF(Bike_Sharing_Master6[[#This Row],[Hr]]&lt;21,"Evening Peak","Night"))))</f>
        <v>Daytime</v>
      </c>
      <c r="S496" s="1" t="str">
        <f>IF(Bike_Sharing_Master6[[#This Row],[Holiday]]=1,"Holiday","Non-Holiday")</f>
        <v>Non-Holiday</v>
      </c>
      <c r="T496" s="1" t="str">
        <f>IF(Bike_Sharing_Master6[[#This Row],[Cnt]]&lt;80,"Low",IF(Bike_Sharing_Master6[[#This Row],[Cnt]]&lt;160,"Medium","High"))</f>
        <v>Medium</v>
      </c>
      <c r="U496" s="1" t="str">
        <f>VLOOKUP(Bike_Sharing_Master6[[#This Row],[Weathersit]],[1]Lookup_Weather!A:B,2,FALSE)</f>
        <v>Clear</v>
      </c>
    </row>
    <row r="497" spans="1:21" x14ac:dyDescent="0.3">
      <c r="A497">
        <v>496</v>
      </c>
      <c r="B497" s="3">
        <v>40565</v>
      </c>
      <c r="C497" s="1">
        <v>1</v>
      </c>
      <c r="D497" s="1">
        <v>0</v>
      </c>
      <c r="E497" s="1">
        <v>1</v>
      </c>
      <c r="F497" s="1">
        <v>17</v>
      </c>
      <c r="G497" t="b">
        <v>0</v>
      </c>
      <c r="H497" s="1">
        <v>6</v>
      </c>
      <c r="I497" s="1">
        <v>1</v>
      </c>
      <c r="J497" s="2">
        <v>0.12</v>
      </c>
      <c r="K497" s="2">
        <v>0.19700000000000001</v>
      </c>
      <c r="L497" s="2">
        <v>0.28000000000000003</v>
      </c>
      <c r="M497" s="2">
        <v>0</v>
      </c>
      <c r="N497" s="1">
        <v>8</v>
      </c>
      <c r="O497" s="1">
        <v>59</v>
      </c>
      <c r="P497" s="1">
        <v>67</v>
      </c>
      <c r="Q497" s="1" t="str">
        <f>IF(WEEKDAY(Bike_Sharing_Master6[[#This Row],[Dteday]],2)&gt;=6,"Weekend","Weekday")</f>
        <v>Weekend</v>
      </c>
      <c r="R497" s="1" t="str">
        <f xml:space="preserve"> IF(Bike_Sharing_Master6[[#This Row],[Hr]]&lt;6,"Late Night", IF(Bike_Sharing_Master6[[#This Row],[Hr]]&lt;10,"Morning Peak", IF(Bike_Sharing_Master6[[#This Row],[Hr]]&lt;17,"Daytime", IF(Bike_Sharing_Master6[[#This Row],[Hr]]&lt;21,"Evening Peak","Night"))))</f>
        <v>Evening Peak</v>
      </c>
      <c r="S497" s="1" t="str">
        <f>IF(Bike_Sharing_Master6[[#This Row],[Holiday]]=1,"Holiday","Non-Holiday")</f>
        <v>Non-Holiday</v>
      </c>
      <c r="T497" s="1" t="str">
        <f>IF(Bike_Sharing_Master6[[#This Row],[Cnt]]&lt;80,"Low",IF(Bike_Sharing_Master6[[#This Row],[Cnt]]&lt;160,"Medium","High"))</f>
        <v>Low</v>
      </c>
      <c r="U497" s="1" t="str">
        <f>VLOOKUP(Bike_Sharing_Master6[[#This Row],[Weathersit]],[1]Lookup_Weather!A:B,2,FALSE)</f>
        <v>Clear</v>
      </c>
    </row>
    <row r="498" spans="1:21" x14ac:dyDescent="0.3">
      <c r="A498">
        <v>497</v>
      </c>
      <c r="B498" s="3">
        <v>40565</v>
      </c>
      <c r="C498" s="1">
        <v>1</v>
      </c>
      <c r="D498" s="1">
        <v>0</v>
      </c>
      <c r="E498" s="1">
        <v>1</v>
      </c>
      <c r="F498" s="1">
        <v>18</v>
      </c>
      <c r="G498" t="b">
        <v>0</v>
      </c>
      <c r="H498" s="1">
        <v>6</v>
      </c>
      <c r="I498" s="1">
        <v>1</v>
      </c>
      <c r="J498" s="2">
        <v>0.08</v>
      </c>
      <c r="K498" s="2">
        <v>9.0899999999999995E-2</v>
      </c>
      <c r="L498" s="2">
        <v>0.35</v>
      </c>
      <c r="M498" s="2">
        <v>0.19400000000000001</v>
      </c>
      <c r="N498" s="1">
        <v>0</v>
      </c>
      <c r="O498" s="1">
        <v>54</v>
      </c>
      <c r="P498" s="1">
        <v>54</v>
      </c>
      <c r="Q498" s="1" t="str">
        <f>IF(WEEKDAY(Bike_Sharing_Master6[[#This Row],[Dteday]],2)&gt;=6,"Weekend","Weekday")</f>
        <v>Weekend</v>
      </c>
      <c r="R498" s="1" t="str">
        <f xml:space="preserve"> IF(Bike_Sharing_Master6[[#This Row],[Hr]]&lt;6,"Late Night", IF(Bike_Sharing_Master6[[#This Row],[Hr]]&lt;10,"Morning Peak", IF(Bike_Sharing_Master6[[#This Row],[Hr]]&lt;17,"Daytime", IF(Bike_Sharing_Master6[[#This Row],[Hr]]&lt;21,"Evening Peak","Night"))))</f>
        <v>Evening Peak</v>
      </c>
      <c r="S498" s="1" t="str">
        <f>IF(Bike_Sharing_Master6[[#This Row],[Holiday]]=1,"Holiday","Non-Holiday")</f>
        <v>Non-Holiday</v>
      </c>
      <c r="T498" s="1" t="str">
        <f>IF(Bike_Sharing_Master6[[#This Row],[Cnt]]&lt;80,"Low",IF(Bike_Sharing_Master6[[#This Row],[Cnt]]&lt;160,"Medium","High"))</f>
        <v>Low</v>
      </c>
      <c r="U498" s="1" t="str">
        <f>VLOOKUP(Bike_Sharing_Master6[[#This Row],[Weathersit]],[1]Lookup_Weather!A:B,2,FALSE)</f>
        <v>Clear</v>
      </c>
    </row>
    <row r="499" spans="1:21" x14ac:dyDescent="0.3">
      <c r="A499">
        <v>498</v>
      </c>
      <c r="B499" s="3">
        <v>40565</v>
      </c>
      <c r="C499" s="1">
        <v>1</v>
      </c>
      <c r="D499" s="1">
        <v>0</v>
      </c>
      <c r="E499" s="1">
        <v>1</v>
      </c>
      <c r="F499" s="1">
        <v>19</v>
      </c>
      <c r="G499" t="b">
        <v>0</v>
      </c>
      <c r="H499" s="1">
        <v>6</v>
      </c>
      <c r="I499" s="1">
        <v>1</v>
      </c>
      <c r="J499" s="2">
        <v>0.08</v>
      </c>
      <c r="K499" s="2">
        <v>0.1061</v>
      </c>
      <c r="L499" s="2">
        <v>0.35</v>
      </c>
      <c r="M499" s="2">
        <v>0.1343</v>
      </c>
      <c r="N499" s="1">
        <v>6</v>
      </c>
      <c r="O499" s="1">
        <v>53</v>
      </c>
      <c r="P499" s="1">
        <v>59</v>
      </c>
      <c r="Q499" s="1" t="str">
        <f>IF(WEEKDAY(Bike_Sharing_Master6[[#This Row],[Dteday]],2)&gt;=6,"Weekend","Weekday")</f>
        <v>Weekend</v>
      </c>
      <c r="R499" s="1" t="str">
        <f xml:space="preserve"> IF(Bike_Sharing_Master6[[#This Row],[Hr]]&lt;6,"Late Night", IF(Bike_Sharing_Master6[[#This Row],[Hr]]&lt;10,"Morning Peak", IF(Bike_Sharing_Master6[[#This Row],[Hr]]&lt;17,"Daytime", IF(Bike_Sharing_Master6[[#This Row],[Hr]]&lt;21,"Evening Peak","Night"))))</f>
        <v>Evening Peak</v>
      </c>
      <c r="S499" s="1" t="str">
        <f>IF(Bike_Sharing_Master6[[#This Row],[Holiday]]=1,"Holiday","Non-Holiday")</f>
        <v>Non-Holiday</v>
      </c>
      <c r="T499" s="1" t="str">
        <f>IF(Bike_Sharing_Master6[[#This Row],[Cnt]]&lt;80,"Low",IF(Bike_Sharing_Master6[[#This Row],[Cnt]]&lt;160,"Medium","High"))</f>
        <v>Low</v>
      </c>
      <c r="U499" s="1" t="str">
        <f>VLOOKUP(Bike_Sharing_Master6[[#This Row],[Weathersit]],[1]Lookup_Weather!A:B,2,FALSE)</f>
        <v>Clear</v>
      </c>
    </row>
    <row r="500" spans="1:21" x14ac:dyDescent="0.3">
      <c r="A500">
        <v>499</v>
      </c>
      <c r="B500" s="3">
        <v>40565</v>
      </c>
      <c r="C500" s="1">
        <v>1</v>
      </c>
      <c r="D500" s="1">
        <v>0</v>
      </c>
      <c r="E500" s="1">
        <v>1</v>
      </c>
      <c r="F500" s="1">
        <v>20</v>
      </c>
      <c r="G500" t="b">
        <v>0</v>
      </c>
      <c r="H500" s="1">
        <v>6</v>
      </c>
      <c r="I500" s="1">
        <v>1</v>
      </c>
      <c r="J500" s="2">
        <v>0.06</v>
      </c>
      <c r="K500" s="2">
        <v>7.5800000000000006E-2</v>
      </c>
      <c r="L500" s="2">
        <v>0.45</v>
      </c>
      <c r="M500" s="2">
        <v>0.16420000000000001</v>
      </c>
      <c r="N500" s="1">
        <v>1</v>
      </c>
      <c r="O500" s="1">
        <v>44</v>
      </c>
      <c r="P500" s="1">
        <v>45</v>
      </c>
      <c r="Q500" s="1" t="str">
        <f>IF(WEEKDAY(Bike_Sharing_Master6[[#This Row],[Dteday]],2)&gt;=6,"Weekend","Weekday")</f>
        <v>Weekend</v>
      </c>
      <c r="R500" s="1" t="str">
        <f xml:space="preserve"> IF(Bike_Sharing_Master6[[#This Row],[Hr]]&lt;6,"Late Night", IF(Bike_Sharing_Master6[[#This Row],[Hr]]&lt;10,"Morning Peak", IF(Bike_Sharing_Master6[[#This Row],[Hr]]&lt;17,"Daytime", IF(Bike_Sharing_Master6[[#This Row],[Hr]]&lt;21,"Evening Peak","Night"))))</f>
        <v>Evening Peak</v>
      </c>
      <c r="S500" s="1" t="str">
        <f>IF(Bike_Sharing_Master6[[#This Row],[Holiday]]=1,"Holiday","Non-Holiday")</f>
        <v>Non-Holiday</v>
      </c>
      <c r="T500" s="1" t="str">
        <f>IF(Bike_Sharing_Master6[[#This Row],[Cnt]]&lt;80,"Low",IF(Bike_Sharing_Master6[[#This Row],[Cnt]]&lt;160,"Medium","High"))</f>
        <v>Low</v>
      </c>
      <c r="U500" s="1" t="str">
        <f>VLOOKUP(Bike_Sharing_Master6[[#This Row],[Weathersit]],[1]Lookup_Weather!A:B,2,FALSE)</f>
        <v>Clear</v>
      </c>
    </row>
    <row r="501" spans="1:21" x14ac:dyDescent="0.3">
      <c r="A501">
        <v>500</v>
      </c>
      <c r="B501" s="3">
        <v>40565</v>
      </c>
      <c r="C501" s="1">
        <v>1</v>
      </c>
      <c r="D501" s="1">
        <v>0</v>
      </c>
      <c r="E501" s="1">
        <v>1</v>
      </c>
      <c r="F501" s="1">
        <v>21</v>
      </c>
      <c r="G501" t="b">
        <v>0</v>
      </c>
      <c r="H501" s="1">
        <v>6</v>
      </c>
      <c r="I501" s="1">
        <v>1</v>
      </c>
      <c r="J501" s="2">
        <v>0.06</v>
      </c>
      <c r="K501" s="2">
        <v>0.1061</v>
      </c>
      <c r="L501" s="2">
        <v>0.41</v>
      </c>
      <c r="M501" s="2">
        <v>8.9599999999999999E-2</v>
      </c>
      <c r="N501" s="1">
        <v>0</v>
      </c>
      <c r="O501" s="1">
        <v>39</v>
      </c>
      <c r="P501" s="1">
        <v>39</v>
      </c>
      <c r="Q501" s="1" t="str">
        <f>IF(WEEKDAY(Bike_Sharing_Master6[[#This Row],[Dteday]],2)&gt;=6,"Weekend","Weekday")</f>
        <v>Weekend</v>
      </c>
      <c r="R501" s="1" t="str">
        <f xml:space="preserve"> IF(Bike_Sharing_Master6[[#This Row],[Hr]]&lt;6,"Late Night", IF(Bike_Sharing_Master6[[#This Row],[Hr]]&lt;10,"Morning Peak", IF(Bike_Sharing_Master6[[#This Row],[Hr]]&lt;17,"Daytime", IF(Bike_Sharing_Master6[[#This Row],[Hr]]&lt;21,"Evening Peak","Night"))))</f>
        <v>Night</v>
      </c>
      <c r="S501" s="1" t="str">
        <f>IF(Bike_Sharing_Master6[[#This Row],[Holiday]]=1,"Holiday","Non-Holiday")</f>
        <v>Non-Holiday</v>
      </c>
      <c r="T501" s="1" t="str">
        <f>IF(Bike_Sharing_Master6[[#This Row],[Cnt]]&lt;80,"Low",IF(Bike_Sharing_Master6[[#This Row],[Cnt]]&lt;160,"Medium","High"))</f>
        <v>Low</v>
      </c>
      <c r="U501" s="1" t="str">
        <f>VLOOKUP(Bike_Sharing_Master6[[#This Row],[Weathersit]],[1]Lookup_Weather!A:B,2,FALSE)</f>
        <v>Clear</v>
      </c>
    </row>
    <row r="502" spans="1:21" x14ac:dyDescent="0.3">
      <c r="A502">
        <v>501</v>
      </c>
      <c r="B502" s="3">
        <v>40565</v>
      </c>
      <c r="C502" s="1">
        <v>1</v>
      </c>
      <c r="D502" s="1">
        <v>0</v>
      </c>
      <c r="E502" s="1">
        <v>1</v>
      </c>
      <c r="F502" s="1">
        <v>22</v>
      </c>
      <c r="G502" t="b">
        <v>0</v>
      </c>
      <c r="H502" s="1">
        <v>6</v>
      </c>
      <c r="I502" s="1">
        <v>1</v>
      </c>
      <c r="J502" s="2">
        <v>0.06</v>
      </c>
      <c r="K502" s="2">
        <v>0.1515</v>
      </c>
      <c r="L502" s="2">
        <v>0.49</v>
      </c>
      <c r="M502" s="2">
        <v>0</v>
      </c>
      <c r="N502" s="1">
        <v>7</v>
      </c>
      <c r="O502" s="1">
        <v>23</v>
      </c>
      <c r="P502" s="1">
        <v>30</v>
      </c>
      <c r="Q502" s="1" t="str">
        <f>IF(WEEKDAY(Bike_Sharing_Master6[[#This Row],[Dteday]],2)&gt;=6,"Weekend","Weekday")</f>
        <v>Weekend</v>
      </c>
      <c r="R502" s="1" t="str">
        <f xml:space="preserve"> IF(Bike_Sharing_Master6[[#This Row],[Hr]]&lt;6,"Late Night", IF(Bike_Sharing_Master6[[#This Row],[Hr]]&lt;10,"Morning Peak", IF(Bike_Sharing_Master6[[#This Row],[Hr]]&lt;17,"Daytime", IF(Bike_Sharing_Master6[[#This Row],[Hr]]&lt;21,"Evening Peak","Night"))))</f>
        <v>Night</v>
      </c>
      <c r="S502" s="1" t="str">
        <f>IF(Bike_Sharing_Master6[[#This Row],[Holiday]]=1,"Holiday","Non-Holiday")</f>
        <v>Non-Holiday</v>
      </c>
      <c r="T502" s="1" t="str">
        <f>IF(Bike_Sharing_Master6[[#This Row],[Cnt]]&lt;80,"Low",IF(Bike_Sharing_Master6[[#This Row],[Cnt]]&lt;160,"Medium","High"))</f>
        <v>Low</v>
      </c>
      <c r="U502" s="1" t="str">
        <f>VLOOKUP(Bike_Sharing_Master6[[#This Row],[Weathersit]],[1]Lookup_Weather!A:B,2,FALSE)</f>
        <v>Clear</v>
      </c>
    </row>
    <row r="503" spans="1:21" x14ac:dyDescent="0.3">
      <c r="A503">
        <v>502</v>
      </c>
      <c r="B503" s="3">
        <v>40565</v>
      </c>
      <c r="C503" s="1">
        <v>1</v>
      </c>
      <c r="D503" s="1">
        <v>0</v>
      </c>
      <c r="E503" s="1">
        <v>1</v>
      </c>
      <c r="F503" s="1">
        <v>23</v>
      </c>
      <c r="G503" t="b">
        <v>0</v>
      </c>
      <c r="H503" s="1">
        <v>6</v>
      </c>
      <c r="I503" s="1">
        <v>1</v>
      </c>
      <c r="J503" s="2">
        <v>0.04</v>
      </c>
      <c r="K503" s="2">
        <v>7.5800000000000006E-2</v>
      </c>
      <c r="L503" s="2">
        <v>0.56999999999999995</v>
      </c>
      <c r="M503" s="2">
        <v>0.1045</v>
      </c>
      <c r="N503" s="1">
        <v>2</v>
      </c>
      <c r="O503" s="1">
        <v>31</v>
      </c>
      <c r="P503" s="1">
        <v>33</v>
      </c>
      <c r="Q503" s="1" t="str">
        <f>IF(WEEKDAY(Bike_Sharing_Master6[[#This Row],[Dteday]],2)&gt;=6,"Weekend","Weekday")</f>
        <v>Weekend</v>
      </c>
      <c r="R503" s="1" t="str">
        <f xml:space="preserve"> IF(Bike_Sharing_Master6[[#This Row],[Hr]]&lt;6,"Late Night", IF(Bike_Sharing_Master6[[#This Row],[Hr]]&lt;10,"Morning Peak", IF(Bike_Sharing_Master6[[#This Row],[Hr]]&lt;17,"Daytime", IF(Bike_Sharing_Master6[[#This Row],[Hr]]&lt;21,"Evening Peak","Night"))))</f>
        <v>Night</v>
      </c>
      <c r="S503" s="1" t="str">
        <f>IF(Bike_Sharing_Master6[[#This Row],[Holiday]]=1,"Holiday","Non-Holiday")</f>
        <v>Non-Holiday</v>
      </c>
      <c r="T503" s="1" t="str">
        <f>IF(Bike_Sharing_Master6[[#This Row],[Cnt]]&lt;80,"Low",IF(Bike_Sharing_Master6[[#This Row],[Cnt]]&lt;160,"Medium","High"))</f>
        <v>Low</v>
      </c>
      <c r="U503" s="1" t="str">
        <f>VLOOKUP(Bike_Sharing_Master6[[#This Row],[Weathersit]],[1]Lookup_Weather!A:B,2,FALSE)</f>
        <v>Clear</v>
      </c>
    </row>
    <row r="504" spans="1:21" x14ac:dyDescent="0.3">
      <c r="A504">
        <v>503</v>
      </c>
      <c r="B504" s="3">
        <v>40566</v>
      </c>
      <c r="C504" s="1">
        <v>1</v>
      </c>
      <c r="D504" s="1">
        <v>0</v>
      </c>
      <c r="E504" s="1">
        <v>1</v>
      </c>
      <c r="F504" s="1">
        <v>0</v>
      </c>
      <c r="G504" t="b">
        <v>0</v>
      </c>
      <c r="H504" s="1">
        <v>0</v>
      </c>
      <c r="I504" s="1">
        <v>1</v>
      </c>
      <c r="J504" s="2">
        <v>0.04</v>
      </c>
      <c r="K504" s="2">
        <v>7.5800000000000006E-2</v>
      </c>
      <c r="L504" s="2">
        <v>0.56999999999999995</v>
      </c>
      <c r="M504" s="2">
        <v>0.1045</v>
      </c>
      <c r="N504" s="1">
        <v>2</v>
      </c>
      <c r="O504" s="1">
        <v>20</v>
      </c>
      <c r="P504" s="1">
        <v>22</v>
      </c>
      <c r="Q504" s="1" t="str">
        <f>IF(WEEKDAY(Bike_Sharing_Master6[[#This Row],[Dteday]],2)&gt;=6,"Weekend","Weekday")</f>
        <v>Weekend</v>
      </c>
      <c r="R504" s="1" t="str">
        <f xml:space="preserve"> IF(Bike_Sharing_Master6[[#This Row],[Hr]]&lt;6,"Late Night", IF(Bike_Sharing_Master6[[#This Row],[Hr]]&lt;10,"Morning Peak", IF(Bike_Sharing_Master6[[#This Row],[Hr]]&lt;17,"Daytime", IF(Bike_Sharing_Master6[[#This Row],[Hr]]&lt;21,"Evening Peak","Night"))))</f>
        <v>Late Night</v>
      </c>
      <c r="S504" s="1" t="str">
        <f>IF(Bike_Sharing_Master6[[#This Row],[Holiday]]=1,"Holiday","Non-Holiday")</f>
        <v>Non-Holiday</v>
      </c>
      <c r="T504" s="1" t="str">
        <f>IF(Bike_Sharing_Master6[[#This Row],[Cnt]]&lt;80,"Low",IF(Bike_Sharing_Master6[[#This Row],[Cnt]]&lt;160,"Medium","High"))</f>
        <v>Low</v>
      </c>
      <c r="U504" s="1" t="str">
        <f>VLOOKUP(Bike_Sharing_Master6[[#This Row],[Weathersit]],[1]Lookup_Weather!A:B,2,FALSE)</f>
        <v>Clear</v>
      </c>
    </row>
    <row r="505" spans="1:21" x14ac:dyDescent="0.3">
      <c r="A505">
        <v>504</v>
      </c>
      <c r="B505" s="3">
        <v>40566</v>
      </c>
      <c r="C505" s="1">
        <v>1</v>
      </c>
      <c r="D505" s="1">
        <v>0</v>
      </c>
      <c r="E505" s="1">
        <v>1</v>
      </c>
      <c r="F505" s="1">
        <v>1</v>
      </c>
      <c r="G505" t="b">
        <v>0</v>
      </c>
      <c r="H505" s="1">
        <v>0</v>
      </c>
      <c r="I505" s="1">
        <v>1</v>
      </c>
      <c r="J505" s="2">
        <v>0.04</v>
      </c>
      <c r="K505" s="2">
        <v>7.5800000000000006E-2</v>
      </c>
      <c r="L505" s="2">
        <v>0.56999999999999995</v>
      </c>
      <c r="M505" s="2">
        <v>0.1045</v>
      </c>
      <c r="N505" s="1">
        <v>1</v>
      </c>
      <c r="O505" s="1">
        <v>12</v>
      </c>
      <c r="P505" s="1">
        <v>13</v>
      </c>
      <c r="Q505" s="1" t="str">
        <f>IF(WEEKDAY(Bike_Sharing_Master6[[#This Row],[Dteday]],2)&gt;=6,"Weekend","Weekday")</f>
        <v>Weekend</v>
      </c>
      <c r="R505" s="1" t="str">
        <f xml:space="preserve"> IF(Bike_Sharing_Master6[[#This Row],[Hr]]&lt;6,"Late Night", IF(Bike_Sharing_Master6[[#This Row],[Hr]]&lt;10,"Morning Peak", IF(Bike_Sharing_Master6[[#This Row],[Hr]]&lt;17,"Daytime", IF(Bike_Sharing_Master6[[#This Row],[Hr]]&lt;21,"Evening Peak","Night"))))</f>
        <v>Late Night</v>
      </c>
      <c r="S505" s="1" t="str">
        <f>IF(Bike_Sharing_Master6[[#This Row],[Holiday]]=1,"Holiday","Non-Holiday")</f>
        <v>Non-Holiday</v>
      </c>
      <c r="T505" s="1" t="str">
        <f>IF(Bike_Sharing_Master6[[#This Row],[Cnt]]&lt;80,"Low",IF(Bike_Sharing_Master6[[#This Row],[Cnt]]&lt;160,"Medium","High"))</f>
        <v>Low</v>
      </c>
      <c r="U505" s="1" t="str">
        <f>VLOOKUP(Bike_Sharing_Master6[[#This Row],[Weathersit]],[1]Lookup_Weather!A:B,2,FALSE)</f>
        <v>Clear</v>
      </c>
    </row>
    <row r="506" spans="1:21" x14ac:dyDescent="0.3">
      <c r="A506">
        <v>505</v>
      </c>
      <c r="B506" s="3">
        <v>40566</v>
      </c>
      <c r="C506" s="1">
        <v>1</v>
      </c>
      <c r="D506" s="1">
        <v>0</v>
      </c>
      <c r="E506" s="1">
        <v>1</v>
      </c>
      <c r="F506" s="1">
        <v>2</v>
      </c>
      <c r="G506" t="b">
        <v>0</v>
      </c>
      <c r="H506" s="1">
        <v>0</v>
      </c>
      <c r="I506" s="1">
        <v>1</v>
      </c>
      <c r="J506" s="2">
        <v>0.02</v>
      </c>
      <c r="K506" s="2">
        <v>6.0600000000000001E-2</v>
      </c>
      <c r="L506" s="2">
        <v>0.62</v>
      </c>
      <c r="M506" s="2">
        <v>0.1343</v>
      </c>
      <c r="N506" s="1">
        <v>3</v>
      </c>
      <c r="O506" s="1">
        <v>15</v>
      </c>
      <c r="P506" s="1">
        <v>18</v>
      </c>
      <c r="Q506" s="1" t="str">
        <f>IF(WEEKDAY(Bike_Sharing_Master6[[#This Row],[Dteday]],2)&gt;=6,"Weekend","Weekday")</f>
        <v>Weekend</v>
      </c>
      <c r="R506" s="1" t="str">
        <f xml:space="preserve"> IF(Bike_Sharing_Master6[[#This Row],[Hr]]&lt;6,"Late Night", IF(Bike_Sharing_Master6[[#This Row],[Hr]]&lt;10,"Morning Peak", IF(Bike_Sharing_Master6[[#This Row],[Hr]]&lt;17,"Daytime", IF(Bike_Sharing_Master6[[#This Row],[Hr]]&lt;21,"Evening Peak","Night"))))</f>
        <v>Late Night</v>
      </c>
      <c r="S506" s="1" t="str">
        <f>IF(Bike_Sharing_Master6[[#This Row],[Holiday]]=1,"Holiday","Non-Holiday")</f>
        <v>Non-Holiday</v>
      </c>
      <c r="T506" s="1" t="str">
        <f>IF(Bike_Sharing_Master6[[#This Row],[Cnt]]&lt;80,"Low",IF(Bike_Sharing_Master6[[#This Row],[Cnt]]&lt;160,"Medium","High"))</f>
        <v>Low</v>
      </c>
      <c r="U506" s="1" t="str">
        <f>VLOOKUP(Bike_Sharing_Master6[[#This Row],[Weathersit]],[1]Lookup_Weather!A:B,2,FALSE)</f>
        <v>Clear</v>
      </c>
    </row>
    <row r="507" spans="1:21" x14ac:dyDescent="0.3">
      <c r="A507">
        <v>506</v>
      </c>
      <c r="B507" s="3">
        <v>40566</v>
      </c>
      <c r="C507" s="1">
        <v>1</v>
      </c>
      <c r="D507" s="1">
        <v>0</v>
      </c>
      <c r="E507" s="1">
        <v>1</v>
      </c>
      <c r="F507" s="1">
        <v>3</v>
      </c>
      <c r="G507" t="b">
        <v>0</v>
      </c>
      <c r="H507" s="1">
        <v>0</v>
      </c>
      <c r="I507" s="1">
        <v>1</v>
      </c>
      <c r="J507" s="2">
        <v>0.02</v>
      </c>
      <c r="K507" s="2">
        <v>6.0600000000000001E-2</v>
      </c>
      <c r="L507" s="2">
        <v>0.62</v>
      </c>
      <c r="M507" s="2">
        <v>0.1343</v>
      </c>
      <c r="N507" s="1">
        <v>1</v>
      </c>
      <c r="O507" s="1">
        <v>4</v>
      </c>
      <c r="P507" s="1">
        <v>5</v>
      </c>
      <c r="Q507" s="1" t="str">
        <f>IF(WEEKDAY(Bike_Sharing_Master6[[#This Row],[Dteday]],2)&gt;=6,"Weekend","Weekday")</f>
        <v>Weekend</v>
      </c>
      <c r="R507" s="1" t="str">
        <f xml:space="preserve"> IF(Bike_Sharing_Master6[[#This Row],[Hr]]&lt;6,"Late Night", IF(Bike_Sharing_Master6[[#This Row],[Hr]]&lt;10,"Morning Peak", IF(Bike_Sharing_Master6[[#This Row],[Hr]]&lt;17,"Daytime", IF(Bike_Sharing_Master6[[#This Row],[Hr]]&lt;21,"Evening Peak","Night"))))</f>
        <v>Late Night</v>
      </c>
      <c r="S507" s="1" t="str">
        <f>IF(Bike_Sharing_Master6[[#This Row],[Holiday]]=1,"Holiday","Non-Holiday")</f>
        <v>Non-Holiday</v>
      </c>
      <c r="T507" s="1" t="str">
        <f>IF(Bike_Sharing_Master6[[#This Row],[Cnt]]&lt;80,"Low",IF(Bike_Sharing_Master6[[#This Row],[Cnt]]&lt;160,"Medium","High"))</f>
        <v>Low</v>
      </c>
      <c r="U507" s="1" t="str">
        <f>VLOOKUP(Bike_Sharing_Master6[[#This Row],[Weathersit]],[1]Lookup_Weather!A:B,2,FALSE)</f>
        <v>Clear</v>
      </c>
    </row>
    <row r="508" spans="1:21" x14ac:dyDescent="0.3">
      <c r="A508">
        <v>507</v>
      </c>
      <c r="B508" s="3">
        <v>40566</v>
      </c>
      <c r="C508" s="1">
        <v>1</v>
      </c>
      <c r="D508" s="1">
        <v>0</v>
      </c>
      <c r="E508" s="1">
        <v>1</v>
      </c>
      <c r="F508" s="1">
        <v>5</v>
      </c>
      <c r="G508" t="b">
        <v>0</v>
      </c>
      <c r="H508" s="1">
        <v>0</v>
      </c>
      <c r="I508" s="1">
        <v>2</v>
      </c>
      <c r="J508" s="2">
        <v>0.04</v>
      </c>
      <c r="K508" s="2">
        <v>7.5800000000000006E-2</v>
      </c>
      <c r="L508" s="2">
        <v>0.56999999999999995</v>
      </c>
      <c r="M508" s="2">
        <v>0.1045</v>
      </c>
      <c r="N508" s="1">
        <v>0</v>
      </c>
      <c r="O508" s="1">
        <v>3</v>
      </c>
      <c r="P508" s="1">
        <v>3</v>
      </c>
      <c r="Q508" s="1" t="str">
        <f>IF(WEEKDAY(Bike_Sharing_Master6[[#This Row],[Dteday]],2)&gt;=6,"Weekend","Weekday")</f>
        <v>Weekend</v>
      </c>
      <c r="R508" s="1" t="str">
        <f xml:space="preserve"> IF(Bike_Sharing_Master6[[#This Row],[Hr]]&lt;6,"Late Night", IF(Bike_Sharing_Master6[[#This Row],[Hr]]&lt;10,"Morning Peak", IF(Bike_Sharing_Master6[[#This Row],[Hr]]&lt;17,"Daytime", IF(Bike_Sharing_Master6[[#This Row],[Hr]]&lt;21,"Evening Peak","Night"))))</f>
        <v>Late Night</v>
      </c>
      <c r="S508" s="1" t="str">
        <f>IF(Bike_Sharing_Master6[[#This Row],[Holiday]]=1,"Holiday","Non-Holiday")</f>
        <v>Non-Holiday</v>
      </c>
      <c r="T508" s="1" t="str">
        <f>IF(Bike_Sharing_Master6[[#This Row],[Cnt]]&lt;80,"Low",IF(Bike_Sharing_Master6[[#This Row],[Cnt]]&lt;160,"Medium","High"))</f>
        <v>Low</v>
      </c>
      <c r="U508" s="1" t="str">
        <f>VLOOKUP(Bike_Sharing_Master6[[#This Row],[Weathersit]],[1]Lookup_Weather!A:B,2,FALSE)</f>
        <v>Mist</v>
      </c>
    </row>
    <row r="509" spans="1:21" x14ac:dyDescent="0.3">
      <c r="A509">
        <v>508</v>
      </c>
      <c r="B509" s="3">
        <v>40566</v>
      </c>
      <c r="C509" s="1">
        <v>1</v>
      </c>
      <c r="D509" s="1">
        <v>0</v>
      </c>
      <c r="E509" s="1">
        <v>1</v>
      </c>
      <c r="F509" s="1">
        <v>6</v>
      </c>
      <c r="G509" t="b">
        <v>0</v>
      </c>
      <c r="H509" s="1">
        <v>0</v>
      </c>
      <c r="I509" s="1">
        <v>2</v>
      </c>
      <c r="J509" s="2">
        <v>0.04</v>
      </c>
      <c r="K509" s="2">
        <v>7.5800000000000006E-2</v>
      </c>
      <c r="L509" s="2">
        <v>0.56999999999999995</v>
      </c>
      <c r="M509" s="2">
        <v>0.1045</v>
      </c>
      <c r="N509" s="1">
        <v>0</v>
      </c>
      <c r="O509" s="1">
        <v>1</v>
      </c>
      <c r="P509" s="1">
        <v>1</v>
      </c>
      <c r="Q509" s="1" t="str">
        <f>IF(WEEKDAY(Bike_Sharing_Master6[[#This Row],[Dteday]],2)&gt;=6,"Weekend","Weekday")</f>
        <v>Weekend</v>
      </c>
      <c r="R509" s="1" t="str">
        <f xml:space="preserve"> IF(Bike_Sharing_Master6[[#This Row],[Hr]]&lt;6,"Late Night", IF(Bike_Sharing_Master6[[#This Row],[Hr]]&lt;10,"Morning Peak", IF(Bike_Sharing_Master6[[#This Row],[Hr]]&lt;17,"Daytime", IF(Bike_Sharing_Master6[[#This Row],[Hr]]&lt;21,"Evening Peak","Night"))))</f>
        <v>Morning Peak</v>
      </c>
      <c r="S509" s="1" t="str">
        <f>IF(Bike_Sharing_Master6[[#This Row],[Holiday]]=1,"Holiday","Non-Holiday")</f>
        <v>Non-Holiday</v>
      </c>
      <c r="T509" s="1" t="str">
        <f>IF(Bike_Sharing_Master6[[#This Row],[Cnt]]&lt;80,"Low",IF(Bike_Sharing_Master6[[#This Row],[Cnt]]&lt;160,"Medium","High"))</f>
        <v>Low</v>
      </c>
      <c r="U509" s="1" t="str">
        <f>VLOOKUP(Bike_Sharing_Master6[[#This Row],[Weathersit]],[1]Lookup_Weather!A:B,2,FALSE)</f>
        <v>Mist</v>
      </c>
    </row>
    <row r="510" spans="1:21" x14ac:dyDescent="0.3">
      <c r="A510">
        <v>509</v>
      </c>
      <c r="B510" s="3">
        <v>40566</v>
      </c>
      <c r="C510" s="1">
        <v>1</v>
      </c>
      <c r="D510" s="1">
        <v>0</v>
      </c>
      <c r="E510" s="1">
        <v>1</v>
      </c>
      <c r="F510" s="1">
        <v>7</v>
      </c>
      <c r="G510" t="b">
        <v>0</v>
      </c>
      <c r="H510" s="1">
        <v>0</v>
      </c>
      <c r="I510" s="1">
        <v>1</v>
      </c>
      <c r="J510" s="2">
        <v>0.08</v>
      </c>
      <c r="K510" s="2">
        <v>0.1061</v>
      </c>
      <c r="L510" s="2">
        <v>0.57999999999999996</v>
      </c>
      <c r="M510" s="2">
        <v>0.16420000000000001</v>
      </c>
      <c r="N510" s="1">
        <v>1</v>
      </c>
      <c r="O510" s="1">
        <v>1</v>
      </c>
      <c r="P510" s="1">
        <v>2</v>
      </c>
      <c r="Q510" s="1" t="str">
        <f>IF(WEEKDAY(Bike_Sharing_Master6[[#This Row],[Dteday]],2)&gt;=6,"Weekend","Weekday")</f>
        <v>Weekend</v>
      </c>
      <c r="R510" s="1" t="str">
        <f xml:space="preserve"> IF(Bike_Sharing_Master6[[#This Row],[Hr]]&lt;6,"Late Night", IF(Bike_Sharing_Master6[[#This Row],[Hr]]&lt;10,"Morning Peak", IF(Bike_Sharing_Master6[[#This Row],[Hr]]&lt;17,"Daytime", IF(Bike_Sharing_Master6[[#This Row],[Hr]]&lt;21,"Evening Peak","Night"))))</f>
        <v>Morning Peak</v>
      </c>
      <c r="S510" s="1" t="str">
        <f>IF(Bike_Sharing_Master6[[#This Row],[Holiday]]=1,"Holiday","Non-Holiday")</f>
        <v>Non-Holiday</v>
      </c>
      <c r="T510" s="1" t="str">
        <f>IF(Bike_Sharing_Master6[[#This Row],[Cnt]]&lt;80,"Low",IF(Bike_Sharing_Master6[[#This Row],[Cnt]]&lt;160,"Medium","High"))</f>
        <v>Low</v>
      </c>
      <c r="U510" s="1" t="str">
        <f>VLOOKUP(Bike_Sharing_Master6[[#This Row],[Weathersit]],[1]Lookup_Weather!A:B,2,FALSE)</f>
        <v>Clear</v>
      </c>
    </row>
    <row r="511" spans="1:21" x14ac:dyDescent="0.3">
      <c r="A511">
        <v>510</v>
      </c>
      <c r="B511" s="3">
        <v>40566</v>
      </c>
      <c r="C511" s="1">
        <v>1</v>
      </c>
      <c r="D511" s="1">
        <v>0</v>
      </c>
      <c r="E511" s="1">
        <v>1</v>
      </c>
      <c r="F511" s="1">
        <v>8</v>
      </c>
      <c r="G511" t="b">
        <v>0</v>
      </c>
      <c r="H511" s="1">
        <v>0</v>
      </c>
      <c r="I511" s="1">
        <v>1</v>
      </c>
      <c r="J511" s="2">
        <v>0.06</v>
      </c>
      <c r="K511" s="2">
        <v>7.5800000000000006E-2</v>
      </c>
      <c r="L511" s="2">
        <v>0.62</v>
      </c>
      <c r="M511" s="2">
        <v>0.16420000000000001</v>
      </c>
      <c r="N511" s="1">
        <v>2</v>
      </c>
      <c r="O511" s="1">
        <v>17</v>
      </c>
      <c r="P511" s="1">
        <v>19</v>
      </c>
      <c r="Q511" s="1" t="str">
        <f>IF(WEEKDAY(Bike_Sharing_Master6[[#This Row],[Dteday]],2)&gt;=6,"Weekend","Weekday")</f>
        <v>Weekend</v>
      </c>
      <c r="R511" s="1" t="str">
        <f xml:space="preserve"> IF(Bike_Sharing_Master6[[#This Row],[Hr]]&lt;6,"Late Night", IF(Bike_Sharing_Master6[[#This Row],[Hr]]&lt;10,"Morning Peak", IF(Bike_Sharing_Master6[[#This Row],[Hr]]&lt;17,"Daytime", IF(Bike_Sharing_Master6[[#This Row],[Hr]]&lt;21,"Evening Peak","Night"))))</f>
        <v>Morning Peak</v>
      </c>
      <c r="S511" s="1" t="str">
        <f>IF(Bike_Sharing_Master6[[#This Row],[Holiday]]=1,"Holiday","Non-Holiday")</f>
        <v>Non-Holiday</v>
      </c>
      <c r="T511" s="1" t="str">
        <f>IF(Bike_Sharing_Master6[[#This Row],[Cnt]]&lt;80,"Low",IF(Bike_Sharing_Master6[[#This Row],[Cnt]]&lt;160,"Medium","High"))</f>
        <v>Low</v>
      </c>
      <c r="U511" s="1" t="str">
        <f>VLOOKUP(Bike_Sharing_Master6[[#This Row],[Weathersit]],[1]Lookup_Weather!A:B,2,FALSE)</f>
        <v>Clear</v>
      </c>
    </row>
    <row r="512" spans="1:21" x14ac:dyDescent="0.3">
      <c r="A512">
        <v>511</v>
      </c>
      <c r="B512" s="3">
        <v>40566</v>
      </c>
      <c r="C512" s="1">
        <v>1</v>
      </c>
      <c r="D512" s="1">
        <v>0</v>
      </c>
      <c r="E512" s="1">
        <v>1</v>
      </c>
      <c r="F512" s="1">
        <v>9</v>
      </c>
      <c r="G512" t="b">
        <v>0</v>
      </c>
      <c r="H512" s="1">
        <v>0</v>
      </c>
      <c r="I512" s="1">
        <v>1</v>
      </c>
      <c r="J512" s="2">
        <v>0.1</v>
      </c>
      <c r="K512" s="2">
        <v>7.5800000000000006E-2</v>
      </c>
      <c r="L512" s="2">
        <v>0.54</v>
      </c>
      <c r="M512" s="2">
        <v>0.35820000000000002</v>
      </c>
      <c r="N512" s="1">
        <v>3</v>
      </c>
      <c r="O512" s="1">
        <v>25</v>
      </c>
      <c r="P512" s="1">
        <v>28</v>
      </c>
      <c r="Q512" s="1" t="str">
        <f>IF(WEEKDAY(Bike_Sharing_Master6[[#This Row],[Dteday]],2)&gt;=6,"Weekend","Weekday")</f>
        <v>Weekend</v>
      </c>
      <c r="R512" s="1" t="str">
        <f xml:space="preserve"> IF(Bike_Sharing_Master6[[#This Row],[Hr]]&lt;6,"Late Night", IF(Bike_Sharing_Master6[[#This Row],[Hr]]&lt;10,"Morning Peak", IF(Bike_Sharing_Master6[[#This Row],[Hr]]&lt;17,"Daytime", IF(Bike_Sharing_Master6[[#This Row],[Hr]]&lt;21,"Evening Peak","Night"))))</f>
        <v>Morning Peak</v>
      </c>
      <c r="S512" s="1" t="str">
        <f>IF(Bike_Sharing_Master6[[#This Row],[Holiday]]=1,"Holiday","Non-Holiday")</f>
        <v>Non-Holiday</v>
      </c>
      <c r="T512" s="1" t="str">
        <f>IF(Bike_Sharing_Master6[[#This Row],[Cnt]]&lt;80,"Low",IF(Bike_Sharing_Master6[[#This Row],[Cnt]]&lt;160,"Medium","High"))</f>
        <v>Low</v>
      </c>
      <c r="U512" s="1" t="str">
        <f>VLOOKUP(Bike_Sharing_Master6[[#This Row],[Weathersit]],[1]Lookup_Weather!A:B,2,FALSE)</f>
        <v>Clear</v>
      </c>
    </row>
    <row r="513" spans="1:21" x14ac:dyDescent="0.3">
      <c r="A513">
        <v>512</v>
      </c>
      <c r="B513" s="3">
        <v>40566</v>
      </c>
      <c r="C513" s="1">
        <v>1</v>
      </c>
      <c r="D513" s="1">
        <v>0</v>
      </c>
      <c r="E513" s="1">
        <v>1</v>
      </c>
      <c r="F513" s="1">
        <v>10</v>
      </c>
      <c r="G513" t="b">
        <v>0</v>
      </c>
      <c r="H513" s="1">
        <v>0</v>
      </c>
      <c r="I513" s="1">
        <v>1</v>
      </c>
      <c r="J513" s="2">
        <v>0.14000000000000001</v>
      </c>
      <c r="K513" s="2">
        <v>0.1061</v>
      </c>
      <c r="L513" s="2">
        <v>0.46</v>
      </c>
      <c r="M513" s="2">
        <v>0.3881</v>
      </c>
      <c r="N513" s="1">
        <v>7</v>
      </c>
      <c r="O513" s="1">
        <v>51</v>
      </c>
      <c r="P513" s="1">
        <v>58</v>
      </c>
      <c r="Q513" s="1" t="str">
        <f>IF(WEEKDAY(Bike_Sharing_Master6[[#This Row],[Dteday]],2)&gt;=6,"Weekend","Weekday")</f>
        <v>Weekend</v>
      </c>
      <c r="R513" s="1" t="str">
        <f xml:space="preserve"> IF(Bike_Sharing_Master6[[#This Row],[Hr]]&lt;6,"Late Night", IF(Bike_Sharing_Master6[[#This Row],[Hr]]&lt;10,"Morning Peak", IF(Bike_Sharing_Master6[[#This Row],[Hr]]&lt;17,"Daytime", IF(Bike_Sharing_Master6[[#This Row],[Hr]]&lt;21,"Evening Peak","Night"))))</f>
        <v>Daytime</v>
      </c>
      <c r="S513" s="1" t="str">
        <f>IF(Bike_Sharing_Master6[[#This Row],[Holiday]]=1,"Holiday","Non-Holiday")</f>
        <v>Non-Holiday</v>
      </c>
      <c r="T513" s="1" t="str">
        <f>IF(Bike_Sharing_Master6[[#This Row],[Cnt]]&lt;80,"Low",IF(Bike_Sharing_Master6[[#This Row],[Cnt]]&lt;160,"Medium","High"))</f>
        <v>Low</v>
      </c>
      <c r="U513" s="1" t="str">
        <f>VLOOKUP(Bike_Sharing_Master6[[#This Row],[Weathersit]],[1]Lookup_Weather!A:B,2,FALSE)</f>
        <v>Clear</v>
      </c>
    </row>
    <row r="514" spans="1:21" x14ac:dyDescent="0.3">
      <c r="A514">
        <v>513</v>
      </c>
      <c r="B514" s="3">
        <v>40566</v>
      </c>
      <c r="C514" s="1">
        <v>1</v>
      </c>
      <c r="D514" s="1">
        <v>0</v>
      </c>
      <c r="E514" s="1">
        <v>1</v>
      </c>
      <c r="F514" s="1">
        <v>11</v>
      </c>
      <c r="G514" t="b">
        <v>0</v>
      </c>
      <c r="H514" s="1">
        <v>0</v>
      </c>
      <c r="I514" s="1">
        <v>1</v>
      </c>
      <c r="J514" s="2">
        <v>0.14000000000000001</v>
      </c>
      <c r="K514" s="2">
        <v>0.13639999999999999</v>
      </c>
      <c r="L514" s="2">
        <v>0.43</v>
      </c>
      <c r="M514" s="2">
        <v>0.22389999999999999</v>
      </c>
      <c r="N514" s="1">
        <v>22</v>
      </c>
      <c r="O514" s="1">
        <v>77</v>
      </c>
      <c r="P514" s="1">
        <v>99</v>
      </c>
      <c r="Q514" s="1" t="str">
        <f>IF(WEEKDAY(Bike_Sharing_Master6[[#This Row],[Dteday]],2)&gt;=6,"Weekend","Weekday")</f>
        <v>Weekend</v>
      </c>
      <c r="R514" s="1" t="str">
        <f xml:space="preserve"> IF(Bike_Sharing_Master6[[#This Row],[Hr]]&lt;6,"Late Night", IF(Bike_Sharing_Master6[[#This Row],[Hr]]&lt;10,"Morning Peak", IF(Bike_Sharing_Master6[[#This Row],[Hr]]&lt;17,"Daytime", IF(Bike_Sharing_Master6[[#This Row],[Hr]]&lt;21,"Evening Peak","Night"))))</f>
        <v>Daytime</v>
      </c>
      <c r="S514" s="1" t="str">
        <f>IF(Bike_Sharing_Master6[[#This Row],[Holiday]]=1,"Holiday","Non-Holiday")</f>
        <v>Non-Holiday</v>
      </c>
      <c r="T514" s="1" t="str">
        <f>IF(Bike_Sharing_Master6[[#This Row],[Cnt]]&lt;80,"Low",IF(Bike_Sharing_Master6[[#This Row],[Cnt]]&lt;160,"Medium","High"))</f>
        <v>Medium</v>
      </c>
      <c r="U514" s="1" t="str">
        <f>VLOOKUP(Bike_Sharing_Master6[[#This Row],[Weathersit]],[1]Lookup_Weather!A:B,2,FALSE)</f>
        <v>Clear</v>
      </c>
    </row>
    <row r="515" spans="1:21" x14ac:dyDescent="0.3">
      <c r="A515">
        <v>514</v>
      </c>
      <c r="B515" s="3">
        <v>40566</v>
      </c>
      <c r="C515" s="1">
        <v>1</v>
      </c>
      <c r="D515" s="1">
        <v>0</v>
      </c>
      <c r="E515" s="1">
        <v>1</v>
      </c>
      <c r="F515" s="1">
        <v>12</v>
      </c>
      <c r="G515" t="b">
        <v>0</v>
      </c>
      <c r="H515" s="1">
        <v>0</v>
      </c>
      <c r="I515" s="1">
        <v>1</v>
      </c>
      <c r="J515" s="2">
        <v>0.16</v>
      </c>
      <c r="K515" s="2">
        <v>0.1212</v>
      </c>
      <c r="L515" s="2">
        <v>0.37</v>
      </c>
      <c r="M515" s="2">
        <v>0.4627</v>
      </c>
      <c r="N515" s="1">
        <v>24</v>
      </c>
      <c r="O515" s="1">
        <v>92</v>
      </c>
      <c r="P515" s="1">
        <v>116</v>
      </c>
      <c r="Q515" s="1" t="str">
        <f>IF(WEEKDAY(Bike_Sharing_Master6[[#This Row],[Dteday]],2)&gt;=6,"Weekend","Weekday")</f>
        <v>Weekend</v>
      </c>
      <c r="R515" s="1" t="str">
        <f xml:space="preserve"> IF(Bike_Sharing_Master6[[#This Row],[Hr]]&lt;6,"Late Night", IF(Bike_Sharing_Master6[[#This Row],[Hr]]&lt;10,"Morning Peak", IF(Bike_Sharing_Master6[[#This Row],[Hr]]&lt;17,"Daytime", IF(Bike_Sharing_Master6[[#This Row],[Hr]]&lt;21,"Evening Peak","Night"))))</f>
        <v>Daytime</v>
      </c>
      <c r="S515" s="1" t="str">
        <f>IF(Bike_Sharing_Master6[[#This Row],[Holiday]]=1,"Holiday","Non-Holiday")</f>
        <v>Non-Holiday</v>
      </c>
      <c r="T515" s="1" t="str">
        <f>IF(Bike_Sharing_Master6[[#This Row],[Cnt]]&lt;80,"Low",IF(Bike_Sharing_Master6[[#This Row],[Cnt]]&lt;160,"Medium","High"))</f>
        <v>Medium</v>
      </c>
      <c r="U515" s="1" t="str">
        <f>VLOOKUP(Bike_Sharing_Master6[[#This Row],[Weathersit]],[1]Lookup_Weather!A:B,2,FALSE)</f>
        <v>Clear</v>
      </c>
    </row>
    <row r="516" spans="1:21" x14ac:dyDescent="0.3">
      <c r="A516">
        <v>515</v>
      </c>
      <c r="B516" s="3">
        <v>40566</v>
      </c>
      <c r="C516" s="1">
        <v>1</v>
      </c>
      <c r="D516" s="1">
        <v>0</v>
      </c>
      <c r="E516" s="1">
        <v>1</v>
      </c>
      <c r="F516" s="1">
        <v>13</v>
      </c>
      <c r="G516" t="b">
        <v>0</v>
      </c>
      <c r="H516" s="1">
        <v>0</v>
      </c>
      <c r="I516" s="1">
        <v>1</v>
      </c>
      <c r="J516" s="2">
        <v>0.14000000000000001</v>
      </c>
      <c r="K516" s="2">
        <v>0.1061</v>
      </c>
      <c r="L516" s="2">
        <v>0.33</v>
      </c>
      <c r="M516" s="2">
        <v>0.3881</v>
      </c>
      <c r="N516" s="1">
        <v>12</v>
      </c>
      <c r="O516" s="1">
        <v>75</v>
      </c>
      <c r="P516" s="1">
        <v>87</v>
      </c>
      <c r="Q516" s="1" t="str">
        <f>IF(WEEKDAY(Bike_Sharing_Master6[[#This Row],[Dteday]],2)&gt;=6,"Weekend","Weekday")</f>
        <v>Weekend</v>
      </c>
      <c r="R516" s="1" t="str">
        <f xml:space="preserve"> IF(Bike_Sharing_Master6[[#This Row],[Hr]]&lt;6,"Late Night", IF(Bike_Sharing_Master6[[#This Row],[Hr]]&lt;10,"Morning Peak", IF(Bike_Sharing_Master6[[#This Row],[Hr]]&lt;17,"Daytime", IF(Bike_Sharing_Master6[[#This Row],[Hr]]&lt;21,"Evening Peak","Night"))))</f>
        <v>Daytime</v>
      </c>
      <c r="S516" s="1" t="str">
        <f>IF(Bike_Sharing_Master6[[#This Row],[Holiday]]=1,"Holiday","Non-Holiday")</f>
        <v>Non-Holiday</v>
      </c>
      <c r="T516" s="1" t="str">
        <f>IF(Bike_Sharing_Master6[[#This Row],[Cnt]]&lt;80,"Low",IF(Bike_Sharing_Master6[[#This Row],[Cnt]]&lt;160,"Medium","High"))</f>
        <v>Medium</v>
      </c>
      <c r="U516" s="1" t="str">
        <f>VLOOKUP(Bike_Sharing_Master6[[#This Row],[Weathersit]],[1]Lookup_Weather!A:B,2,FALSE)</f>
        <v>Clear</v>
      </c>
    </row>
    <row r="517" spans="1:21" x14ac:dyDescent="0.3">
      <c r="A517">
        <v>516</v>
      </c>
      <c r="B517" s="3">
        <v>40566</v>
      </c>
      <c r="C517" s="1">
        <v>1</v>
      </c>
      <c r="D517" s="1">
        <v>0</v>
      </c>
      <c r="E517" s="1">
        <v>1</v>
      </c>
      <c r="F517" s="1">
        <v>14</v>
      </c>
      <c r="G517" t="b">
        <v>0</v>
      </c>
      <c r="H517" s="1">
        <v>0</v>
      </c>
      <c r="I517" s="1">
        <v>1</v>
      </c>
      <c r="J517" s="2">
        <v>0.16</v>
      </c>
      <c r="K517" s="2">
        <v>0.13639999999999999</v>
      </c>
      <c r="L517" s="2">
        <v>0.28000000000000003</v>
      </c>
      <c r="M517" s="2">
        <v>0.35820000000000002</v>
      </c>
      <c r="N517" s="1">
        <v>17</v>
      </c>
      <c r="O517" s="1">
        <v>93</v>
      </c>
      <c r="P517" s="1">
        <v>110</v>
      </c>
      <c r="Q517" s="1" t="str">
        <f>IF(WEEKDAY(Bike_Sharing_Master6[[#This Row],[Dteday]],2)&gt;=6,"Weekend","Weekday")</f>
        <v>Weekend</v>
      </c>
      <c r="R517" s="1" t="str">
        <f xml:space="preserve"> IF(Bike_Sharing_Master6[[#This Row],[Hr]]&lt;6,"Late Night", IF(Bike_Sharing_Master6[[#This Row],[Hr]]&lt;10,"Morning Peak", IF(Bike_Sharing_Master6[[#This Row],[Hr]]&lt;17,"Daytime", IF(Bike_Sharing_Master6[[#This Row],[Hr]]&lt;21,"Evening Peak","Night"))))</f>
        <v>Daytime</v>
      </c>
      <c r="S517" s="1" t="str">
        <f>IF(Bike_Sharing_Master6[[#This Row],[Holiday]]=1,"Holiday","Non-Holiday")</f>
        <v>Non-Holiday</v>
      </c>
      <c r="T517" s="1" t="str">
        <f>IF(Bike_Sharing_Master6[[#This Row],[Cnt]]&lt;80,"Low",IF(Bike_Sharing_Master6[[#This Row],[Cnt]]&lt;160,"Medium","High"))</f>
        <v>Medium</v>
      </c>
      <c r="U517" s="1" t="str">
        <f>VLOOKUP(Bike_Sharing_Master6[[#This Row],[Weathersit]],[1]Lookup_Weather!A:B,2,FALSE)</f>
        <v>Clear</v>
      </c>
    </row>
    <row r="518" spans="1:21" x14ac:dyDescent="0.3">
      <c r="A518">
        <v>517</v>
      </c>
      <c r="B518" s="3">
        <v>40566</v>
      </c>
      <c r="C518" s="1">
        <v>1</v>
      </c>
      <c r="D518" s="1">
        <v>0</v>
      </c>
      <c r="E518" s="1">
        <v>1</v>
      </c>
      <c r="F518" s="1">
        <v>15</v>
      </c>
      <c r="G518" t="b">
        <v>0</v>
      </c>
      <c r="H518" s="1">
        <v>0</v>
      </c>
      <c r="I518" s="1">
        <v>1</v>
      </c>
      <c r="J518" s="2">
        <v>0.16</v>
      </c>
      <c r="K518" s="2">
        <v>0.13639999999999999</v>
      </c>
      <c r="L518" s="2">
        <v>0.28000000000000003</v>
      </c>
      <c r="M518" s="2">
        <v>0.35820000000000002</v>
      </c>
      <c r="N518" s="1">
        <v>13</v>
      </c>
      <c r="O518" s="1">
        <v>64</v>
      </c>
      <c r="P518" s="1">
        <v>77</v>
      </c>
      <c r="Q518" s="1" t="str">
        <f>IF(WEEKDAY(Bike_Sharing_Master6[[#This Row],[Dteday]],2)&gt;=6,"Weekend","Weekday")</f>
        <v>Weekend</v>
      </c>
      <c r="R518" s="1" t="str">
        <f xml:space="preserve"> IF(Bike_Sharing_Master6[[#This Row],[Hr]]&lt;6,"Late Night", IF(Bike_Sharing_Master6[[#This Row],[Hr]]&lt;10,"Morning Peak", IF(Bike_Sharing_Master6[[#This Row],[Hr]]&lt;17,"Daytime", IF(Bike_Sharing_Master6[[#This Row],[Hr]]&lt;21,"Evening Peak","Night"))))</f>
        <v>Daytime</v>
      </c>
      <c r="S518" s="1" t="str">
        <f>IF(Bike_Sharing_Master6[[#This Row],[Holiday]]=1,"Holiday","Non-Holiday")</f>
        <v>Non-Holiday</v>
      </c>
      <c r="T518" s="1" t="str">
        <f>IF(Bike_Sharing_Master6[[#This Row],[Cnt]]&lt;80,"Low",IF(Bike_Sharing_Master6[[#This Row],[Cnt]]&lt;160,"Medium","High"))</f>
        <v>Low</v>
      </c>
      <c r="U518" s="1" t="str">
        <f>VLOOKUP(Bike_Sharing_Master6[[#This Row],[Weathersit]],[1]Lookup_Weather!A:B,2,FALSE)</f>
        <v>Clear</v>
      </c>
    </row>
    <row r="519" spans="1:21" x14ac:dyDescent="0.3">
      <c r="A519">
        <v>518</v>
      </c>
      <c r="B519" s="3">
        <v>40566</v>
      </c>
      <c r="C519" s="1">
        <v>1</v>
      </c>
      <c r="D519" s="1">
        <v>0</v>
      </c>
      <c r="E519" s="1">
        <v>1</v>
      </c>
      <c r="F519" s="1">
        <v>16</v>
      </c>
      <c r="G519" t="b">
        <v>0</v>
      </c>
      <c r="H519" s="1">
        <v>0</v>
      </c>
      <c r="I519" s="1">
        <v>1</v>
      </c>
      <c r="J519" s="2">
        <v>0.16</v>
      </c>
      <c r="K519" s="2">
        <v>0.13639999999999999</v>
      </c>
      <c r="L519" s="2">
        <v>0.26</v>
      </c>
      <c r="M519" s="2">
        <v>0.32840000000000003</v>
      </c>
      <c r="N519" s="1">
        <v>9</v>
      </c>
      <c r="O519" s="1">
        <v>56</v>
      </c>
      <c r="P519" s="1">
        <v>65</v>
      </c>
      <c r="Q519" s="1" t="str">
        <f>IF(WEEKDAY(Bike_Sharing_Master6[[#This Row],[Dteday]],2)&gt;=6,"Weekend","Weekday")</f>
        <v>Weekend</v>
      </c>
      <c r="R519" s="1" t="str">
        <f xml:space="preserve"> IF(Bike_Sharing_Master6[[#This Row],[Hr]]&lt;6,"Late Night", IF(Bike_Sharing_Master6[[#This Row],[Hr]]&lt;10,"Morning Peak", IF(Bike_Sharing_Master6[[#This Row],[Hr]]&lt;17,"Daytime", IF(Bike_Sharing_Master6[[#This Row],[Hr]]&lt;21,"Evening Peak","Night"))))</f>
        <v>Daytime</v>
      </c>
      <c r="S519" s="1" t="str">
        <f>IF(Bike_Sharing_Master6[[#This Row],[Holiday]]=1,"Holiday","Non-Holiday")</f>
        <v>Non-Holiday</v>
      </c>
      <c r="T519" s="1" t="str">
        <f>IF(Bike_Sharing_Master6[[#This Row],[Cnt]]&lt;80,"Low",IF(Bike_Sharing_Master6[[#This Row],[Cnt]]&lt;160,"Medium","High"))</f>
        <v>Low</v>
      </c>
      <c r="U519" s="1" t="str">
        <f>VLOOKUP(Bike_Sharing_Master6[[#This Row],[Weathersit]],[1]Lookup_Weather!A:B,2,FALSE)</f>
        <v>Clear</v>
      </c>
    </row>
    <row r="520" spans="1:21" x14ac:dyDescent="0.3">
      <c r="A520">
        <v>519</v>
      </c>
      <c r="B520" s="3">
        <v>40566</v>
      </c>
      <c r="C520" s="1">
        <v>1</v>
      </c>
      <c r="D520" s="1">
        <v>0</v>
      </c>
      <c r="E520" s="1">
        <v>1</v>
      </c>
      <c r="F520" s="1">
        <v>17</v>
      </c>
      <c r="G520" t="b">
        <v>0</v>
      </c>
      <c r="H520" s="1">
        <v>0</v>
      </c>
      <c r="I520" s="1">
        <v>1</v>
      </c>
      <c r="J520" s="2">
        <v>0.14000000000000001</v>
      </c>
      <c r="K520" s="2">
        <v>0.1061</v>
      </c>
      <c r="L520" s="2">
        <v>0.26</v>
      </c>
      <c r="M520" s="2">
        <v>0.3881</v>
      </c>
      <c r="N520" s="1">
        <v>5</v>
      </c>
      <c r="O520" s="1">
        <v>50</v>
      </c>
      <c r="P520" s="1">
        <v>55</v>
      </c>
      <c r="Q520" s="1" t="str">
        <f>IF(WEEKDAY(Bike_Sharing_Master6[[#This Row],[Dteday]],2)&gt;=6,"Weekend","Weekday")</f>
        <v>Weekend</v>
      </c>
      <c r="R520" s="1" t="str">
        <f xml:space="preserve"> IF(Bike_Sharing_Master6[[#This Row],[Hr]]&lt;6,"Late Night", IF(Bike_Sharing_Master6[[#This Row],[Hr]]&lt;10,"Morning Peak", IF(Bike_Sharing_Master6[[#This Row],[Hr]]&lt;17,"Daytime", IF(Bike_Sharing_Master6[[#This Row],[Hr]]&lt;21,"Evening Peak","Night"))))</f>
        <v>Evening Peak</v>
      </c>
      <c r="S520" s="1" t="str">
        <f>IF(Bike_Sharing_Master6[[#This Row],[Holiday]]=1,"Holiday","Non-Holiday")</f>
        <v>Non-Holiday</v>
      </c>
      <c r="T520" s="1" t="str">
        <f>IF(Bike_Sharing_Master6[[#This Row],[Cnt]]&lt;80,"Low",IF(Bike_Sharing_Master6[[#This Row],[Cnt]]&lt;160,"Medium","High"))</f>
        <v>Low</v>
      </c>
      <c r="U520" s="1" t="str">
        <f>VLOOKUP(Bike_Sharing_Master6[[#This Row],[Weathersit]],[1]Lookup_Weather!A:B,2,FALSE)</f>
        <v>Clear</v>
      </c>
    </row>
    <row r="521" spans="1:21" x14ac:dyDescent="0.3">
      <c r="A521">
        <v>520</v>
      </c>
      <c r="B521" s="3">
        <v>40566</v>
      </c>
      <c r="C521" s="1">
        <v>1</v>
      </c>
      <c r="D521" s="1">
        <v>0</v>
      </c>
      <c r="E521" s="1">
        <v>1</v>
      </c>
      <c r="F521" s="1">
        <v>18</v>
      </c>
      <c r="G521" t="b">
        <v>0</v>
      </c>
      <c r="H521" s="1">
        <v>0</v>
      </c>
      <c r="I521" s="1">
        <v>1</v>
      </c>
      <c r="J521" s="2">
        <v>0.12</v>
      </c>
      <c r="K521" s="2">
        <v>0.1212</v>
      </c>
      <c r="L521" s="2">
        <v>0.3</v>
      </c>
      <c r="M521" s="2">
        <v>0.25369999999999998</v>
      </c>
      <c r="N521" s="1">
        <v>5</v>
      </c>
      <c r="O521" s="1">
        <v>44</v>
      </c>
      <c r="P521" s="1">
        <v>49</v>
      </c>
      <c r="Q521" s="1" t="str">
        <f>IF(WEEKDAY(Bike_Sharing_Master6[[#This Row],[Dteday]],2)&gt;=6,"Weekend","Weekday")</f>
        <v>Weekend</v>
      </c>
      <c r="R521" s="1" t="str">
        <f xml:space="preserve"> IF(Bike_Sharing_Master6[[#This Row],[Hr]]&lt;6,"Late Night", IF(Bike_Sharing_Master6[[#This Row],[Hr]]&lt;10,"Morning Peak", IF(Bike_Sharing_Master6[[#This Row],[Hr]]&lt;17,"Daytime", IF(Bike_Sharing_Master6[[#This Row],[Hr]]&lt;21,"Evening Peak","Night"))))</f>
        <v>Evening Peak</v>
      </c>
      <c r="S521" s="1" t="str">
        <f>IF(Bike_Sharing_Master6[[#This Row],[Holiday]]=1,"Holiday","Non-Holiday")</f>
        <v>Non-Holiday</v>
      </c>
      <c r="T521" s="1" t="str">
        <f>IF(Bike_Sharing_Master6[[#This Row],[Cnt]]&lt;80,"Low",IF(Bike_Sharing_Master6[[#This Row],[Cnt]]&lt;160,"Medium","High"))</f>
        <v>Low</v>
      </c>
      <c r="U521" s="1" t="str">
        <f>VLOOKUP(Bike_Sharing_Master6[[#This Row],[Weathersit]],[1]Lookup_Weather!A:B,2,FALSE)</f>
        <v>Clear</v>
      </c>
    </row>
    <row r="522" spans="1:21" x14ac:dyDescent="0.3">
      <c r="A522">
        <v>521</v>
      </c>
      <c r="B522" s="3">
        <v>40566</v>
      </c>
      <c r="C522" s="1">
        <v>1</v>
      </c>
      <c r="D522" s="1">
        <v>0</v>
      </c>
      <c r="E522" s="1">
        <v>1</v>
      </c>
      <c r="F522" s="1">
        <v>19</v>
      </c>
      <c r="G522" t="b">
        <v>0</v>
      </c>
      <c r="H522" s="1">
        <v>0</v>
      </c>
      <c r="I522" s="1">
        <v>1</v>
      </c>
      <c r="J522" s="2">
        <v>0.12</v>
      </c>
      <c r="K522" s="2">
        <v>0.1212</v>
      </c>
      <c r="L522" s="2">
        <v>0.3</v>
      </c>
      <c r="M522" s="2">
        <v>0.28360000000000002</v>
      </c>
      <c r="N522" s="1">
        <v>5</v>
      </c>
      <c r="O522" s="1">
        <v>45</v>
      </c>
      <c r="P522" s="1">
        <v>50</v>
      </c>
      <c r="Q522" s="1" t="str">
        <f>IF(WEEKDAY(Bike_Sharing_Master6[[#This Row],[Dteday]],2)&gt;=6,"Weekend","Weekday")</f>
        <v>Weekend</v>
      </c>
      <c r="R522" s="1" t="str">
        <f xml:space="preserve"> IF(Bike_Sharing_Master6[[#This Row],[Hr]]&lt;6,"Late Night", IF(Bike_Sharing_Master6[[#This Row],[Hr]]&lt;10,"Morning Peak", IF(Bike_Sharing_Master6[[#This Row],[Hr]]&lt;17,"Daytime", IF(Bike_Sharing_Master6[[#This Row],[Hr]]&lt;21,"Evening Peak","Night"))))</f>
        <v>Evening Peak</v>
      </c>
      <c r="S522" s="1" t="str">
        <f>IF(Bike_Sharing_Master6[[#This Row],[Holiday]]=1,"Holiday","Non-Holiday")</f>
        <v>Non-Holiday</v>
      </c>
      <c r="T522" s="1" t="str">
        <f>IF(Bike_Sharing_Master6[[#This Row],[Cnt]]&lt;80,"Low",IF(Bike_Sharing_Master6[[#This Row],[Cnt]]&lt;160,"Medium","High"))</f>
        <v>Low</v>
      </c>
      <c r="U522" s="1" t="str">
        <f>VLOOKUP(Bike_Sharing_Master6[[#This Row],[Weathersit]],[1]Lookup_Weather!A:B,2,FALSE)</f>
        <v>Clear</v>
      </c>
    </row>
    <row r="523" spans="1:21" x14ac:dyDescent="0.3">
      <c r="A523">
        <v>522</v>
      </c>
      <c r="B523" s="3">
        <v>40566</v>
      </c>
      <c r="C523" s="1">
        <v>1</v>
      </c>
      <c r="D523" s="1">
        <v>0</v>
      </c>
      <c r="E523" s="1">
        <v>1</v>
      </c>
      <c r="F523" s="1">
        <v>20</v>
      </c>
      <c r="G523" t="b">
        <v>0</v>
      </c>
      <c r="H523" s="1">
        <v>0</v>
      </c>
      <c r="I523" s="1">
        <v>1</v>
      </c>
      <c r="J523" s="2">
        <v>0.1</v>
      </c>
      <c r="K523" s="2">
        <v>0.1061</v>
      </c>
      <c r="L523" s="2">
        <v>0.36</v>
      </c>
      <c r="M523" s="2">
        <v>0.25369999999999998</v>
      </c>
      <c r="N523" s="1">
        <v>4</v>
      </c>
      <c r="O523" s="1">
        <v>31</v>
      </c>
      <c r="P523" s="1">
        <v>35</v>
      </c>
      <c r="Q523" s="1" t="str">
        <f>IF(WEEKDAY(Bike_Sharing_Master6[[#This Row],[Dteday]],2)&gt;=6,"Weekend","Weekday")</f>
        <v>Weekend</v>
      </c>
      <c r="R523" s="1" t="str">
        <f xml:space="preserve"> IF(Bike_Sharing_Master6[[#This Row],[Hr]]&lt;6,"Late Night", IF(Bike_Sharing_Master6[[#This Row],[Hr]]&lt;10,"Morning Peak", IF(Bike_Sharing_Master6[[#This Row],[Hr]]&lt;17,"Daytime", IF(Bike_Sharing_Master6[[#This Row],[Hr]]&lt;21,"Evening Peak","Night"))))</f>
        <v>Evening Peak</v>
      </c>
      <c r="S523" s="1" t="str">
        <f>IF(Bike_Sharing_Master6[[#This Row],[Holiday]]=1,"Holiday","Non-Holiday")</f>
        <v>Non-Holiday</v>
      </c>
      <c r="T523" s="1" t="str">
        <f>IF(Bike_Sharing_Master6[[#This Row],[Cnt]]&lt;80,"Low",IF(Bike_Sharing_Master6[[#This Row],[Cnt]]&lt;160,"Medium","High"))</f>
        <v>Low</v>
      </c>
      <c r="U523" s="1" t="str">
        <f>VLOOKUP(Bike_Sharing_Master6[[#This Row],[Weathersit]],[1]Lookup_Weather!A:B,2,FALSE)</f>
        <v>Clear</v>
      </c>
    </row>
    <row r="524" spans="1:21" x14ac:dyDescent="0.3">
      <c r="A524">
        <v>523</v>
      </c>
      <c r="B524" s="3">
        <v>40566</v>
      </c>
      <c r="C524" s="1">
        <v>1</v>
      </c>
      <c r="D524" s="1">
        <v>0</v>
      </c>
      <c r="E524" s="1">
        <v>1</v>
      </c>
      <c r="F524" s="1">
        <v>21</v>
      </c>
      <c r="G524" t="b">
        <v>0</v>
      </c>
      <c r="H524" s="1">
        <v>0</v>
      </c>
      <c r="I524" s="1">
        <v>1</v>
      </c>
      <c r="J524" s="2">
        <v>0.1</v>
      </c>
      <c r="K524" s="2">
        <v>0.1061</v>
      </c>
      <c r="L524" s="2">
        <v>0.36</v>
      </c>
      <c r="M524" s="2">
        <v>0.19400000000000001</v>
      </c>
      <c r="N524" s="1">
        <v>5</v>
      </c>
      <c r="O524" s="1">
        <v>20</v>
      </c>
      <c r="P524" s="1">
        <v>25</v>
      </c>
      <c r="Q524" s="1" t="str">
        <f>IF(WEEKDAY(Bike_Sharing_Master6[[#This Row],[Dteday]],2)&gt;=6,"Weekend","Weekday")</f>
        <v>Weekend</v>
      </c>
      <c r="R524" s="1" t="str">
        <f xml:space="preserve"> IF(Bike_Sharing_Master6[[#This Row],[Hr]]&lt;6,"Late Night", IF(Bike_Sharing_Master6[[#This Row],[Hr]]&lt;10,"Morning Peak", IF(Bike_Sharing_Master6[[#This Row],[Hr]]&lt;17,"Daytime", IF(Bike_Sharing_Master6[[#This Row],[Hr]]&lt;21,"Evening Peak","Night"))))</f>
        <v>Night</v>
      </c>
      <c r="S524" s="1" t="str">
        <f>IF(Bike_Sharing_Master6[[#This Row],[Holiday]]=1,"Holiday","Non-Holiday")</f>
        <v>Non-Holiday</v>
      </c>
      <c r="T524" s="1" t="str">
        <f>IF(Bike_Sharing_Master6[[#This Row],[Cnt]]&lt;80,"Low",IF(Bike_Sharing_Master6[[#This Row],[Cnt]]&lt;160,"Medium","High"))</f>
        <v>Low</v>
      </c>
      <c r="U524" s="1" t="str">
        <f>VLOOKUP(Bike_Sharing_Master6[[#This Row],[Weathersit]],[1]Lookup_Weather!A:B,2,FALSE)</f>
        <v>Clear</v>
      </c>
    </row>
    <row r="525" spans="1:21" x14ac:dyDescent="0.3">
      <c r="A525">
        <v>524</v>
      </c>
      <c r="B525" s="3">
        <v>40566</v>
      </c>
      <c r="C525" s="1">
        <v>1</v>
      </c>
      <c r="D525" s="1">
        <v>0</v>
      </c>
      <c r="E525" s="1">
        <v>1</v>
      </c>
      <c r="F525" s="1">
        <v>22</v>
      </c>
      <c r="G525" t="b">
        <v>0</v>
      </c>
      <c r="H525" s="1">
        <v>0</v>
      </c>
      <c r="I525" s="1">
        <v>1</v>
      </c>
      <c r="J525" s="2">
        <v>0.08</v>
      </c>
      <c r="K525" s="2">
        <v>9.0899999999999995E-2</v>
      </c>
      <c r="L525" s="2">
        <v>0.38</v>
      </c>
      <c r="M525" s="2">
        <v>0.19400000000000001</v>
      </c>
      <c r="N525" s="1">
        <v>5</v>
      </c>
      <c r="O525" s="1">
        <v>23</v>
      </c>
      <c r="P525" s="1">
        <v>28</v>
      </c>
      <c r="Q525" s="1" t="str">
        <f>IF(WEEKDAY(Bike_Sharing_Master6[[#This Row],[Dteday]],2)&gt;=6,"Weekend","Weekday")</f>
        <v>Weekend</v>
      </c>
      <c r="R525" s="1" t="str">
        <f xml:space="preserve"> IF(Bike_Sharing_Master6[[#This Row],[Hr]]&lt;6,"Late Night", IF(Bike_Sharing_Master6[[#This Row],[Hr]]&lt;10,"Morning Peak", IF(Bike_Sharing_Master6[[#This Row],[Hr]]&lt;17,"Daytime", IF(Bike_Sharing_Master6[[#This Row],[Hr]]&lt;21,"Evening Peak","Night"))))</f>
        <v>Night</v>
      </c>
      <c r="S525" s="1" t="str">
        <f>IF(Bike_Sharing_Master6[[#This Row],[Holiday]]=1,"Holiday","Non-Holiday")</f>
        <v>Non-Holiday</v>
      </c>
      <c r="T525" s="1" t="str">
        <f>IF(Bike_Sharing_Master6[[#This Row],[Cnt]]&lt;80,"Low",IF(Bike_Sharing_Master6[[#This Row],[Cnt]]&lt;160,"Medium","High"))</f>
        <v>Low</v>
      </c>
      <c r="U525" s="1" t="str">
        <f>VLOOKUP(Bike_Sharing_Master6[[#This Row],[Weathersit]],[1]Lookup_Weather!A:B,2,FALSE)</f>
        <v>Clear</v>
      </c>
    </row>
    <row r="526" spans="1:21" x14ac:dyDescent="0.3">
      <c r="A526">
        <v>525</v>
      </c>
      <c r="B526" s="3">
        <v>40566</v>
      </c>
      <c r="C526" s="1">
        <v>1</v>
      </c>
      <c r="D526" s="1">
        <v>0</v>
      </c>
      <c r="E526" s="1">
        <v>1</v>
      </c>
      <c r="F526" s="1">
        <v>23</v>
      </c>
      <c r="G526" t="b">
        <v>0</v>
      </c>
      <c r="H526" s="1">
        <v>0</v>
      </c>
      <c r="I526" s="1">
        <v>1</v>
      </c>
      <c r="J526" s="2">
        <v>0.06</v>
      </c>
      <c r="K526" s="2">
        <v>6.0600000000000001E-2</v>
      </c>
      <c r="L526" s="2">
        <v>0.41</v>
      </c>
      <c r="M526" s="2">
        <v>0.22389999999999999</v>
      </c>
      <c r="N526" s="1">
        <v>4</v>
      </c>
      <c r="O526" s="1">
        <v>17</v>
      </c>
      <c r="P526" s="1">
        <v>21</v>
      </c>
      <c r="Q526" s="1" t="str">
        <f>IF(WEEKDAY(Bike_Sharing_Master6[[#This Row],[Dteday]],2)&gt;=6,"Weekend","Weekday")</f>
        <v>Weekend</v>
      </c>
      <c r="R526" s="1" t="str">
        <f xml:space="preserve"> IF(Bike_Sharing_Master6[[#This Row],[Hr]]&lt;6,"Late Night", IF(Bike_Sharing_Master6[[#This Row],[Hr]]&lt;10,"Morning Peak", IF(Bike_Sharing_Master6[[#This Row],[Hr]]&lt;17,"Daytime", IF(Bike_Sharing_Master6[[#This Row],[Hr]]&lt;21,"Evening Peak","Night"))))</f>
        <v>Night</v>
      </c>
      <c r="S526" s="1" t="str">
        <f>IF(Bike_Sharing_Master6[[#This Row],[Holiday]]=1,"Holiday","Non-Holiday")</f>
        <v>Non-Holiday</v>
      </c>
      <c r="T526" s="1" t="str">
        <f>IF(Bike_Sharing_Master6[[#This Row],[Cnt]]&lt;80,"Low",IF(Bike_Sharing_Master6[[#This Row],[Cnt]]&lt;160,"Medium","High"))</f>
        <v>Low</v>
      </c>
      <c r="U526" s="1" t="str">
        <f>VLOOKUP(Bike_Sharing_Master6[[#This Row],[Weathersit]],[1]Lookup_Weather!A:B,2,FALSE)</f>
        <v>Clear</v>
      </c>
    </row>
    <row r="527" spans="1:21" x14ac:dyDescent="0.3">
      <c r="A527">
        <v>526</v>
      </c>
      <c r="B527" s="3">
        <v>40567</v>
      </c>
      <c r="C527" s="1">
        <v>1</v>
      </c>
      <c r="D527" s="1">
        <v>0</v>
      </c>
      <c r="E527" s="1">
        <v>1</v>
      </c>
      <c r="F527" s="1">
        <v>0</v>
      </c>
      <c r="G527" t="b">
        <v>0</v>
      </c>
      <c r="H527" s="1">
        <v>1</v>
      </c>
      <c r="I527" s="1">
        <v>1</v>
      </c>
      <c r="J527" s="2">
        <v>0.06</v>
      </c>
      <c r="K527" s="2">
        <v>6.0600000000000001E-2</v>
      </c>
      <c r="L527" s="2">
        <v>0.41</v>
      </c>
      <c r="M527" s="2">
        <v>0.19400000000000001</v>
      </c>
      <c r="N527" s="1">
        <v>0</v>
      </c>
      <c r="O527" s="1">
        <v>7</v>
      </c>
      <c r="P527" s="1">
        <v>7</v>
      </c>
      <c r="Q527" s="1" t="str">
        <f>IF(WEEKDAY(Bike_Sharing_Master6[[#This Row],[Dteday]],2)&gt;=6,"Weekend","Weekday")</f>
        <v>Weekday</v>
      </c>
      <c r="R527" s="1" t="str">
        <f xml:space="preserve"> IF(Bike_Sharing_Master6[[#This Row],[Hr]]&lt;6,"Late Night", IF(Bike_Sharing_Master6[[#This Row],[Hr]]&lt;10,"Morning Peak", IF(Bike_Sharing_Master6[[#This Row],[Hr]]&lt;17,"Daytime", IF(Bike_Sharing_Master6[[#This Row],[Hr]]&lt;21,"Evening Peak","Night"))))</f>
        <v>Late Night</v>
      </c>
      <c r="S527" s="1" t="str">
        <f>IF(Bike_Sharing_Master6[[#This Row],[Holiday]]=1,"Holiday","Non-Holiday")</f>
        <v>Non-Holiday</v>
      </c>
      <c r="T527" s="1" t="str">
        <f>IF(Bike_Sharing_Master6[[#This Row],[Cnt]]&lt;80,"Low",IF(Bike_Sharing_Master6[[#This Row],[Cnt]]&lt;160,"Medium","High"))</f>
        <v>Low</v>
      </c>
      <c r="U527" s="1" t="str">
        <f>VLOOKUP(Bike_Sharing_Master6[[#This Row],[Weathersit]],[1]Lookup_Weather!A:B,2,FALSE)</f>
        <v>Clear</v>
      </c>
    </row>
    <row r="528" spans="1:21" x14ac:dyDescent="0.3">
      <c r="A528">
        <v>527</v>
      </c>
      <c r="B528" s="3">
        <v>40567</v>
      </c>
      <c r="C528" s="1">
        <v>1</v>
      </c>
      <c r="D528" s="1">
        <v>0</v>
      </c>
      <c r="E528" s="1">
        <v>1</v>
      </c>
      <c r="F528" s="1">
        <v>1</v>
      </c>
      <c r="G528" t="b">
        <v>0</v>
      </c>
      <c r="H528" s="1">
        <v>1</v>
      </c>
      <c r="I528" s="1">
        <v>1</v>
      </c>
      <c r="J528" s="2">
        <v>0.04</v>
      </c>
      <c r="K528" s="2">
        <v>4.5499999999999999E-2</v>
      </c>
      <c r="L528" s="2">
        <v>0.45</v>
      </c>
      <c r="M528" s="2">
        <v>0.19400000000000001</v>
      </c>
      <c r="N528" s="1">
        <v>0</v>
      </c>
      <c r="O528" s="1">
        <v>1</v>
      </c>
      <c r="P528" s="1">
        <v>1</v>
      </c>
      <c r="Q528" s="1" t="str">
        <f>IF(WEEKDAY(Bike_Sharing_Master6[[#This Row],[Dteday]],2)&gt;=6,"Weekend","Weekday")</f>
        <v>Weekday</v>
      </c>
      <c r="R528" s="1" t="str">
        <f xml:space="preserve"> IF(Bike_Sharing_Master6[[#This Row],[Hr]]&lt;6,"Late Night", IF(Bike_Sharing_Master6[[#This Row],[Hr]]&lt;10,"Morning Peak", IF(Bike_Sharing_Master6[[#This Row],[Hr]]&lt;17,"Daytime", IF(Bike_Sharing_Master6[[#This Row],[Hr]]&lt;21,"Evening Peak","Night"))))</f>
        <v>Late Night</v>
      </c>
      <c r="S528" s="1" t="str">
        <f>IF(Bike_Sharing_Master6[[#This Row],[Holiday]]=1,"Holiday","Non-Holiday")</f>
        <v>Non-Holiday</v>
      </c>
      <c r="T528" s="1" t="str">
        <f>IF(Bike_Sharing_Master6[[#This Row],[Cnt]]&lt;80,"Low",IF(Bike_Sharing_Master6[[#This Row],[Cnt]]&lt;160,"Medium","High"))</f>
        <v>Low</v>
      </c>
      <c r="U528" s="1" t="str">
        <f>VLOOKUP(Bike_Sharing_Master6[[#This Row],[Weathersit]],[1]Lookup_Weather!A:B,2,FALSE)</f>
        <v>Clear</v>
      </c>
    </row>
    <row r="529" spans="1:21" x14ac:dyDescent="0.3">
      <c r="A529">
        <v>528</v>
      </c>
      <c r="B529" s="3">
        <v>40567</v>
      </c>
      <c r="C529" s="1">
        <v>1</v>
      </c>
      <c r="D529" s="1">
        <v>0</v>
      </c>
      <c r="E529" s="1">
        <v>1</v>
      </c>
      <c r="F529" s="1">
        <v>3</v>
      </c>
      <c r="G529" t="b">
        <v>0</v>
      </c>
      <c r="H529" s="1">
        <v>1</v>
      </c>
      <c r="I529" s="1">
        <v>1</v>
      </c>
      <c r="J529" s="2">
        <v>0.04</v>
      </c>
      <c r="K529" s="2">
        <v>3.0300000000000001E-2</v>
      </c>
      <c r="L529" s="2">
        <v>0.45</v>
      </c>
      <c r="M529" s="2">
        <v>0.25369999999999998</v>
      </c>
      <c r="N529" s="1">
        <v>0</v>
      </c>
      <c r="O529" s="1">
        <v>1</v>
      </c>
      <c r="P529" s="1">
        <v>1</v>
      </c>
      <c r="Q529" s="1" t="str">
        <f>IF(WEEKDAY(Bike_Sharing_Master6[[#This Row],[Dteday]],2)&gt;=6,"Weekend","Weekday")</f>
        <v>Weekday</v>
      </c>
      <c r="R529" s="1" t="str">
        <f xml:space="preserve"> IF(Bike_Sharing_Master6[[#This Row],[Hr]]&lt;6,"Late Night", IF(Bike_Sharing_Master6[[#This Row],[Hr]]&lt;10,"Morning Peak", IF(Bike_Sharing_Master6[[#This Row],[Hr]]&lt;17,"Daytime", IF(Bike_Sharing_Master6[[#This Row],[Hr]]&lt;21,"Evening Peak","Night"))))</f>
        <v>Late Night</v>
      </c>
      <c r="S529" s="1" t="str">
        <f>IF(Bike_Sharing_Master6[[#This Row],[Holiday]]=1,"Holiday","Non-Holiday")</f>
        <v>Non-Holiday</v>
      </c>
      <c r="T529" s="1" t="str">
        <f>IF(Bike_Sharing_Master6[[#This Row],[Cnt]]&lt;80,"Low",IF(Bike_Sharing_Master6[[#This Row],[Cnt]]&lt;160,"Medium","High"))</f>
        <v>Low</v>
      </c>
      <c r="U529" s="1" t="str">
        <f>VLOOKUP(Bike_Sharing_Master6[[#This Row],[Weathersit]],[1]Lookup_Weather!A:B,2,FALSE)</f>
        <v>Clear</v>
      </c>
    </row>
    <row r="530" spans="1:21" x14ac:dyDescent="0.3">
      <c r="A530">
        <v>529</v>
      </c>
      <c r="B530" s="3">
        <v>40567</v>
      </c>
      <c r="C530" s="1">
        <v>1</v>
      </c>
      <c r="D530" s="1">
        <v>0</v>
      </c>
      <c r="E530" s="1">
        <v>1</v>
      </c>
      <c r="F530" s="1">
        <v>4</v>
      </c>
      <c r="G530" t="b">
        <v>0</v>
      </c>
      <c r="H530" s="1">
        <v>1</v>
      </c>
      <c r="I530" s="1">
        <v>1</v>
      </c>
      <c r="J530" s="2">
        <v>0.02</v>
      </c>
      <c r="K530" s="2">
        <v>6.0600000000000001E-2</v>
      </c>
      <c r="L530" s="2">
        <v>0.48</v>
      </c>
      <c r="M530" s="2">
        <v>0.1343</v>
      </c>
      <c r="N530" s="1">
        <v>0</v>
      </c>
      <c r="O530" s="1">
        <v>1</v>
      </c>
      <c r="P530" s="1">
        <v>1</v>
      </c>
      <c r="Q530" s="1" t="str">
        <f>IF(WEEKDAY(Bike_Sharing_Master6[[#This Row],[Dteday]],2)&gt;=6,"Weekend","Weekday")</f>
        <v>Weekday</v>
      </c>
      <c r="R530" s="1" t="str">
        <f xml:space="preserve"> IF(Bike_Sharing_Master6[[#This Row],[Hr]]&lt;6,"Late Night", IF(Bike_Sharing_Master6[[#This Row],[Hr]]&lt;10,"Morning Peak", IF(Bike_Sharing_Master6[[#This Row],[Hr]]&lt;17,"Daytime", IF(Bike_Sharing_Master6[[#This Row],[Hr]]&lt;21,"Evening Peak","Night"))))</f>
        <v>Late Night</v>
      </c>
      <c r="S530" s="1" t="str">
        <f>IF(Bike_Sharing_Master6[[#This Row],[Holiday]]=1,"Holiday","Non-Holiday")</f>
        <v>Non-Holiday</v>
      </c>
      <c r="T530" s="1" t="str">
        <f>IF(Bike_Sharing_Master6[[#This Row],[Cnt]]&lt;80,"Low",IF(Bike_Sharing_Master6[[#This Row],[Cnt]]&lt;160,"Medium","High"))</f>
        <v>Low</v>
      </c>
      <c r="U530" s="1" t="str">
        <f>VLOOKUP(Bike_Sharing_Master6[[#This Row],[Weathersit]],[1]Lookup_Weather!A:B,2,FALSE)</f>
        <v>Clear</v>
      </c>
    </row>
    <row r="531" spans="1:21" x14ac:dyDescent="0.3">
      <c r="A531">
        <v>530</v>
      </c>
      <c r="B531" s="3">
        <v>40567</v>
      </c>
      <c r="C531" s="1">
        <v>1</v>
      </c>
      <c r="D531" s="1">
        <v>0</v>
      </c>
      <c r="E531" s="1">
        <v>1</v>
      </c>
      <c r="F531" s="1">
        <v>5</v>
      </c>
      <c r="G531" t="b">
        <v>0</v>
      </c>
      <c r="H531" s="1">
        <v>1</v>
      </c>
      <c r="I531" s="1">
        <v>1</v>
      </c>
      <c r="J531" s="2">
        <v>0.02</v>
      </c>
      <c r="K531" s="2">
        <v>6.0600000000000001E-2</v>
      </c>
      <c r="L531" s="2">
        <v>0.48</v>
      </c>
      <c r="M531" s="2">
        <v>0.1343</v>
      </c>
      <c r="N531" s="1">
        <v>0</v>
      </c>
      <c r="O531" s="1">
        <v>5</v>
      </c>
      <c r="P531" s="1">
        <v>5</v>
      </c>
      <c r="Q531" s="1" t="str">
        <f>IF(WEEKDAY(Bike_Sharing_Master6[[#This Row],[Dteday]],2)&gt;=6,"Weekend","Weekday")</f>
        <v>Weekday</v>
      </c>
      <c r="R531" s="1" t="str">
        <f xml:space="preserve"> IF(Bike_Sharing_Master6[[#This Row],[Hr]]&lt;6,"Late Night", IF(Bike_Sharing_Master6[[#This Row],[Hr]]&lt;10,"Morning Peak", IF(Bike_Sharing_Master6[[#This Row],[Hr]]&lt;17,"Daytime", IF(Bike_Sharing_Master6[[#This Row],[Hr]]&lt;21,"Evening Peak","Night"))))</f>
        <v>Late Night</v>
      </c>
      <c r="S531" s="1" t="str">
        <f>IF(Bike_Sharing_Master6[[#This Row],[Holiday]]=1,"Holiday","Non-Holiday")</f>
        <v>Non-Holiday</v>
      </c>
      <c r="T531" s="1" t="str">
        <f>IF(Bike_Sharing_Master6[[#This Row],[Cnt]]&lt;80,"Low",IF(Bike_Sharing_Master6[[#This Row],[Cnt]]&lt;160,"Medium","High"))</f>
        <v>Low</v>
      </c>
      <c r="U531" s="1" t="str">
        <f>VLOOKUP(Bike_Sharing_Master6[[#This Row],[Weathersit]],[1]Lookup_Weather!A:B,2,FALSE)</f>
        <v>Clear</v>
      </c>
    </row>
    <row r="532" spans="1:21" x14ac:dyDescent="0.3">
      <c r="A532">
        <v>531</v>
      </c>
      <c r="B532" s="3">
        <v>40567</v>
      </c>
      <c r="C532" s="1">
        <v>1</v>
      </c>
      <c r="D532" s="1">
        <v>0</v>
      </c>
      <c r="E532" s="1">
        <v>1</v>
      </c>
      <c r="F532" s="1">
        <v>6</v>
      </c>
      <c r="G532" t="b">
        <v>0</v>
      </c>
      <c r="H532" s="1">
        <v>1</v>
      </c>
      <c r="I532" s="1">
        <v>1</v>
      </c>
      <c r="J532" s="2">
        <v>0.02</v>
      </c>
      <c r="K532" s="2">
        <v>7.5800000000000006E-2</v>
      </c>
      <c r="L532" s="2">
        <v>0.48</v>
      </c>
      <c r="M532" s="2">
        <v>8.9599999999999999E-2</v>
      </c>
      <c r="N532" s="1">
        <v>0</v>
      </c>
      <c r="O532" s="1">
        <v>15</v>
      </c>
      <c r="P532" s="1">
        <v>15</v>
      </c>
      <c r="Q532" s="1" t="str">
        <f>IF(WEEKDAY(Bike_Sharing_Master6[[#This Row],[Dteday]],2)&gt;=6,"Weekend","Weekday")</f>
        <v>Weekday</v>
      </c>
      <c r="R532" s="1" t="str">
        <f xml:space="preserve"> IF(Bike_Sharing_Master6[[#This Row],[Hr]]&lt;6,"Late Night", IF(Bike_Sharing_Master6[[#This Row],[Hr]]&lt;10,"Morning Peak", IF(Bike_Sharing_Master6[[#This Row],[Hr]]&lt;17,"Daytime", IF(Bike_Sharing_Master6[[#This Row],[Hr]]&lt;21,"Evening Peak","Night"))))</f>
        <v>Morning Peak</v>
      </c>
      <c r="S532" s="1" t="str">
        <f>IF(Bike_Sharing_Master6[[#This Row],[Holiday]]=1,"Holiday","Non-Holiday")</f>
        <v>Non-Holiday</v>
      </c>
      <c r="T532" s="1" t="str">
        <f>IF(Bike_Sharing_Master6[[#This Row],[Cnt]]&lt;80,"Low",IF(Bike_Sharing_Master6[[#This Row],[Cnt]]&lt;160,"Medium","High"))</f>
        <v>Low</v>
      </c>
      <c r="U532" s="1" t="str">
        <f>VLOOKUP(Bike_Sharing_Master6[[#This Row],[Weathersit]],[1]Lookup_Weather!A:B,2,FALSE)</f>
        <v>Clear</v>
      </c>
    </row>
    <row r="533" spans="1:21" x14ac:dyDescent="0.3">
      <c r="A533">
        <v>532</v>
      </c>
      <c r="B533" s="3">
        <v>40567</v>
      </c>
      <c r="C533" s="1">
        <v>1</v>
      </c>
      <c r="D533" s="1">
        <v>0</v>
      </c>
      <c r="E533" s="1">
        <v>1</v>
      </c>
      <c r="F533" s="1">
        <v>7</v>
      </c>
      <c r="G533" t="b">
        <v>0</v>
      </c>
      <c r="H533" s="1">
        <v>1</v>
      </c>
      <c r="I533" s="1">
        <v>1</v>
      </c>
      <c r="J533" s="2">
        <v>0.02</v>
      </c>
      <c r="K533" s="2">
        <v>0.1212</v>
      </c>
      <c r="L533" s="2">
        <v>0.48</v>
      </c>
      <c r="M533" s="2">
        <v>0</v>
      </c>
      <c r="N533" s="1">
        <v>5</v>
      </c>
      <c r="O533" s="1">
        <v>79</v>
      </c>
      <c r="P533" s="1">
        <v>84</v>
      </c>
      <c r="Q533" s="1" t="str">
        <f>IF(WEEKDAY(Bike_Sharing_Master6[[#This Row],[Dteday]],2)&gt;=6,"Weekend","Weekday")</f>
        <v>Weekday</v>
      </c>
      <c r="R533" s="1" t="str">
        <f xml:space="preserve"> IF(Bike_Sharing_Master6[[#This Row],[Hr]]&lt;6,"Late Night", IF(Bike_Sharing_Master6[[#This Row],[Hr]]&lt;10,"Morning Peak", IF(Bike_Sharing_Master6[[#This Row],[Hr]]&lt;17,"Daytime", IF(Bike_Sharing_Master6[[#This Row],[Hr]]&lt;21,"Evening Peak","Night"))))</f>
        <v>Morning Peak</v>
      </c>
      <c r="S533" s="1" t="str">
        <f>IF(Bike_Sharing_Master6[[#This Row],[Holiday]]=1,"Holiday","Non-Holiday")</f>
        <v>Non-Holiday</v>
      </c>
      <c r="T533" s="1" t="str">
        <f>IF(Bike_Sharing_Master6[[#This Row],[Cnt]]&lt;80,"Low",IF(Bike_Sharing_Master6[[#This Row],[Cnt]]&lt;160,"Medium","High"))</f>
        <v>Medium</v>
      </c>
      <c r="U533" s="1" t="str">
        <f>VLOOKUP(Bike_Sharing_Master6[[#This Row],[Weathersit]],[1]Lookup_Weather!A:B,2,FALSE)</f>
        <v>Clear</v>
      </c>
    </row>
    <row r="534" spans="1:21" x14ac:dyDescent="0.3">
      <c r="A534">
        <v>533</v>
      </c>
      <c r="B534" s="3">
        <v>40567</v>
      </c>
      <c r="C534" s="1">
        <v>1</v>
      </c>
      <c r="D534" s="1">
        <v>0</v>
      </c>
      <c r="E534" s="1">
        <v>1</v>
      </c>
      <c r="F534" s="1">
        <v>8</v>
      </c>
      <c r="G534" t="b">
        <v>0</v>
      </c>
      <c r="H534" s="1">
        <v>1</v>
      </c>
      <c r="I534" s="1">
        <v>1</v>
      </c>
      <c r="J534" s="2">
        <v>0.04</v>
      </c>
      <c r="K534" s="2">
        <v>0.13639999999999999</v>
      </c>
      <c r="L534" s="2">
        <v>0.49</v>
      </c>
      <c r="M534" s="2">
        <v>0</v>
      </c>
      <c r="N534" s="1">
        <v>6</v>
      </c>
      <c r="O534" s="1">
        <v>171</v>
      </c>
      <c r="P534" s="1">
        <v>177</v>
      </c>
      <c r="Q534" s="1" t="str">
        <f>IF(WEEKDAY(Bike_Sharing_Master6[[#This Row],[Dteday]],2)&gt;=6,"Weekend","Weekday")</f>
        <v>Weekday</v>
      </c>
      <c r="R534" s="1" t="str">
        <f xml:space="preserve"> IF(Bike_Sharing_Master6[[#This Row],[Hr]]&lt;6,"Late Night", IF(Bike_Sharing_Master6[[#This Row],[Hr]]&lt;10,"Morning Peak", IF(Bike_Sharing_Master6[[#This Row],[Hr]]&lt;17,"Daytime", IF(Bike_Sharing_Master6[[#This Row],[Hr]]&lt;21,"Evening Peak","Night"))))</f>
        <v>Morning Peak</v>
      </c>
      <c r="S534" s="1" t="str">
        <f>IF(Bike_Sharing_Master6[[#This Row],[Holiday]]=1,"Holiday","Non-Holiday")</f>
        <v>Non-Holiday</v>
      </c>
      <c r="T534" s="1" t="str">
        <f>IF(Bike_Sharing_Master6[[#This Row],[Cnt]]&lt;80,"Low",IF(Bike_Sharing_Master6[[#This Row],[Cnt]]&lt;160,"Medium","High"))</f>
        <v>High</v>
      </c>
      <c r="U534" s="1" t="str">
        <f>VLOOKUP(Bike_Sharing_Master6[[#This Row],[Weathersit]],[1]Lookup_Weather!A:B,2,FALSE)</f>
        <v>Clear</v>
      </c>
    </row>
    <row r="535" spans="1:21" x14ac:dyDescent="0.3">
      <c r="A535">
        <v>534</v>
      </c>
      <c r="B535" s="3">
        <v>40567</v>
      </c>
      <c r="C535" s="1">
        <v>1</v>
      </c>
      <c r="D535" s="1">
        <v>0</v>
      </c>
      <c r="E535" s="1">
        <v>1</v>
      </c>
      <c r="F535" s="1">
        <v>9</v>
      </c>
      <c r="G535" t="b">
        <v>0</v>
      </c>
      <c r="H535" s="1">
        <v>1</v>
      </c>
      <c r="I535" s="1">
        <v>1</v>
      </c>
      <c r="J535" s="2">
        <v>0.06</v>
      </c>
      <c r="K535" s="2">
        <v>0.1515</v>
      </c>
      <c r="L535" s="2">
        <v>0.41</v>
      </c>
      <c r="M535" s="2">
        <v>0</v>
      </c>
      <c r="N535" s="1">
        <v>4</v>
      </c>
      <c r="O535" s="1">
        <v>98</v>
      </c>
      <c r="P535" s="1">
        <v>102</v>
      </c>
      <c r="Q535" s="1" t="str">
        <f>IF(WEEKDAY(Bike_Sharing_Master6[[#This Row],[Dteday]],2)&gt;=6,"Weekend","Weekday")</f>
        <v>Weekday</v>
      </c>
      <c r="R535" s="1" t="str">
        <f xml:space="preserve"> IF(Bike_Sharing_Master6[[#This Row],[Hr]]&lt;6,"Late Night", IF(Bike_Sharing_Master6[[#This Row],[Hr]]&lt;10,"Morning Peak", IF(Bike_Sharing_Master6[[#This Row],[Hr]]&lt;17,"Daytime", IF(Bike_Sharing_Master6[[#This Row],[Hr]]&lt;21,"Evening Peak","Night"))))</f>
        <v>Morning Peak</v>
      </c>
      <c r="S535" s="1" t="str">
        <f>IF(Bike_Sharing_Master6[[#This Row],[Holiday]]=1,"Holiday","Non-Holiday")</f>
        <v>Non-Holiday</v>
      </c>
      <c r="T535" s="1" t="str">
        <f>IF(Bike_Sharing_Master6[[#This Row],[Cnt]]&lt;80,"Low",IF(Bike_Sharing_Master6[[#This Row],[Cnt]]&lt;160,"Medium","High"))</f>
        <v>Medium</v>
      </c>
      <c r="U535" s="1" t="str">
        <f>VLOOKUP(Bike_Sharing_Master6[[#This Row],[Weathersit]],[1]Lookup_Weather!A:B,2,FALSE)</f>
        <v>Clear</v>
      </c>
    </row>
    <row r="536" spans="1:21" x14ac:dyDescent="0.3">
      <c r="A536">
        <v>535</v>
      </c>
      <c r="B536" s="3">
        <v>40567</v>
      </c>
      <c r="C536" s="1">
        <v>1</v>
      </c>
      <c r="D536" s="1">
        <v>0</v>
      </c>
      <c r="E536" s="1">
        <v>1</v>
      </c>
      <c r="F536" s="1">
        <v>10</v>
      </c>
      <c r="G536" t="b">
        <v>0</v>
      </c>
      <c r="H536" s="1">
        <v>1</v>
      </c>
      <c r="I536" s="1">
        <v>1</v>
      </c>
      <c r="J536" s="2">
        <v>0.1</v>
      </c>
      <c r="K536" s="2">
        <v>0.13639999999999999</v>
      </c>
      <c r="L536" s="2">
        <v>0.42</v>
      </c>
      <c r="M536" s="2">
        <v>0</v>
      </c>
      <c r="N536" s="1">
        <v>6</v>
      </c>
      <c r="O536" s="1">
        <v>34</v>
      </c>
      <c r="P536" s="1">
        <v>40</v>
      </c>
      <c r="Q536" s="1" t="str">
        <f>IF(WEEKDAY(Bike_Sharing_Master6[[#This Row],[Dteday]],2)&gt;=6,"Weekend","Weekday")</f>
        <v>Weekday</v>
      </c>
      <c r="R536" s="1" t="str">
        <f xml:space="preserve"> IF(Bike_Sharing_Master6[[#This Row],[Hr]]&lt;6,"Late Night", IF(Bike_Sharing_Master6[[#This Row],[Hr]]&lt;10,"Morning Peak", IF(Bike_Sharing_Master6[[#This Row],[Hr]]&lt;17,"Daytime", IF(Bike_Sharing_Master6[[#This Row],[Hr]]&lt;21,"Evening Peak","Night"))))</f>
        <v>Daytime</v>
      </c>
      <c r="S536" s="1" t="str">
        <f>IF(Bike_Sharing_Master6[[#This Row],[Holiday]]=1,"Holiday","Non-Holiday")</f>
        <v>Non-Holiday</v>
      </c>
      <c r="T536" s="1" t="str">
        <f>IF(Bike_Sharing_Master6[[#This Row],[Cnt]]&lt;80,"Low",IF(Bike_Sharing_Master6[[#This Row],[Cnt]]&lt;160,"Medium","High"))</f>
        <v>Low</v>
      </c>
      <c r="U536" s="1" t="str">
        <f>VLOOKUP(Bike_Sharing_Master6[[#This Row],[Weathersit]],[1]Lookup_Weather!A:B,2,FALSE)</f>
        <v>Clear</v>
      </c>
    </row>
    <row r="537" spans="1:21" x14ac:dyDescent="0.3">
      <c r="A537">
        <v>536</v>
      </c>
      <c r="B537" s="3">
        <v>40567</v>
      </c>
      <c r="C537" s="1">
        <v>1</v>
      </c>
      <c r="D537" s="1">
        <v>0</v>
      </c>
      <c r="E537" s="1">
        <v>1</v>
      </c>
      <c r="F537" s="1">
        <v>11</v>
      </c>
      <c r="G537" t="b">
        <v>0</v>
      </c>
      <c r="H537" s="1">
        <v>1</v>
      </c>
      <c r="I537" s="1">
        <v>1</v>
      </c>
      <c r="J537" s="2">
        <v>0.1</v>
      </c>
      <c r="K537" s="2">
        <v>0.1212</v>
      </c>
      <c r="L537" s="2">
        <v>0.46</v>
      </c>
      <c r="M537" s="2">
        <v>0.1343</v>
      </c>
      <c r="N537" s="1">
        <v>3</v>
      </c>
      <c r="O537" s="1">
        <v>43</v>
      </c>
      <c r="P537" s="1">
        <v>46</v>
      </c>
      <c r="Q537" s="1" t="str">
        <f>IF(WEEKDAY(Bike_Sharing_Master6[[#This Row],[Dteday]],2)&gt;=6,"Weekend","Weekday")</f>
        <v>Weekday</v>
      </c>
      <c r="R537" s="1" t="str">
        <f xml:space="preserve"> IF(Bike_Sharing_Master6[[#This Row],[Hr]]&lt;6,"Late Night", IF(Bike_Sharing_Master6[[#This Row],[Hr]]&lt;10,"Morning Peak", IF(Bike_Sharing_Master6[[#This Row],[Hr]]&lt;17,"Daytime", IF(Bike_Sharing_Master6[[#This Row],[Hr]]&lt;21,"Evening Peak","Night"))))</f>
        <v>Daytime</v>
      </c>
      <c r="S537" s="1" t="str">
        <f>IF(Bike_Sharing_Master6[[#This Row],[Holiday]]=1,"Holiday","Non-Holiday")</f>
        <v>Non-Holiday</v>
      </c>
      <c r="T537" s="1" t="str">
        <f>IF(Bike_Sharing_Master6[[#This Row],[Cnt]]&lt;80,"Low",IF(Bike_Sharing_Master6[[#This Row],[Cnt]]&lt;160,"Medium","High"))</f>
        <v>Low</v>
      </c>
      <c r="U537" s="1" t="str">
        <f>VLOOKUP(Bike_Sharing_Master6[[#This Row],[Weathersit]],[1]Lookup_Weather!A:B,2,FALSE)</f>
        <v>Clear</v>
      </c>
    </row>
    <row r="538" spans="1:21" x14ac:dyDescent="0.3">
      <c r="A538">
        <v>537</v>
      </c>
      <c r="B538" s="3">
        <v>40567</v>
      </c>
      <c r="C538" s="1">
        <v>1</v>
      </c>
      <c r="D538" s="1">
        <v>0</v>
      </c>
      <c r="E538" s="1">
        <v>1</v>
      </c>
      <c r="F538" s="1">
        <v>12</v>
      </c>
      <c r="G538" t="b">
        <v>0</v>
      </c>
      <c r="H538" s="1">
        <v>1</v>
      </c>
      <c r="I538" s="1">
        <v>2</v>
      </c>
      <c r="J538" s="2">
        <v>0.12</v>
      </c>
      <c r="K538" s="2">
        <v>0.13639999999999999</v>
      </c>
      <c r="L538" s="2">
        <v>0.42</v>
      </c>
      <c r="M538" s="2">
        <v>0.19400000000000001</v>
      </c>
      <c r="N538" s="1">
        <v>11</v>
      </c>
      <c r="O538" s="1">
        <v>52</v>
      </c>
      <c r="P538" s="1">
        <v>63</v>
      </c>
      <c r="Q538" s="1" t="str">
        <f>IF(WEEKDAY(Bike_Sharing_Master6[[#This Row],[Dteday]],2)&gt;=6,"Weekend","Weekday")</f>
        <v>Weekday</v>
      </c>
      <c r="R538" s="1" t="str">
        <f xml:space="preserve"> IF(Bike_Sharing_Master6[[#This Row],[Hr]]&lt;6,"Late Night", IF(Bike_Sharing_Master6[[#This Row],[Hr]]&lt;10,"Morning Peak", IF(Bike_Sharing_Master6[[#This Row],[Hr]]&lt;17,"Daytime", IF(Bike_Sharing_Master6[[#This Row],[Hr]]&lt;21,"Evening Peak","Night"))))</f>
        <v>Daytime</v>
      </c>
      <c r="S538" s="1" t="str">
        <f>IF(Bike_Sharing_Master6[[#This Row],[Holiday]]=1,"Holiday","Non-Holiday")</f>
        <v>Non-Holiday</v>
      </c>
      <c r="T538" s="1" t="str">
        <f>IF(Bike_Sharing_Master6[[#This Row],[Cnt]]&lt;80,"Low",IF(Bike_Sharing_Master6[[#This Row],[Cnt]]&lt;160,"Medium","High"))</f>
        <v>Low</v>
      </c>
      <c r="U538" s="1" t="str">
        <f>VLOOKUP(Bike_Sharing_Master6[[#This Row],[Weathersit]],[1]Lookup_Weather!A:B,2,FALSE)</f>
        <v>Mist</v>
      </c>
    </row>
    <row r="539" spans="1:21" x14ac:dyDescent="0.3">
      <c r="A539">
        <v>538</v>
      </c>
      <c r="B539" s="3">
        <v>40567</v>
      </c>
      <c r="C539" s="1">
        <v>1</v>
      </c>
      <c r="D539" s="1">
        <v>0</v>
      </c>
      <c r="E539" s="1">
        <v>1</v>
      </c>
      <c r="F539" s="1">
        <v>13</v>
      </c>
      <c r="G539" t="b">
        <v>0</v>
      </c>
      <c r="H539" s="1">
        <v>1</v>
      </c>
      <c r="I539" s="1">
        <v>2</v>
      </c>
      <c r="J539" s="2">
        <v>0.14000000000000001</v>
      </c>
      <c r="K539" s="2">
        <v>0.13639999999999999</v>
      </c>
      <c r="L539" s="2">
        <v>0.43</v>
      </c>
      <c r="M539" s="2">
        <v>0.22389999999999999</v>
      </c>
      <c r="N539" s="1">
        <v>6</v>
      </c>
      <c r="O539" s="1">
        <v>54</v>
      </c>
      <c r="P539" s="1">
        <v>60</v>
      </c>
      <c r="Q539" s="1" t="str">
        <f>IF(WEEKDAY(Bike_Sharing_Master6[[#This Row],[Dteday]],2)&gt;=6,"Weekend","Weekday")</f>
        <v>Weekday</v>
      </c>
      <c r="R539" s="1" t="str">
        <f xml:space="preserve"> IF(Bike_Sharing_Master6[[#This Row],[Hr]]&lt;6,"Late Night", IF(Bike_Sharing_Master6[[#This Row],[Hr]]&lt;10,"Morning Peak", IF(Bike_Sharing_Master6[[#This Row],[Hr]]&lt;17,"Daytime", IF(Bike_Sharing_Master6[[#This Row],[Hr]]&lt;21,"Evening Peak","Night"))))</f>
        <v>Daytime</v>
      </c>
      <c r="S539" s="1" t="str">
        <f>IF(Bike_Sharing_Master6[[#This Row],[Holiday]]=1,"Holiday","Non-Holiday")</f>
        <v>Non-Holiday</v>
      </c>
      <c r="T539" s="1" t="str">
        <f>IF(Bike_Sharing_Master6[[#This Row],[Cnt]]&lt;80,"Low",IF(Bike_Sharing_Master6[[#This Row],[Cnt]]&lt;160,"Medium","High"))</f>
        <v>Low</v>
      </c>
      <c r="U539" s="1" t="str">
        <f>VLOOKUP(Bike_Sharing_Master6[[#This Row],[Weathersit]],[1]Lookup_Weather!A:B,2,FALSE)</f>
        <v>Mist</v>
      </c>
    </row>
    <row r="540" spans="1:21" x14ac:dyDescent="0.3">
      <c r="A540">
        <v>539</v>
      </c>
      <c r="B540" s="3">
        <v>40567</v>
      </c>
      <c r="C540" s="1">
        <v>1</v>
      </c>
      <c r="D540" s="1">
        <v>0</v>
      </c>
      <c r="E540" s="1">
        <v>1</v>
      </c>
      <c r="F540" s="1">
        <v>14</v>
      </c>
      <c r="G540" t="b">
        <v>0</v>
      </c>
      <c r="H540" s="1">
        <v>1</v>
      </c>
      <c r="I540" s="1">
        <v>2</v>
      </c>
      <c r="J540" s="2">
        <v>0.14000000000000001</v>
      </c>
      <c r="K540" s="2">
        <v>0.13639999999999999</v>
      </c>
      <c r="L540" s="2">
        <v>0.46</v>
      </c>
      <c r="M540" s="2">
        <v>0.22389999999999999</v>
      </c>
      <c r="N540" s="1">
        <v>2</v>
      </c>
      <c r="O540" s="1">
        <v>43</v>
      </c>
      <c r="P540" s="1">
        <v>45</v>
      </c>
      <c r="Q540" s="1" t="str">
        <f>IF(WEEKDAY(Bike_Sharing_Master6[[#This Row],[Dteday]],2)&gt;=6,"Weekend","Weekday")</f>
        <v>Weekday</v>
      </c>
      <c r="R540" s="1" t="str">
        <f xml:space="preserve"> IF(Bike_Sharing_Master6[[#This Row],[Hr]]&lt;6,"Late Night", IF(Bike_Sharing_Master6[[#This Row],[Hr]]&lt;10,"Morning Peak", IF(Bike_Sharing_Master6[[#This Row],[Hr]]&lt;17,"Daytime", IF(Bike_Sharing_Master6[[#This Row],[Hr]]&lt;21,"Evening Peak","Night"))))</f>
        <v>Daytime</v>
      </c>
      <c r="S540" s="1" t="str">
        <f>IF(Bike_Sharing_Master6[[#This Row],[Holiday]]=1,"Holiday","Non-Holiday")</f>
        <v>Non-Holiday</v>
      </c>
      <c r="T540" s="1" t="str">
        <f>IF(Bike_Sharing_Master6[[#This Row],[Cnt]]&lt;80,"Low",IF(Bike_Sharing_Master6[[#This Row],[Cnt]]&lt;160,"Medium","High"))</f>
        <v>Low</v>
      </c>
      <c r="U540" s="1" t="str">
        <f>VLOOKUP(Bike_Sharing_Master6[[#This Row],[Weathersit]],[1]Lookup_Weather!A:B,2,FALSE)</f>
        <v>Mist</v>
      </c>
    </row>
    <row r="541" spans="1:21" x14ac:dyDescent="0.3">
      <c r="A541">
        <v>540</v>
      </c>
      <c r="B541" s="3">
        <v>40567</v>
      </c>
      <c r="C541" s="1">
        <v>1</v>
      </c>
      <c r="D541" s="1">
        <v>0</v>
      </c>
      <c r="E541" s="1">
        <v>1</v>
      </c>
      <c r="F541" s="1">
        <v>15</v>
      </c>
      <c r="G541" t="b">
        <v>0</v>
      </c>
      <c r="H541" s="1">
        <v>1</v>
      </c>
      <c r="I541" s="1">
        <v>1</v>
      </c>
      <c r="J541" s="2">
        <v>0.16</v>
      </c>
      <c r="K541" s="2">
        <v>0.16669999999999999</v>
      </c>
      <c r="L541" s="2">
        <v>0.4</v>
      </c>
      <c r="M541" s="2">
        <v>0.16420000000000001</v>
      </c>
      <c r="N541" s="1">
        <v>7</v>
      </c>
      <c r="O541" s="1">
        <v>50</v>
      </c>
      <c r="P541" s="1">
        <v>57</v>
      </c>
      <c r="Q541" s="1" t="str">
        <f>IF(WEEKDAY(Bike_Sharing_Master6[[#This Row],[Dteday]],2)&gt;=6,"Weekend","Weekday")</f>
        <v>Weekday</v>
      </c>
      <c r="R541" s="1" t="str">
        <f xml:space="preserve"> IF(Bike_Sharing_Master6[[#This Row],[Hr]]&lt;6,"Late Night", IF(Bike_Sharing_Master6[[#This Row],[Hr]]&lt;10,"Morning Peak", IF(Bike_Sharing_Master6[[#This Row],[Hr]]&lt;17,"Daytime", IF(Bike_Sharing_Master6[[#This Row],[Hr]]&lt;21,"Evening Peak","Night"))))</f>
        <v>Daytime</v>
      </c>
      <c r="S541" s="1" t="str">
        <f>IF(Bike_Sharing_Master6[[#This Row],[Holiday]]=1,"Holiday","Non-Holiday")</f>
        <v>Non-Holiday</v>
      </c>
      <c r="T541" s="1" t="str">
        <f>IF(Bike_Sharing_Master6[[#This Row],[Cnt]]&lt;80,"Low",IF(Bike_Sharing_Master6[[#This Row],[Cnt]]&lt;160,"Medium","High"))</f>
        <v>Low</v>
      </c>
      <c r="U541" s="1" t="str">
        <f>VLOOKUP(Bike_Sharing_Master6[[#This Row],[Weathersit]],[1]Lookup_Weather!A:B,2,FALSE)</f>
        <v>Clear</v>
      </c>
    </row>
    <row r="542" spans="1:21" x14ac:dyDescent="0.3">
      <c r="A542">
        <v>541</v>
      </c>
      <c r="B542" s="3">
        <v>40567</v>
      </c>
      <c r="C542" s="1">
        <v>1</v>
      </c>
      <c r="D542" s="1">
        <v>0</v>
      </c>
      <c r="E542" s="1">
        <v>1</v>
      </c>
      <c r="F542" s="1">
        <v>16</v>
      </c>
      <c r="G542" t="b">
        <v>0</v>
      </c>
      <c r="H542" s="1">
        <v>1</v>
      </c>
      <c r="I542" s="1">
        <v>1</v>
      </c>
      <c r="J542" s="2">
        <v>0.16</v>
      </c>
      <c r="K542" s="2">
        <v>0.1515</v>
      </c>
      <c r="L542" s="2">
        <v>0.47</v>
      </c>
      <c r="M542" s="2">
        <v>0.25369999999999998</v>
      </c>
      <c r="N542" s="1">
        <v>4</v>
      </c>
      <c r="O542" s="1">
        <v>66</v>
      </c>
      <c r="P542" s="1">
        <v>70</v>
      </c>
      <c r="Q542" s="1" t="str">
        <f>IF(WEEKDAY(Bike_Sharing_Master6[[#This Row],[Dteday]],2)&gt;=6,"Weekend","Weekday")</f>
        <v>Weekday</v>
      </c>
      <c r="R542" s="1" t="str">
        <f xml:space="preserve"> IF(Bike_Sharing_Master6[[#This Row],[Hr]]&lt;6,"Late Night", IF(Bike_Sharing_Master6[[#This Row],[Hr]]&lt;10,"Morning Peak", IF(Bike_Sharing_Master6[[#This Row],[Hr]]&lt;17,"Daytime", IF(Bike_Sharing_Master6[[#This Row],[Hr]]&lt;21,"Evening Peak","Night"))))</f>
        <v>Daytime</v>
      </c>
      <c r="S542" s="1" t="str">
        <f>IF(Bike_Sharing_Master6[[#This Row],[Holiday]]=1,"Holiday","Non-Holiday")</f>
        <v>Non-Holiday</v>
      </c>
      <c r="T542" s="1" t="str">
        <f>IF(Bike_Sharing_Master6[[#This Row],[Cnt]]&lt;80,"Low",IF(Bike_Sharing_Master6[[#This Row],[Cnt]]&lt;160,"Medium","High"))</f>
        <v>Low</v>
      </c>
      <c r="U542" s="1" t="str">
        <f>VLOOKUP(Bike_Sharing_Master6[[#This Row],[Weathersit]],[1]Lookup_Weather!A:B,2,FALSE)</f>
        <v>Clear</v>
      </c>
    </row>
    <row r="543" spans="1:21" x14ac:dyDescent="0.3">
      <c r="A543">
        <v>542</v>
      </c>
      <c r="B543" s="3">
        <v>40567</v>
      </c>
      <c r="C543" s="1">
        <v>1</v>
      </c>
      <c r="D543" s="1">
        <v>0</v>
      </c>
      <c r="E543" s="1">
        <v>1</v>
      </c>
      <c r="F543" s="1">
        <v>17</v>
      </c>
      <c r="G543" t="b">
        <v>0</v>
      </c>
      <c r="H543" s="1">
        <v>1</v>
      </c>
      <c r="I543" s="1">
        <v>1</v>
      </c>
      <c r="J543" s="2">
        <v>0.14000000000000001</v>
      </c>
      <c r="K543" s="2">
        <v>0.1212</v>
      </c>
      <c r="L543" s="2">
        <v>0.5</v>
      </c>
      <c r="M543" s="2">
        <v>0.25369999999999998</v>
      </c>
      <c r="N543" s="1">
        <v>6</v>
      </c>
      <c r="O543" s="1">
        <v>178</v>
      </c>
      <c r="P543" s="1">
        <v>184</v>
      </c>
      <c r="Q543" s="1" t="str">
        <f>IF(WEEKDAY(Bike_Sharing_Master6[[#This Row],[Dteday]],2)&gt;=6,"Weekend","Weekday")</f>
        <v>Weekday</v>
      </c>
      <c r="R543" s="1" t="str">
        <f xml:space="preserve"> IF(Bike_Sharing_Master6[[#This Row],[Hr]]&lt;6,"Late Night", IF(Bike_Sharing_Master6[[#This Row],[Hr]]&lt;10,"Morning Peak", IF(Bike_Sharing_Master6[[#This Row],[Hr]]&lt;17,"Daytime", IF(Bike_Sharing_Master6[[#This Row],[Hr]]&lt;21,"Evening Peak","Night"))))</f>
        <v>Evening Peak</v>
      </c>
      <c r="S543" s="1" t="str">
        <f>IF(Bike_Sharing_Master6[[#This Row],[Holiday]]=1,"Holiday","Non-Holiday")</f>
        <v>Non-Holiday</v>
      </c>
      <c r="T543" s="1" t="str">
        <f>IF(Bike_Sharing_Master6[[#This Row],[Cnt]]&lt;80,"Low",IF(Bike_Sharing_Master6[[#This Row],[Cnt]]&lt;160,"Medium","High"))</f>
        <v>High</v>
      </c>
      <c r="U543" s="1" t="str">
        <f>VLOOKUP(Bike_Sharing_Master6[[#This Row],[Weathersit]],[1]Lookup_Weather!A:B,2,FALSE)</f>
        <v>Clear</v>
      </c>
    </row>
    <row r="544" spans="1:21" x14ac:dyDescent="0.3">
      <c r="A544">
        <v>543</v>
      </c>
      <c r="B544" s="3">
        <v>40567</v>
      </c>
      <c r="C544" s="1">
        <v>1</v>
      </c>
      <c r="D544" s="1">
        <v>0</v>
      </c>
      <c r="E544" s="1">
        <v>1</v>
      </c>
      <c r="F544" s="1">
        <v>18</v>
      </c>
      <c r="G544" t="b">
        <v>0</v>
      </c>
      <c r="H544" s="1">
        <v>1</v>
      </c>
      <c r="I544" s="1">
        <v>1</v>
      </c>
      <c r="J544" s="2">
        <v>0.14000000000000001</v>
      </c>
      <c r="K544" s="2">
        <v>0.13639999999999999</v>
      </c>
      <c r="L544" s="2">
        <v>0.59</v>
      </c>
      <c r="M544" s="2">
        <v>0.19400000000000001</v>
      </c>
      <c r="N544" s="1">
        <v>8</v>
      </c>
      <c r="O544" s="1">
        <v>145</v>
      </c>
      <c r="P544" s="1">
        <v>153</v>
      </c>
      <c r="Q544" s="1" t="str">
        <f>IF(WEEKDAY(Bike_Sharing_Master6[[#This Row],[Dteday]],2)&gt;=6,"Weekend","Weekday")</f>
        <v>Weekday</v>
      </c>
      <c r="R544" s="1" t="str">
        <f xml:space="preserve"> IF(Bike_Sharing_Master6[[#This Row],[Hr]]&lt;6,"Late Night", IF(Bike_Sharing_Master6[[#This Row],[Hr]]&lt;10,"Morning Peak", IF(Bike_Sharing_Master6[[#This Row],[Hr]]&lt;17,"Daytime", IF(Bike_Sharing_Master6[[#This Row],[Hr]]&lt;21,"Evening Peak","Night"))))</f>
        <v>Evening Peak</v>
      </c>
      <c r="S544" s="1" t="str">
        <f>IF(Bike_Sharing_Master6[[#This Row],[Holiday]]=1,"Holiday","Non-Holiday")</f>
        <v>Non-Holiday</v>
      </c>
      <c r="T544" s="1" t="str">
        <f>IF(Bike_Sharing_Master6[[#This Row],[Cnt]]&lt;80,"Low",IF(Bike_Sharing_Master6[[#This Row],[Cnt]]&lt;160,"Medium","High"))</f>
        <v>Medium</v>
      </c>
      <c r="U544" s="1" t="str">
        <f>VLOOKUP(Bike_Sharing_Master6[[#This Row],[Weathersit]],[1]Lookup_Weather!A:B,2,FALSE)</f>
        <v>Clear</v>
      </c>
    </row>
    <row r="545" spans="1:21" x14ac:dyDescent="0.3">
      <c r="A545">
        <v>544</v>
      </c>
      <c r="B545" s="3">
        <v>40567</v>
      </c>
      <c r="C545" s="1">
        <v>1</v>
      </c>
      <c r="D545" s="1">
        <v>0</v>
      </c>
      <c r="E545" s="1">
        <v>1</v>
      </c>
      <c r="F545" s="1">
        <v>19</v>
      </c>
      <c r="G545" t="b">
        <v>0</v>
      </c>
      <c r="H545" s="1">
        <v>1</v>
      </c>
      <c r="I545" s="1">
        <v>1</v>
      </c>
      <c r="J545" s="2">
        <v>0.14000000000000001</v>
      </c>
      <c r="K545" s="2">
        <v>0.1515</v>
      </c>
      <c r="L545" s="2">
        <v>0.54</v>
      </c>
      <c r="M545" s="2">
        <v>0.16420000000000001</v>
      </c>
      <c r="N545" s="1">
        <v>5</v>
      </c>
      <c r="O545" s="1">
        <v>101</v>
      </c>
      <c r="P545" s="1">
        <v>106</v>
      </c>
      <c r="Q545" s="1" t="str">
        <f>IF(WEEKDAY(Bike_Sharing_Master6[[#This Row],[Dteday]],2)&gt;=6,"Weekend","Weekday")</f>
        <v>Weekday</v>
      </c>
      <c r="R545" s="1" t="str">
        <f xml:space="preserve"> IF(Bike_Sharing_Master6[[#This Row],[Hr]]&lt;6,"Late Night", IF(Bike_Sharing_Master6[[#This Row],[Hr]]&lt;10,"Morning Peak", IF(Bike_Sharing_Master6[[#This Row],[Hr]]&lt;17,"Daytime", IF(Bike_Sharing_Master6[[#This Row],[Hr]]&lt;21,"Evening Peak","Night"))))</f>
        <v>Evening Peak</v>
      </c>
      <c r="S545" s="1" t="str">
        <f>IF(Bike_Sharing_Master6[[#This Row],[Holiday]]=1,"Holiday","Non-Holiday")</f>
        <v>Non-Holiday</v>
      </c>
      <c r="T545" s="1" t="str">
        <f>IF(Bike_Sharing_Master6[[#This Row],[Cnt]]&lt;80,"Low",IF(Bike_Sharing_Master6[[#This Row],[Cnt]]&lt;160,"Medium","High"))</f>
        <v>Medium</v>
      </c>
      <c r="U545" s="1" t="str">
        <f>VLOOKUP(Bike_Sharing_Master6[[#This Row],[Weathersit]],[1]Lookup_Weather!A:B,2,FALSE)</f>
        <v>Clear</v>
      </c>
    </row>
    <row r="546" spans="1:21" x14ac:dyDescent="0.3">
      <c r="A546">
        <v>545</v>
      </c>
      <c r="B546" s="3">
        <v>40567</v>
      </c>
      <c r="C546" s="1">
        <v>1</v>
      </c>
      <c r="D546" s="1">
        <v>0</v>
      </c>
      <c r="E546" s="1">
        <v>1</v>
      </c>
      <c r="F546" s="1">
        <v>20</v>
      </c>
      <c r="G546" t="b">
        <v>0</v>
      </c>
      <c r="H546" s="1">
        <v>1</v>
      </c>
      <c r="I546" s="1">
        <v>1</v>
      </c>
      <c r="J546" s="2">
        <v>0.14000000000000001</v>
      </c>
      <c r="K546" s="2">
        <v>0.13639999999999999</v>
      </c>
      <c r="L546" s="2">
        <v>0.59</v>
      </c>
      <c r="M546" s="2">
        <v>0.19400000000000001</v>
      </c>
      <c r="N546" s="1">
        <v>1</v>
      </c>
      <c r="O546" s="1">
        <v>80</v>
      </c>
      <c r="P546" s="1">
        <v>81</v>
      </c>
      <c r="Q546" s="1" t="str">
        <f>IF(WEEKDAY(Bike_Sharing_Master6[[#This Row],[Dteday]],2)&gt;=6,"Weekend","Weekday")</f>
        <v>Weekday</v>
      </c>
      <c r="R546" s="1" t="str">
        <f xml:space="preserve"> IF(Bike_Sharing_Master6[[#This Row],[Hr]]&lt;6,"Late Night", IF(Bike_Sharing_Master6[[#This Row],[Hr]]&lt;10,"Morning Peak", IF(Bike_Sharing_Master6[[#This Row],[Hr]]&lt;17,"Daytime", IF(Bike_Sharing_Master6[[#This Row],[Hr]]&lt;21,"Evening Peak","Night"))))</f>
        <v>Evening Peak</v>
      </c>
      <c r="S546" s="1" t="str">
        <f>IF(Bike_Sharing_Master6[[#This Row],[Holiday]]=1,"Holiday","Non-Holiday")</f>
        <v>Non-Holiday</v>
      </c>
      <c r="T546" s="1" t="str">
        <f>IF(Bike_Sharing_Master6[[#This Row],[Cnt]]&lt;80,"Low",IF(Bike_Sharing_Master6[[#This Row],[Cnt]]&lt;160,"Medium","High"))</f>
        <v>Medium</v>
      </c>
      <c r="U546" s="1" t="str">
        <f>VLOOKUP(Bike_Sharing_Master6[[#This Row],[Weathersit]],[1]Lookup_Weather!A:B,2,FALSE)</f>
        <v>Clear</v>
      </c>
    </row>
    <row r="547" spans="1:21" x14ac:dyDescent="0.3">
      <c r="A547">
        <v>546</v>
      </c>
      <c r="B547" s="3">
        <v>40567</v>
      </c>
      <c r="C547" s="1">
        <v>1</v>
      </c>
      <c r="D547" s="1">
        <v>0</v>
      </c>
      <c r="E547" s="1">
        <v>1</v>
      </c>
      <c r="F547" s="1">
        <v>21</v>
      </c>
      <c r="G547" t="b">
        <v>0</v>
      </c>
      <c r="H547" s="1">
        <v>1</v>
      </c>
      <c r="I547" s="1">
        <v>1</v>
      </c>
      <c r="J547" s="2">
        <v>0.14000000000000001</v>
      </c>
      <c r="K547" s="2">
        <v>0.1515</v>
      </c>
      <c r="L547" s="2">
        <v>0.63</v>
      </c>
      <c r="M547" s="2">
        <v>0.16420000000000001</v>
      </c>
      <c r="N547" s="1">
        <v>6</v>
      </c>
      <c r="O547" s="1">
        <v>53</v>
      </c>
      <c r="P547" s="1">
        <v>59</v>
      </c>
      <c r="Q547" s="1" t="str">
        <f>IF(WEEKDAY(Bike_Sharing_Master6[[#This Row],[Dteday]],2)&gt;=6,"Weekend","Weekday")</f>
        <v>Weekday</v>
      </c>
      <c r="R547" s="1" t="str">
        <f xml:space="preserve"> IF(Bike_Sharing_Master6[[#This Row],[Hr]]&lt;6,"Late Night", IF(Bike_Sharing_Master6[[#This Row],[Hr]]&lt;10,"Morning Peak", IF(Bike_Sharing_Master6[[#This Row],[Hr]]&lt;17,"Daytime", IF(Bike_Sharing_Master6[[#This Row],[Hr]]&lt;21,"Evening Peak","Night"))))</f>
        <v>Night</v>
      </c>
      <c r="S547" s="1" t="str">
        <f>IF(Bike_Sharing_Master6[[#This Row],[Holiday]]=1,"Holiday","Non-Holiday")</f>
        <v>Non-Holiday</v>
      </c>
      <c r="T547" s="1" t="str">
        <f>IF(Bike_Sharing_Master6[[#This Row],[Cnt]]&lt;80,"Low",IF(Bike_Sharing_Master6[[#This Row],[Cnt]]&lt;160,"Medium","High"))</f>
        <v>Low</v>
      </c>
      <c r="U547" s="1" t="str">
        <f>VLOOKUP(Bike_Sharing_Master6[[#This Row],[Weathersit]],[1]Lookup_Weather!A:B,2,FALSE)</f>
        <v>Clear</v>
      </c>
    </row>
    <row r="548" spans="1:21" x14ac:dyDescent="0.3">
      <c r="A548">
        <v>547</v>
      </c>
      <c r="B548" s="3">
        <v>40567</v>
      </c>
      <c r="C548" s="1">
        <v>1</v>
      </c>
      <c r="D548" s="1">
        <v>0</v>
      </c>
      <c r="E548" s="1">
        <v>1</v>
      </c>
      <c r="F548" s="1">
        <v>22</v>
      </c>
      <c r="G548" t="b">
        <v>0</v>
      </c>
      <c r="H548" s="1">
        <v>1</v>
      </c>
      <c r="I548" s="1">
        <v>2</v>
      </c>
      <c r="J548" s="2">
        <v>0.14000000000000001</v>
      </c>
      <c r="K548" s="2">
        <v>0.13639999999999999</v>
      </c>
      <c r="L548" s="2">
        <v>0.63</v>
      </c>
      <c r="M548" s="2">
        <v>0.22389999999999999</v>
      </c>
      <c r="N548" s="1">
        <v>3</v>
      </c>
      <c r="O548" s="1">
        <v>32</v>
      </c>
      <c r="P548" s="1">
        <v>35</v>
      </c>
      <c r="Q548" s="1" t="str">
        <f>IF(WEEKDAY(Bike_Sharing_Master6[[#This Row],[Dteday]],2)&gt;=6,"Weekend","Weekday")</f>
        <v>Weekday</v>
      </c>
      <c r="R548" s="1" t="str">
        <f xml:space="preserve"> IF(Bike_Sharing_Master6[[#This Row],[Hr]]&lt;6,"Late Night", IF(Bike_Sharing_Master6[[#This Row],[Hr]]&lt;10,"Morning Peak", IF(Bike_Sharing_Master6[[#This Row],[Hr]]&lt;17,"Daytime", IF(Bike_Sharing_Master6[[#This Row],[Hr]]&lt;21,"Evening Peak","Night"))))</f>
        <v>Night</v>
      </c>
      <c r="S548" s="1" t="str">
        <f>IF(Bike_Sharing_Master6[[#This Row],[Holiday]]=1,"Holiday","Non-Holiday")</f>
        <v>Non-Holiday</v>
      </c>
      <c r="T548" s="1" t="str">
        <f>IF(Bike_Sharing_Master6[[#This Row],[Cnt]]&lt;80,"Low",IF(Bike_Sharing_Master6[[#This Row],[Cnt]]&lt;160,"Medium","High"))</f>
        <v>Low</v>
      </c>
      <c r="U548" s="1" t="str">
        <f>VLOOKUP(Bike_Sharing_Master6[[#This Row],[Weathersit]],[1]Lookup_Weather!A:B,2,FALSE)</f>
        <v>Mist</v>
      </c>
    </row>
    <row r="549" spans="1:21" x14ac:dyDescent="0.3">
      <c r="A549">
        <v>548</v>
      </c>
      <c r="B549" s="3">
        <v>40567</v>
      </c>
      <c r="C549" s="1">
        <v>1</v>
      </c>
      <c r="D549" s="1">
        <v>0</v>
      </c>
      <c r="E549" s="1">
        <v>1</v>
      </c>
      <c r="F549" s="1">
        <v>23</v>
      </c>
      <c r="G549" t="b">
        <v>0</v>
      </c>
      <c r="H549" s="1">
        <v>1</v>
      </c>
      <c r="I549" s="1">
        <v>2</v>
      </c>
      <c r="J549" s="2">
        <v>0.16</v>
      </c>
      <c r="K549" s="2">
        <v>0.1515</v>
      </c>
      <c r="L549" s="2">
        <v>0.64</v>
      </c>
      <c r="M549" s="2">
        <v>0.25369999999999998</v>
      </c>
      <c r="N549" s="1">
        <v>3</v>
      </c>
      <c r="O549" s="1">
        <v>21</v>
      </c>
      <c r="P549" s="1">
        <v>24</v>
      </c>
      <c r="Q549" s="1" t="str">
        <f>IF(WEEKDAY(Bike_Sharing_Master6[[#This Row],[Dteday]],2)&gt;=6,"Weekend","Weekday")</f>
        <v>Weekday</v>
      </c>
      <c r="R549" s="1" t="str">
        <f xml:space="preserve"> IF(Bike_Sharing_Master6[[#This Row],[Hr]]&lt;6,"Late Night", IF(Bike_Sharing_Master6[[#This Row],[Hr]]&lt;10,"Morning Peak", IF(Bike_Sharing_Master6[[#This Row],[Hr]]&lt;17,"Daytime", IF(Bike_Sharing_Master6[[#This Row],[Hr]]&lt;21,"Evening Peak","Night"))))</f>
        <v>Night</v>
      </c>
      <c r="S549" s="1" t="str">
        <f>IF(Bike_Sharing_Master6[[#This Row],[Holiday]]=1,"Holiday","Non-Holiday")</f>
        <v>Non-Holiday</v>
      </c>
      <c r="T549" s="1" t="str">
        <f>IF(Bike_Sharing_Master6[[#This Row],[Cnt]]&lt;80,"Low",IF(Bike_Sharing_Master6[[#This Row],[Cnt]]&lt;160,"Medium","High"))</f>
        <v>Low</v>
      </c>
      <c r="U549" s="1" t="str">
        <f>VLOOKUP(Bike_Sharing_Master6[[#This Row],[Weathersit]],[1]Lookup_Weather!A:B,2,FALSE)</f>
        <v>Mist</v>
      </c>
    </row>
    <row r="550" spans="1:21" x14ac:dyDescent="0.3">
      <c r="A550">
        <v>549</v>
      </c>
      <c r="B550" s="3">
        <v>40568</v>
      </c>
      <c r="C550" s="1">
        <v>1</v>
      </c>
      <c r="D550" s="1">
        <v>0</v>
      </c>
      <c r="E550" s="1">
        <v>1</v>
      </c>
      <c r="F550" s="1">
        <v>0</v>
      </c>
      <c r="G550" t="b">
        <v>0</v>
      </c>
      <c r="H550" s="1">
        <v>2</v>
      </c>
      <c r="I550" s="1">
        <v>2</v>
      </c>
      <c r="J550" s="2">
        <v>0.16</v>
      </c>
      <c r="K550" s="2">
        <v>0.13639999999999999</v>
      </c>
      <c r="L550" s="2">
        <v>0.69</v>
      </c>
      <c r="M550" s="2">
        <v>0.28360000000000002</v>
      </c>
      <c r="N550" s="1">
        <v>3</v>
      </c>
      <c r="O550" s="1">
        <v>6</v>
      </c>
      <c r="P550" s="1">
        <v>9</v>
      </c>
      <c r="Q550" s="1" t="str">
        <f>IF(WEEKDAY(Bike_Sharing_Master6[[#This Row],[Dteday]],2)&gt;=6,"Weekend","Weekday")</f>
        <v>Weekday</v>
      </c>
      <c r="R550" s="1" t="str">
        <f xml:space="preserve"> IF(Bike_Sharing_Master6[[#This Row],[Hr]]&lt;6,"Late Night", IF(Bike_Sharing_Master6[[#This Row],[Hr]]&lt;10,"Morning Peak", IF(Bike_Sharing_Master6[[#This Row],[Hr]]&lt;17,"Daytime", IF(Bike_Sharing_Master6[[#This Row],[Hr]]&lt;21,"Evening Peak","Night"))))</f>
        <v>Late Night</v>
      </c>
      <c r="S550" s="1" t="str">
        <f>IF(Bike_Sharing_Master6[[#This Row],[Holiday]]=1,"Holiday","Non-Holiday")</f>
        <v>Non-Holiday</v>
      </c>
      <c r="T550" s="1" t="str">
        <f>IF(Bike_Sharing_Master6[[#This Row],[Cnt]]&lt;80,"Low",IF(Bike_Sharing_Master6[[#This Row],[Cnt]]&lt;160,"Medium","High"))</f>
        <v>Low</v>
      </c>
      <c r="U550" s="1" t="str">
        <f>VLOOKUP(Bike_Sharing_Master6[[#This Row],[Weathersit]],[1]Lookup_Weather!A:B,2,FALSE)</f>
        <v>Mist</v>
      </c>
    </row>
    <row r="551" spans="1:21" x14ac:dyDescent="0.3">
      <c r="A551">
        <v>550</v>
      </c>
      <c r="B551" s="3">
        <v>40568</v>
      </c>
      <c r="C551" s="1">
        <v>1</v>
      </c>
      <c r="D551" s="1">
        <v>0</v>
      </c>
      <c r="E551" s="1">
        <v>1</v>
      </c>
      <c r="F551" s="1">
        <v>1</v>
      </c>
      <c r="G551" t="b">
        <v>0</v>
      </c>
      <c r="H551" s="1">
        <v>2</v>
      </c>
      <c r="I551" s="1">
        <v>2</v>
      </c>
      <c r="J551" s="2">
        <v>0.16</v>
      </c>
      <c r="K551" s="2">
        <v>0.16669999999999999</v>
      </c>
      <c r="L551" s="2">
        <v>0.69</v>
      </c>
      <c r="M551" s="2">
        <v>0.16420000000000001</v>
      </c>
      <c r="N551" s="1">
        <v>0</v>
      </c>
      <c r="O551" s="1">
        <v>5</v>
      </c>
      <c r="P551" s="1">
        <v>5</v>
      </c>
      <c r="Q551" s="1" t="str">
        <f>IF(WEEKDAY(Bike_Sharing_Master6[[#This Row],[Dteday]],2)&gt;=6,"Weekend","Weekday")</f>
        <v>Weekday</v>
      </c>
      <c r="R551" s="1" t="str">
        <f xml:space="preserve"> IF(Bike_Sharing_Master6[[#This Row],[Hr]]&lt;6,"Late Night", IF(Bike_Sharing_Master6[[#This Row],[Hr]]&lt;10,"Morning Peak", IF(Bike_Sharing_Master6[[#This Row],[Hr]]&lt;17,"Daytime", IF(Bike_Sharing_Master6[[#This Row],[Hr]]&lt;21,"Evening Peak","Night"))))</f>
        <v>Late Night</v>
      </c>
      <c r="S551" s="1" t="str">
        <f>IF(Bike_Sharing_Master6[[#This Row],[Holiday]]=1,"Holiday","Non-Holiday")</f>
        <v>Non-Holiday</v>
      </c>
      <c r="T551" s="1" t="str">
        <f>IF(Bike_Sharing_Master6[[#This Row],[Cnt]]&lt;80,"Low",IF(Bike_Sharing_Master6[[#This Row],[Cnt]]&lt;160,"Medium","High"))</f>
        <v>Low</v>
      </c>
      <c r="U551" s="1" t="str">
        <f>VLOOKUP(Bike_Sharing_Master6[[#This Row],[Weathersit]],[1]Lookup_Weather!A:B,2,FALSE)</f>
        <v>Mist</v>
      </c>
    </row>
    <row r="552" spans="1:21" x14ac:dyDescent="0.3">
      <c r="A552">
        <v>551</v>
      </c>
      <c r="B552" s="3">
        <v>40568</v>
      </c>
      <c r="C552" s="1">
        <v>1</v>
      </c>
      <c r="D552" s="1">
        <v>0</v>
      </c>
      <c r="E552" s="1">
        <v>1</v>
      </c>
      <c r="F552" s="1">
        <v>2</v>
      </c>
      <c r="G552" t="b">
        <v>0</v>
      </c>
      <c r="H552" s="1">
        <v>2</v>
      </c>
      <c r="I552" s="1">
        <v>1</v>
      </c>
      <c r="J552" s="2">
        <v>0.16</v>
      </c>
      <c r="K552" s="2">
        <v>0.1515</v>
      </c>
      <c r="L552" s="2">
        <v>0.69</v>
      </c>
      <c r="M552" s="2">
        <v>0.22389999999999999</v>
      </c>
      <c r="N552" s="1">
        <v>0</v>
      </c>
      <c r="O552" s="1">
        <v>2</v>
      </c>
      <c r="P552" s="1">
        <v>2</v>
      </c>
      <c r="Q552" s="1" t="str">
        <f>IF(WEEKDAY(Bike_Sharing_Master6[[#This Row],[Dteday]],2)&gt;=6,"Weekend","Weekday")</f>
        <v>Weekday</v>
      </c>
      <c r="R552" s="1" t="str">
        <f xml:space="preserve"> IF(Bike_Sharing_Master6[[#This Row],[Hr]]&lt;6,"Late Night", IF(Bike_Sharing_Master6[[#This Row],[Hr]]&lt;10,"Morning Peak", IF(Bike_Sharing_Master6[[#This Row],[Hr]]&lt;17,"Daytime", IF(Bike_Sharing_Master6[[#This Row],[Hr]]&lt;21,"Evening Peak","Night"))))</f>
        <v>Late Night</v>
      </c>
      <c r="S552" s="1" t="str">
        <f>IF(Bike_Sharing_Master6[[#This Row],[Holiday]]=1,"Holiday","Non-Holiday")</f>
        <v>Non-Holiday</v>
      </c>
      <c r="T552" s="1" t="str">
        <f>IF(Bike_Sharing_Master6[[#This Row],[Cnt]]&lt;80,"Low",IF(Bike_Sharing_Master6[[#This Row],[Cnt]]&lt;160,"Medium","High"))</f>
        <v>Low</v>
      </c>
      <c r="U552" s="1" t="str">
        <f>VLOOKUP(Bike_Sharing_Master6[[#This Row],[Weathersit]],[1]Lookup_Weather!A:B,2,FALSE)</f>
        <v>Clear</v>
      </c>
    </row>
    <row r="553" spans="1:21" x14ac:dyDescent="0.3">
      <c r="A553">
        <v>552</v>
      </c>
      <c r="B553" s="3">
        <v>40568</v>
      </c>
      <c r="C553" s="1">
        <v>1</v>
      </c>
      <c r="D553" s="1">
        <v>0</v>
      </c>
      <c r="E553" s="1">
        <v>1</v>
      </c>
      <c r="F553" s="1">
        <v>4</v>
      </c>
      <c r="G553" t="b">
        <v>0</v>
      </c>
      <c r="H553" s="1">
        <v>2</v>
      </c>
      <c r="I553" s="1">
        <v>1</v>
      </c>
      <c r="J553" s="2">
        <v>0.14000000000000001</v>
      </c>
      <c r="K553" s="2">
        <v>0.16669999999999999</v>
      </c>
      <c r="L553" s="2">
        <v>0.74</v>
      </c>
      <c r="M553" s="2">
        <v>0.1045</v>
      </c>
      <c r="N553" s="1">
        <v>0</v>
      </c>
      <c r="O553" s="1">
        <v>1</v>
      </c>
      <c r="P553" s="1">
        <v>1</v>
      </c>
      <c r="Q553" s="1" t="str">
        <f>IF(WEEKDAY(Bike_Sharing_Master6[[#This Row],[Dteday]],2)&gt;=6,"Weekend","Weekday")</f>
        <v>Weekday</v>
      </c>
      <c r="R553" s="1" t="str">
        <f xml:space="preserve"> IF(Bike_Sharing_Master6[[#This Row],[Hr]]&lt;6,"Late Night", IF(Bike_Sharing_Master6[[#This Row],[Hr]]&lt;10,"Morning Peak", IF(Bike_Sharing_Master6[[#This Row],[Hr]]&lt;17,"Daytime", IF(Bike_Sharing_Master6[[#This Row],[Hr]]&lt;21,"Evening Peak","Night"))))</f>
        <v>Late Night</v>
      </c>
      <c r="S553" s="1" t="str">
        <f>IF(Bike_Sharing_Master6[[#This Row],[Holiday]]=1,"Holiday","Non-Holiday")</f>
        <v>Non-Holiday</v>
      </c>
      <c r="T553" s="1" t="str">
        <f>IF(Bike_Sharing_Master6[[#This Row],[Cnt]]&lt;80,"Low",IF(Bike_Sharing_Master6[[#This Row],[Cnt]]&lt;160,"Medium","High"))</f>
        <v>Low</v>
      </c>
      <c r="U553" s="1" t="str">
        <f>VLOOKUP(Bike_Sharing_Master6[[#This Row],[Weathersit]],[1]Lookup_Weather!A:B,2,FALSE)</f>
        <v>Clear</v>
      </c>
    </row>
    <row r="554" spans="1:21" x14ac:dyDescent="0.3">
      <c r="A554">
        <v>553</v>
      </c>
      <c r="B554" s="3">
        <v>40568</v>
      </c>
      <c r="C554" s="1">
        <v>1</v>
      </c>
      <c r="D554" s="1">
        <v>0</v>
      </c>
      <c r="E554" s="1">
        <v>1</v>
      </c>
      <c r="F554" s="1">
        <v>5</v>
      </c>
      <c r="G554" t="b">
        <v>0</v>
      </c>
      <c r="H554" s="1">
        <v>2</v>
      </c>
      <c r="I554" s="1">
        <v>1</v>
      </c>
      <c r="J554" s="2">
        <v>0.14000000000000001</v>
      </c>
      <c r="K554" s="2">
        <v>0.13639999999999999</v>
      </c>
      <c r="L554" s="2">
        <v>0.74</v>
      </c>
      <c r="M554" s="2">
        <v>0.22389999999999999</v>
      </c>
      <c r="N554" s="1">
        <v>0</v>
      </c>
      <c r="O554" s="1">
        <v>9</v>
      </c>
      <c r="P554" s="1">
        <v>9</v>
      </c>
      <c r="Q554" s="1" t="str">
        <f>IF(WEEKDAY(Bike_Sharing_Master6[[#This Row],[Dteday]],2)&gt;=6,"Weekend","Weekday")</f>
        <v>Weekday</v>
      </c>
      <c r="R554" s="1" t="str">
        <f xml:space="preserve"> IF(Bike_Sharing_Master6[[#This Row],[Hr]]&lt;6,"Late Night", IF(Bike_Sharing_Master6[[#This Row],[Hr]]&lt;10,"Morning Peak", IF(Bike_Sharing_Master6[[#This Row],[Hr]]&lt;17,"Daytime", IF(Bike_Sharing_Master6[[#This Row],[Hr]]&lt;21,"Evening Peak","Night"))))</f>
        <v>Late Night</v>
      </c>
      <c r="S554" s="1" t="str">
        <f>IF(Bike_Sharing_Master6[[#This Row],[Holiday]]=1,"Holiday","Non-Holiday")</f>
        <v>Non-Holiday</v>
      </c>
      <c r="T554" s="1" t="str">
        <f>IF(Bike_Sharing_Master6[[#This Row],[Cnt]]&lt;80,"Low",IF(Bike_Sharing_Master6[[#This Row],[Cnt]]&lt;160,"Medium","High"))</f>
        <v>Low</v>
      </c>
      <c r="U554" s="1" t="str">
        <f>VLOOKUP(Bike_Sharing_Master6[[#This Row],[Weathersit]],[1]Lookup_Weather!A:B,2,FALSE)</f>
        <v>Clear</v>
      </c>
    </row>
    <row r="555" spans="1:21" x14ac:dyDescent="0.3">
      <c r="A555">
        <v>554</v>
      </c>
      <c r="B555" s="3">
        <v>40568</v>
      </c>
      <c r="C555" s="1">
        <v>1</v>
      </c>
      <c r="D555" s="1">
        <v>0</v>
      </c>
      <c r="E555" s="1">
        <v>1</v>
      </c>
      <c r="F555" s="1">
        <v>6</v>
      </c>
      <c r="G555" t="b">
        <v>0</v>
      </c>
      <c r="H555" s="1">
        <v>2</v>
      </c>
      <c r="I555" s="1">
        <v>1</v>
      </c>
      <c r="J555" s="2">
        <v>0.16</v>
      </c>
      <c r="K555" s="2">
        <v>0.18179999999999999</v>
      </c>
      <c r="L555" s="2">
        <v>0.74</v>
      </c>
      <c r="M555" s="2">
        <v>0.1045</v>
      </c>
      <c r="N555" s="1">
        <v>1</v>
      </c>
      <c r="O555" s="1">
        <v>35</v>
      </c>
      <c r="P555" s="1">
        <v>36</v>
      </c>
      <c r="Q555" s="1" t="str">
        <f>IF(WEEKDAY(Bike_Sharing_Master6[[#This Row],[Dteday]],2)&gt;=6,"Weekend","Weekday")</f>
        <v>Weekday</v>
      </c>
      <c r="R555" s="1" t="str">
        <f xml:space="preserve"> IF(Bike_Sharing_Master6[[#This Row],[Hr]]&lt;6,"Late Night", IF(Bike_Sharing_Master6[[#This Row],[Hr]]&lt;10,"Morning Peak", IF(Bike_Sharing_Master6[[#This Row],[Hr]]&lt;17,"Daytime", IF(Bike_Sharing_Master6[[#This Row],[Hr]]&lt;21,"Evening Peak","Night"))))</f>
        <v>Morning Peak</v>
      </c>
      <c r="S555" s="1" t="str">
        <f>IF(Bike_Sharing_Master6[[#This Row],[Holiday]]=1,"Holiday","Non-Holiday")</f>
        <v>Non-Holiday</v>
      </c>
      <c r="T555" s="1" t="str">
        <f>IF(Bike_Sharing_Master6[[#This Row],[Cnt]]&lt;80,"Low",IF(Bike_Sharing_Master6[[#This Row],[Cnt]]&lt;160,"Medium","High"))</f>
        <v>Low</v>
      </c>
      <c r="U555" s="1" t="str">
        <f>VLOOKUP(Bike_Sharing_Master6[[#This Row],[Weathersit]],[1]Lookup_Weather!A:B,2,FALSE)</f>
        <v>Clear</v>
      </c>
    </row>
    <row r="556" spans="1:21" x14ac:dyDescent="0.3">
      <c r="A556">
        <v>555</v>
      </c>
      <c r="B556" s="3">
        <v>40568</v>
      </c>
      <c r="C556" s="1">
        <v>1</v>
      </c>
      <c r="D556" s="1">
        <v>0</v>
      </c>
      <c r="E556" s="1">
        <v>1</v>
      </c>
      <c r="F556" s="1">
        <v>7</v>
      </c>
      <c r="G556" t="b">
        <v>0</v>
      </c>
      <c r="H556" s="1">
        <v>2</v>
      </c>
      <c r="I556" s="1">
        <v>1</v>
      </c>
      <c r="J556" s="2">
        <v>0.16</v>
      </c>
      <c r="K556" s="2">
        <v>0.1515</v>
      </c>
      <c r="L556" s="2">
        <v>0.74</v>
      </c>
      <c r="M556" s="2">
        <v>0.22389999999999999</v>
      </c>
      <c r="N556" s="1">
        <v>5</v>
      </c>
      <c r="O556" s="1">
        <v>103</v>
      </c>
      <c r="P556" s="1">
        <v>108</v>
      </c>
      <c r="Q556" s="1" t="str">
        <f>IF(WEEKDAY(Bike_Sharing_Master6[[#This Row],[Dteday]],2)&gt;=6,"Weekend","Weekday")</f>
        <v>Weekday</v>
      </c>
      <c r="R556" s="1" t="str">
        <f xml:space="preserve"> IF(Bike_Sharing_Master6[[#This Row],[Hr]]&lt;6,"Late Night", IF(Bike_Sharing_Master6[[#This Row],[Hr]]&lt;10,"Morning Peak", IF(Bike_Sharing_Master6[[#This Row],[Hr]]&lt;17,"Daytime", IF(Bike_Sharing_Master6[[#This Row],[Hr]]&lt;21,"Evening Peak","Night"))))</f>
        <v>Morning Peak</v>
      </c>
      <c r="S556" s="1" t="str">
        <f>IF(Bike_Sharing_Master6[[#This Row],[Holiday]]=1,"Holiday","Non-Holiday")</f>
        <v>Non-Holiday</v>
      </c>
      <c r="T556" s="1" t="str">
        <f>IF(Bike_Sharing_Master6[[#This Row],[Cnt]]&lt;80,"Low",IF(Bike_Sharing_Master6[[#This Row],[Cnt]]&lt;160,"Medium","High"))</f>
        <v>Medium</v>
      </c>
      <c r="U556" s="1" t="str">
        <f>VLOOKUP(Bike_Sharing_Master6[[#This Row],[Weathersit]],[1]Lookup_Weather!A:B,2,FALSE)</f>
        <v>Clear</v>
      </c>
    </row>
    <row r="557" spans="1:21" x14ac:dyDescent="0.3">
      <c r="A557">
        <v>556</v>
      </c>
      <c r="B557" s="3">
        <v>40568</v>
      </c>
      <c r="C557" s="1">
        <v>1</v>
      </c>
      <c r="D557" s="1">
        <v>0</v>
      </c>
      <c r="E557" s="1">
        <v>1</v>
      </c>
      <c r="F557" s="1">
        <v>8</v>
      </c>
      <c r="G557" t="b">
        <v>0</v>
      </c>
      <c r="H557" s="1">
        <v>2</v>
      </c>
      <c r="I557" s="1">
        <v>2</v>
      </c>
      <c r="J557" s="2">
        <v>0.16</v>
      </c>
      <c r="K557" s="2">
        <v>0.18179999999999999</v>
      </c>
      <c r="L557" s="2">
        <v>0.74</v>
      </c>
      <c r="M557" s="2">
        <v>0.1343</v>
      </c>
      <c r="N557" s="1">
        <v>5</v>
      </c>
      <c r="O557" s="1">
        <v>233</v>
      </c>
      <c r="P557" s="1">
        <v>238</v>
      </c>
      <c r="Q557" s="1" t="str">
        <f>IF(WEEKDAY(Bike_Sharing_Master6[[#This Row],[Dteday]],2)&gt;=6,"Weekend","Weekday")</f>
        <v>Weekday</v>
      </c>
      <c r="R557" s="1" t="str">
        <f xml:space="preserve"> IF(Bike_Sharing_Master6[[#This Row],[Hr]]&lt;6,"Late Night", IF(Bike_Sharing_Master6[[#This Row],[Hr]]&lt;10,"Morning Peak", IF(Bike_Sharing_Master6[[#This Row],[Hr]]&lt;17,"Daytime", IF(Bike_Sharing_Master6[[#This Row],[Hr]]&lt;21,"Evening Peak","Night"))))</f>
        <v>Morning Peak</v>
      </c>
      <c r="S557" s="1" t="str">
        <f>IF(Bike_Sharing_Master6[[#This Row],[Holiday]]=1,"Holiday","Non-Holiday")</f>
        <v>Non-Holiday</v>
      </c>
      <c r="T557" s="1" t="str">
        <f>IF(Bike_Sharing_Master6[[#This Row],[Cnt]]&lt;80,"Low",IF(Bike_Sharing_Master6[[#This Row],[Cnt]]&lt;160,"Medium","High"))</f>
        <v>High</v>
      </c>
      <c r="U557" s="1" t="str">
        <f>VLOOKUP(Bike_Sharing_Master6[[#This Row],[Weathersit]],[1]Lookup_Weather!A:B,2,FALSE)</f>
        <v>Mist</v>
      </c>
    </row>
    <row r="558" spans="1:21" x14ac:dyDescent="0.3">
      <c r="A558">
        <v>557</v>
      </c>
      <c r="B558" s="3">
        <v>40568</v>
      </c>
      <c r="C558" s="1">
        <v>1</v>
      </c>
      <c r="D558" s="1">
        <v>0</v>
      </c>
      <c r="E558" s="1">
        <v>1</v>
      </c>
      <c r="F558" s="1">
        <v>9</v>
      </c>
      <c r="G558" t="b">
        <v>0</v>
      </c>
      <c r="H558" s="1">
        <v>2</v>
      </c>
      <c r="I558" s="1">
        <v>2</v>
      </c>
      <c r="J558" s="2">
        <v>0.2</v>
      </c>
      <c r="K558" s="2">
        <v>0.2273</v>
      </c>
      <c r="L558" s="2">
        <v>0.64</v>
      </c>
      <c r="M558" s="2">
        <v>8.9599999999999999E-2</v>
      </c>
      <c r="N558" s="1">
        <v>10</v>
      </c>
      <c r="O558" s="1">
        <v>134</v>
      </c>
      <c r="P558" s="1">
        <v>144</v>
      </c>
      <c r="Q558" s="1" t="str">
        <f>IF(WEEKDAY(Bike_Sharing_Master6[[#This Row],[Dteday]],2)&gt;=6,"Weekend","Weekday")</f>
        <v>Weekday</v>
      </c>
      <c r="R558" s="1" t="str">
        <f xml:space="preserve"> IF(Bike_Sharing_Master6[[#This Row],[Hr]]&lt;6,"Late Night", IF(Bike_Sharing_Master6[[#This Row],[Hr]]&lt;10,"Morning Peak", IF(Bike_Sharing_Master6[[#This Row],[Hr]]&lt;17,"Daytime", IF(Bike_Sharing_Master6[[#This Row],[Hr]]&lt;21,"Evening Peak","Night"))))</f>
        <v>Morning Peak</v>
      </c>
      <c r="S558" s="1" t="str">
        <f>IF(Bike_Sharing_Master6[[#This Row],[Holiday]]=1,"Holiday","Non-Holiday")</f>
        <v>Non-Holiday</v>
      </c>
      <c r="T558" s="1" t="str">
        <f>IF(Bike_Sharing_Master6[[#This Row],[Cnt]]&lt;80,"Low",IF(Bike_Sharing_Master6[[#This Row],[Cnt]]&lt;160,"Medium","High"))</f>
        <v>Medium</v>
      </c>
      <c r="U558" s="1" t="str">
        <f>VLOOKUP(Bike_Sharing_Master6[[#This Row],[Weathersit]],[1]Lookup_Weather!A:B,2,FALSE)</f>
        <v>Mist</v>
      </c>
    </row>
    <row r="559" spans="1:21" x14ac:dyDescent="0.3">
      <c r="A559">
        <v>558</v>
      </c>
      <c r="B559" s="3">
        <v>40568</v>
      </c>
      <c r="C559" s="1">
        <v>1</v>
      </c>
      <c r="D559" s="1">
        <v>0</v>
      </c>
      <c r="E559" s="1">
        <v>1</v>
      </c>
      <c r="F559" s="1">
        <v>10</v>
      </c>
      <c r="G559" t="b">
        <v>0</v>
      </c>
      <c r="H559" s="1">
        <v>2</v>
      </c>
      <c r="I559" s="1">
        <v>2</v>
      </c>
      <c r="J559" s="2">
        <v>0.22</v>
      </c>
      <c r="K559" s="2">
        <v>0.2424</v>
      </c>
      <c r="L559" s="2">
        <v>0.6</v>
      </c>
      <c r="M559" s="2">
        <v>0.1045</v>
      </c>
      <c r="N559" s="1">
        <v>6</v>
      </c>
      <c r="O559" s="1">
        <v>49</v>
      </c>
      <c r="P559" s="1">
        <v>55</v>
      </c>
      <c r="Q559" s="1" t="str">
        <f>IF(WEEKDAY(Bike_Sharing_Master6[[#This Row],[Dteday]],2)&gt;=6,"Weekend","Weekday")</f>
        <v>Weekday</v>
      </c>
      <c r="R559" s="1" t="str">
        <f xml:space="preserve"> IF(Bike_Sharing_Master6[[#This Row],[Hr]]&lt;6,"Late Night", IF(Bike_Sharing_Master6[[#This Row],[Hr]]&lt;10,"Morning Peak", IF(Bike_Sharing_Master6[[#This Row],[Hr]]&lt;17,"Daytime", IF(Bike_Sharing_Master6[[#This Row],[Hr]]&lt;21,"Evening Peak","Night"))))</f>
        <v>Daytime</v>
      </c>
      <c r="S559" s="1" t="str">
        <f>IF(Bike_Sharing_Master6[[#This Row],[Holiday]]=1,"Holiday","Non-Holiday")</f>
        <v>Non-Holiday</v>
      </c>
      <c r="T559" s="1" t="str">
        <f>IF(Bike_Sharing_Master6[[#This Row],[Cnt]]&lt;80,"Low",IF(Bike_Sharing_Master6[[#This Row],[Cnt]]&lt;160,"Medium","High"))</f>
        <v>Low</v>
      </c>
      <c r="U559" s="1" t="str">
        <f>VLOOKUP(Bike_Sharing_Master6[[#This Row],[Weathersit]],[1]Lookup_Weather!A:B,2,FALSE)</f>
        <v>Mist</v>
      </c>
    </row>
    <row r="560" spans="1:21" x14ac:dyDescent="0.3">
      <c r="A560">
        <v>559</v>
      </c>
      <c r="B560" s="3">
        <v>40568</v>
      </c>
      <c r="C560" s="1">
        <v>1</v>
      </c>
      <c r="D560" s="1">
        <v>0</v>
      </c>
      <c r="E560" s="1">
        <v>1</v>
      </c>
      <c r="F560" s="1">
        <v>11</v>
      </c>
      <c r="G560" t="b">
        <v>0</v>
      </c>
      <c r="H560" s="1">
        <v>2</v>
      </c>
      <c r="I560" s="1">
        <v>2</v>
      </c>
      <c r="J560" s="2">
        <v>0.24</v>
      </c>
      <c r="K560" s="2">
        <v>0.2424</v>
      </c>
      <c r="L560" s="2">
        <v>0.6</v>
      </c>
      <c r="M560" s="2">
        <v>0.1343</v>
      </c>
      <c r="N560" s="1">
        <v>6</v>
      </c>
      <c r="O560" s="1">
        <v>55</v>
      </c>
      <c r="P560" s="1">
        <v>61</v>
      </c>
      <c r="Q560" s="1" t="str">
        <f>IF(WEEKDAY(Bike_Sharing_Master6[[#This Row],[Dteday]],2)&gt;=6,"Weekend","Weekday")</f>
        <v>Weekday</v>
      </c>
      <c r="R560" s="1" t="str">
        <f xml:space="preserve"> IF(Bike_Sharing_Master6[[#This Row],[Hr]]&lt;6,"Late Night", IF(Bike_Sharing_Master6[[#This Row],[Hr]]&lt;10,"Morning Peak", IF(Bike_Sharing_Master6[[#This Row],[Hr]]&lt;17,"Daytime", IF(Bike_Sharing_Master6[[#This Row],[Hr]]&lt;21,"Evening Peak","Night"))))</f>
        <v>Daytime</v>
      </c>
      <c r="S560" s="1" t="str">
        <f>IF(Bike_Sharing_Master6[[#This Row],[Holiday]]=1,"Holiday","Non-Holiday")</f>
        <v>Non-Holiday</v>
      </c>
      <c r="T560" s="1" t="str">
        <f>IF(Bike_Sharing_Master6[[#This Row],[Cnt]]&lt;80,"Low",IF(Bike_Sharing_Master6[[#This Row],[Cnt]]&lt;160,"Medium","High"))</f>
        <v>Low</v>
      </c>
      <c r="U560" s="1" t="str">
        <f>VLOOKUP(Bike_Sharing_Master6[[#This Row],[Weathersit]],[1]Lookup_Weather!A:B,2,FALSE)</f>
        <v>Mist</v>
      </c>
    </row>
    <row r="561" spans="1:21" x14ac:dyDescent="0.3">
      <c r="A561">
        <v>560</v>
      </c>
      <c r="B561" s="3">
        <v>40568</v>
      </c>
      <c r="C561" s="1">
        <v>1</v>
      </c>
      <c r="D561" s="1">
        <v>0</v>
      </c>
      <c r="E561" s="1">
        <v>1</v>
      </c>
      <c r="F561" s="1">
        <v>12</v>
      </c>
      <c r="G561" t="b">
        <v>0</v>
      </c>
      <c r="H561" s="1">
        <v>2</v>
      </c>
      <c r="I561" s="1">
        <v>2</v>
      </c>
      <c r="J561" s="2">
        <v>0.26</v>
      </c>
      <c r="K561" s="2">
        <v>0.28789999999999999</v>
      </c>
      <c r="L561" s="2">
        <v>0.56000000000000005</v>
      </c>
      <c r="M561" s="2">
        <v>8.9599999999999999E-2</v>
      </c>
      <c r="N561" s="1">
        <v>21</v>
      </c>
      <c r="O561" s="1">
        <v>85</v>
      </c>
      <c r="P561" s="1">
        <v>106</v>
      </c>
      <c r="Q561" s="1" t="str">
        <f>IF(WEEKDAY(Bike_Sharing_Master6[[#This Row],[Dteday]],2)&gt;=6,"Weekend","Weekday")</f>
        <v>Weekday</v>
      </c>
      <c r="R561" s="1" t="str">
        <f xml:space="preserve"> IF(Bike_Sharing_Master6[[#This Row],[Hr]]&lt;6,"Late Night", IF(Bike_Sharing_Master6[[#This Row],[Hr]]&lt;10,"Morning Peak", IF(Bike_Sharing_Master6[[#This Row],[Hr]]&lt;17,"Daytime", IF(Bike_Sharing_Master6[[#This Row],[Hr]]&lt;21,"Evening Peak","Night"))))</f>
        <v>Daytime</v>
      </c>
      <c r="S561" s="1" t="str">
        <f>IF(Bike_Sharing_Master6[[#This Row],[Holiday]]=1,"Holiday","Non-Holiday")</f>
        <v>Non-Holiday</v>
      </c>
      <c r="T561" s="1" t="str">
        <f>IF(Bike_Sharing_Master6[[#This Row],[Cnt]]&lt;80,"Low",IF(Bike_Sharing_Master6[[#This Row],[Cnt]]&lt;160,"Medium","High"))</f>
        <v>Medium</v>
      </c>
      <c r="U561" s="1" t="str">
        <f>VLOOKUP(Bike_Sharing_Master6[[#This Row],[Weathersit]],[1]Lookup_Weather!A:B,2,FALSE)</f>
        <v>Mist</v>
      </c>
    </row>
    <row r="562" spans="1:21" x14ac:dyDescent="0.3">
      <c r="A562">
        <v>561</v>
      </c>
      <c r="B562" s="3">
        <v>40568</v>
      </c>
      <c r="C562" s="1">
        <v>1</v>
      </c>
      <c r="D562" s="1">
        <v>0</v>
      </c>
      <c r="E562" s="1">
        <v>1</v>
      </c>
      <c r="F562" s="1">
        <v>13</v>
      </c>
      <c r="G562" t="b">
        <v>0</v>
      </c>
      <c r="H562" s="1">
        <v>2</v>
      </c>
      <c r="I562" s="1">
        <v>2</v>
      </c>
      <c r="J562" s="2">
        <v>0.26</v>
      </c>
      <c r="K562" s="2">
        <v>0.2727</v>
      </c>
      <c r="L562" s="2">
        <v>0.56000000000000005</v>
      </c>
      <c r="M562" s="2">
        <v>0.1343</v>
      </c>
      <c r="N562" s="1">
        <v>21</v>
      </c>
      <c r="O562" s="1">
        <v>72</v>
      </c>
      <c r="P562" s="1">
        <v>93</v>
      </c>
      <c r="Q562" s="1" t="str">
        <f>IF(WEEKDAY(Bike_Sharing_Master6[[#This Row],[Dteday]],2)&gt;=6,"Weekend","Weekday")</f>
        <v>Weekday</v>
      </c>
      <c r="R562" s="1" t="str">
        <f xml:space="preserve"> IF(Bike_Sharing_Master6[[#This Row],[Hr]]&lt;6,"Late Night", IF(Bike_Sharing_Master6[[#This Row],[Hr]]&lt;10,"Morning Peak", IF(Bike_Sharing_Master6[[#This Row],[Hr]]&lt;17,"Daytime", IF(Bike_Sharing_Master6[[#This Row],[Hr]]&lt;21,"Evening Peak","Night"))))</f>
        <v>Daytime</v>
      </c>
      <c r="S562" s="1" t="str">
        <f>IF(Bike_Sharing_Master6[[#This Row],[Holiday]]=1,"Holiday","Non-Holiday")</f>
        <v>Non-Holiday</v>
      </c>
      <c r="T562" s="1" t="str">
        <f>IF(Bike_Sharing_Master6[[#This Row],[Cnt]]&lt;80,"Low",IF(Bike_Sharing_Master6[[#This Row],[Cnt]]&lt;160,"Medium","High"))</f>
        <v>Medium</v>
      </c>
      <c r="U562" s="1" t="str">
        <f>VLOOKUP(Bike_Sharing_Master6[[#This Row],[Weathersit]],[1]Lookup_Weather!A:B,2,FALSE)</f>
        <v>Mist</v>
      </c>
    </row>
    <row r="563" spans="1:21" x14ac:dyDescent="0.3">
      <c r="A563">
        <v>562</v>
      </c>
      <c r="B563" s="3">
        <v>40568</v>
      </c>
      <c r="C563" s="1">
        <v>1</v>
      </c>
      <c r="D563" s="1">
        <v>0</v>
      </c>
      <c r="E563" s="1">
        <v>1</v>
      </c>
      <c r="F563" s="1">
        <v>14</v>
      </c>
      <c r="G563" t="b">
        <v>0</v>
      </c>
      <c r="H563" s="1">
        <v>2</v>
      </c>
      <c r="I563" s="1">
        <v>2</v>
      </c>
      <c r="J563" s="2">
        <v>0.3</v>
      </c>
      <c r="K563" s="2">
        <v>0.33329999999999999</v>
      </c>
      <c r="L563" s="2">
        <v>0.45</v>
      </c>
      <c r="M563" s="2">
        <v>0</v>
      </c>
      <c r="N563" s="1">
        <v>11</v>
      </c>
      <c r="O563" s="1">
        <v>57</v>
      </c>
      <c r="P563" s="1">
        <v>68</v>
      </c>
      <c r="Q563" s="1" t="str">
        <f>IF(WEEKDAY(Bike_Sharing_Master6[[#This Row],[Dteday]],2)&gt;=6,"Weekend","Weekday")</f>
        <v>Weekday</v>
      </c>
      <c r="R563" s="1" t="str">
        <f xml:space="preserve"> IF(Bike_Sharing_Master6[[#This Row],[Hr]]&lt;6,"Late Night", IF(Bike_Sharing_Master6[[#This Row],[Hr]]&lt;10,"Morning Peak", IF(Bike_Sharing_Master6[[#This Row],[Hr]]&lt;17,"Daytime", IF(Bike_Sharing_Master6[[#This Row],[Hr]]&lt;21,"Evening Peak","Night"))))</f>
        <v>Daytime</v>
      </c>
      <c r="S563" s="1" t="str">
        <f>IF(Bike_Sharing_Master6[[#This Row],[Holiday]]=1,"Holiday","Non-Holiday")</f>
        <v>Non-Holiday</v>
      </c>
      <c r="T563" s="1" t="str">
        <f>IF(Bike_Sharing_Master6[[#This Row],[Cnt]]&lt;80,"Low",IF(Bike_Sharing_Master6[[#This Row],[Cnt]]&lt;160,"Medium","High"))</f>
        <v>Low</v>
      </c>
      <c r="U563" s="1" t="str">
        <f>VLOOKUP(Bike_Sharing_Master6[[#This Row],[Weathersit]],[1]Lookup_Weather!A:B,2,FALSE)</f>
        <v>Mist</v>
      </c>
    </row>
    <row r="564" spans="1:21" x14ac:dyDescent="0.3">
      <c r="A564">
        <v>563</v>
      </c>
      <c r="B564" s="3">
        <v>40568</v>
      </c>
      <c r="C564" s="1">
        <v>1</v>
      </c>
      <c r="D564" s="1">
        <v>0</v>
      </c>
      <c r="E564" s="1">
        <v>1</v>
      </c>
      <c r="F564" s="1">
        <v>15</v>
      </c>
      <c r="G564" t="b">
        <v>0</v>
      </c>
      <c r="H564" s="1">
        <v>2</v>
      </c>
      <c r="I564" s="1">
        <v>2</v>
      </c>
      <c r="J564" s="2">
        <v>0.32</v>
      </c>
      <c r="K564" s="2">
        <v>0.34849999999999998</v>
      </c>
      <c r="L564" s="2">
        <v>0.42</v>
      </c>
      <c r="M564" s="2">
        <v>0</v>
      </c>
      <c r="N564" s="1">
        <v>21</v>
      </c>
      <c r="O564" s="1">
        <v>63</v>
      </c>
      <c r="P564" s="1">
        <v>84</v>
      </c>
      <c r="Q564" s="1" t="str">
        <f>IF(WEEKDAY(Bike_Sharing_Master6[[#This Row],[Dteday]],2)&gt;=6,"Weekend","Weekday")</f>
        <v>Weekday</v>
      </c>
      <c r="R564" s="1" t="str">
        <f xml:space="preserve"> IF(Bike_Sharing_Master6[[#This Row],[Hr]]&lt;6,"Late Night", IF(Bike_Sharing_Master6[[#This Row],[Hr]]&lt;10,"Morning Peak", IF(Bike_Sharing_Master6[[#This Row],[Hr]]&lt;17,"Daytime", IF(Bike_Sharing_Master6[[#This Row],[Hr]]&lt;21,"Evening Peak","Night"))))</f>
        <v>Daytime</v>
      </c>
      <c r="S564" s="1" t="str">
        <f>IF(Bike_Sharing_Master6[[#This Row],[Holiday]]=1,"Holiday","Non-Holiday")</f>
        <v>Non-Holiday</v>
      </c>
      <c r="T564" s="1" t="str">
        <f>IF(Bike_Sharing_Master6[[#This Row],[Cnt]]&lt;80,"Low",IF(Bike_Sharing_Master6[[#This Row],[Cnt]]&lt;160,"Medium","High"))</f>
        <v>Medium</v>
      </c>
      <c r="U564" s="1" t="str">
        <f>VLOOKUP(Bike_Sharing_Master6[[#This Row],[Weathersit]],[1]Lookup_Weather!A:B,2,FALSE)</f>
        <v>Mist</v>
      </c>
    </row>
    <row r="565" spans="1:21" x14ac:dyDescent="0.3">
      <c r="A565">
        <v>564</v>
      </c>
      <c r="B565" s="3">
        <v>40568</v>
      </c>
      <c r="C565" s="1">
        <v>1</v>
      </c>
      <c r="D565" s="1">
        <v>0</v>
      </c>
      <c r="E565" s="1">
        <v>1</v>
      </c>
      <c r="F565" s="1">
        <v>16</v>
      </c>
      <c r="G565" t="b">
        <v>0</v>
      </c>
      <c r="H565" s="1">
        <v>2</v>
      </c>
      <c r="I565" s="1">
        <v>2</v>
      </c>
      <c r="J565" s="2">
        <v>0.32</v>
      </c>
      <c r="K565" s="2">
        <v>0.34849999999999998</v>
      </c>
      <c r="L565" s="2">
        <v>0.42</v>
      </c>
      <c r="M565" s="2">
        <v>0</v>
      </c>
      <c r="N565" s="1">
        <v>14</v>
      </c>
      <c r="O565" s="1">
        <v>102</v>
      </c>
      <c r="P565" s="1">
        <v>116</v>
      </c>
      <c r="Q565" s="1" t="str">
        <f>IF(WEEKDAY(Bike_Sharing_Master6[[#This Row],[Dteday]],2)&gt;=6,"Weekend","Weekday")</f>
        <v>Weekday</v>
      </c>
      <c r="R565" s="1" t="str">
        <f xml:space="preserve"> IF(Bike_Sharing_Master6[[#This Row],[Hr]]&lt;6,"Late Night", IF(Bike_Sharing_Master6[[#This Row],[Hr]]&lt;10,"Morning Peak", IF(Bike_Sharing_Master6[[#This Row],[Hr]]&lt;17,"Daytime", IF(Bike_Sharing_Master6[[#This Row],[Hr]]&lt;21,"Evening Peak","Night"))))</f>
        <v>Daytime</v>
      </c>
      <c r="S565" s="1" t="str">
        <f>IF(Bike_Sharing_Master6[[#This Row],[Holiday]]=1,"Holiday","Non-Holiday")</f>
        <v>Non-Holiday</v>
      </c>
      <c r="T565" s="1" t="str">
        <f>IF(Bike_Sharing_Master6[[#This Row],[Cnt]]&lt;80,"Low",IF(Bike_Sharing_Master6[[#This Row],[Cnt]]&lt;160,"Medium","High"))</f>
        <v>Medium</v>
      </c>
      <c r="U565" s="1" t="str">
        <f>VLOOKUP(Bike_Sharing_Master6[[#This Row],[Weathersit]],[1]Lookup_Weather!A:B,2,FALSE)</f>
        <v>Mist</v>
      </c>
    </row>
    <row r="566" spans="1:21" x14ac:dyDescent="0.3">
      <c r="A566">
        <v>565</v>
      </c>
      <c r="B566" s="3">
        <v>40568</v>
      </c>
      <c r="C566" s="1">
        <v>1</v>
      </c>
      <c r="D566" s="1">
        <v>0</v>
      </c>
      <c r="E566" s="1">
        <v>1</v>
      </c>
      <c r="F566" s="1">
        <v>17</v>
      </c>
      <c r="G566" t="b">
        <v>0</v>
      </c>
      <c r="H566" s="1">
        <v>2</v>
      </c>
      <c r="I566" s="1">
        <v>1</v>
      </c>
      <c r="J566" s="2">
        <v>0.3</v>
      </c>
      <c r="K566" s="2">
        <v>0.33329999999999999</v>
      </c>
      <c r="L566" s="2">
        <v>0.45</v>
      </c>
      <c r="M566" s="2">
        <v>0</v>
      </c>
      <c r="N566" s="1">
        <v>14</v>
      </c>
      <c r="O566" s="1">
        <v>208</v>
      </c>
      <c r="P566" s="1">
        <v>222</v>
      </c>
      <c r="Q566" s="1" t="str">
        <f>IF(WEEKDAY(Bike_Sharing_Master6[[#This Row],[Dteday]],2)&gt;=6,"Weekend","Weekday")</f>
        <v>Weekday</v>
      </c>
      <c r="R566" s="1" t="str">
        <f xml:space="preserve"> IF(Bike_Sharing_Master6[[#This Row],[Hr]]&lt;6,"Late Night", IF(Bike_Sharing_Master6[[#This Row],[Hr]]&lt;10,"Morning Peak", IF(Bike_Sharing_Master6[[#This Row],[Hr]]&lt;17,"Daytime", IF(Bike_Sharing_Master6[[#This Row],[Hr]]&lt;21,"Evening Peak","Night"))))</f>
        <v>Evening Peak</v>
      </c>
      <c r="S566" s="1" t="str">
        <f>IF(Bike_Sharing_Master6[[#This Row],[Holiday]]=1,"Holiday","Non-Holiday")</f>
        <v>Non-Holiday</v>
      </c>
      <c r="T566" s="1" t="str">
        <f>IF(Bike_Sharing_Master6[[#This Row],[Cnt]]&lt;80,"Low",IF(Bike_Sharing_Master6[[#This Row],[Cnt]]&lt;160,"Medium","High"))</f>
        <v>High</v>
      </c>
      <c r="U566" s="1" t="str">
        <f>VLOOKUP(Bike_Sharing_Master6[[#This Row],[Weathersit]],[1]Lookup_Weather!A:B,2,FALSE)</f>
        <v>Clear</v>
      </c>
    </row>
    <row r="567" spans="1:21" x14ac:dyDescent="0.3">
      <c r="A567">
        <v>566</v>
      </c>
      <c r="B567" s="3">
        <v>40568</v>
      </c>
      <c r="C567" s="1">
        <v>1</v>
      </c>
      <c r="D567" s="1">
        <v>0</v>
      </c>
      <c r="E567" s="1">
        <v>1</v>
      </c>
      <c r="F567" s="1">
        <v>18</v>
      </c>
      <c r="G567" t="b">
        <v>0</v>
      </c>
      <c r="H567" s="1">
        <v>2</v>
      </c>
      <c r="I567" s="1">
        <v>2</v>
      </c>
      <c r="J567" s="2">
        <v>0.3</v>
      </c>
      <c r="K567" s="2">
        <v>0.31819999999999998</v>
      </c>
      <c r="L567" s="2">
        <v>0.49</v>
      </c>
      <c r="M567" s="2">
        <v>8.9599999999999999E-2</v>
      </c>
      <c r="N567" s="1">
        <v>7</v>
      </c>
      <c r="O567" s="1">
        <v>218</v>
      </c>
      <c r="P567" s="1">
        <v>225</v>
      </c>
      <c r="Q567" s="1" t="str">
        <f>IF(WEEKDAY(Bike_Sharing_Master6[[#This Row],[Dteday]],2)&gt;=6,"Weekend","Weekday")</f>
        <v>Weekday</v>
      </c>
      <c r="R567" s="1" t="str">
        <f xml:space="preserve"> IF(Bike_Sharing_Master6[[#This Row],[Hr]]&lt;6,"Late Night", IF(Bike_Sharing_Master6[[#This Row],[Hr]]&lt;10,"Morning Peak", IF(Bike_Sharing_Master6[[#This Row],[Hr]]&lt;17,"Daytime", IF(Bike_Sharing_Master6[[#This Row],[Hr]]&lt;21,"Evening Peak","Night"))))</f>
        <v>Evening Peak</v>
      </c>
      <c r="S567" s="1" t="str">
        <f>IF(Bike_Sharing_Master6[[#This Row],[Holiday]]=1,"Holiday","Non-Holiday")</f>
        <v>Non-Holiday</v>
      </c>
      <c r="T567" s="1" t="str">
        <f>IF(Bike_Sharing_Master6[[#This Row],[Cnt]]&lt;80,"Low",IF(Bike_Sharing_Master6[[#This Row],[Cnt]]&lt;160,"Medium","High"))</f>
        <v>High</v>
      </c>
      <c r="U567" s="1" t="str">
        <f>VLOOKUP(Bike_Sharing_Master6[[#This Row],[Weathersit]],[1]Lookup_Weather!A:B,2,FALSE)</f>
        <v>Mist</v>
      </c>
    </row>
    <row r="568" spans="1:21" x14ac:dyDescent="0.3">
      <c r="A568">
        <v>567</v>
      </c>
      <c r="B568" s="3">
        <v>40568</v>
      </c>
      <c r="C568" s="1">
        <v>1</v>
      </c>
      <c r="D568" s="1">
        <v>0</v>
      </c>
      <c r="E568" s="1">
        <v>1</v>
      </c>
      <c r="F568" s="1">
        <v>19</v>
      </c>
      <c r="G568" t="b">
        <v>0</v>
      </c>
      <c r="H568" s="1">
        <v>2</v>
      </c>
      <c r="I568" s="1">
        <v>2</v>
      </c>
      <c r="J568" s="2">
        <v>0.26</v>
      </c>
      <c r="K568" s="2">
        <v>0.2576</v>
      </c>
      <c r="L568" s="2">
        <v>0.65</v>
      </c>
      <c r="M568" s="2">
        <v>0.16420000000000001</v>
      </c>
      <c r="N568" s="1">
        <v>13</v>
      </c>
      <c r="O568" s="1">
        <v>133</v>
      </c>
      <c r="P568" s="1">
        <v>146</v>
      </c>
      <c r="Q568" s="1" t="str">
        <f>IF(WEEKDAY(Bike_Sharing_Master6[[#This Row],[Dteday]],2)&gt;=6,"Weekend","Weekday")</f>
        <v>Weekday</v>
      </c>
      <c r="R568" s="1" t="str">
        <f xml:space="preserve"> IF(Bike_Sharing_Master6[[#This Row],[Hr]]&lt;6,"Late Night", IF(Bike_Sharing_Master6[[#This Row],[Hr]]&lt;10,"Morning Peak", IF(Bike_Sharing_Master6[[#This Row],[Hr]]&lt;17,"Daytime", IF(Bike_Sharing_Master6[[#This Row],[Hr]]&lt;21,"Evening Peak","Night"))))</f>
        <v>Evening Peak</v>
      </c>
      <c r="S568" s="1" t="str">
        <f>IF(Bike_Sharing_Master6[[#This Row],[Holiday]]=1,"Holiday","Non-Holiday")</f>
        <v>Non-Holiday</v>
      </c>
      <c r="T568" s="1" t="str">
        <f>IF(Bike_Sharing_Master6[[#This Row],[Cnt]]&lt;80,"Low",IF(Bike_Sharing_Master6[[#This Row],[Cnt]]&lt;160,"Medium","High"))</f>
        <v>Medium</v>
      </c>
      <c r="U568" s="1" t="str">
        <f>VLOOKUP(Bike_Sharing_Master6[[#This Row],[Weathersit]],[1]Lookup_Weather!A:B,2,FALSE)</f>
        <v>Mist</v>
      </c>
    </row>
    <row r="569" spans="1:21" x14ac:dyDescent="0.3">
      <c r="A569">
        <v>568</v>
      </c>
      <c r="B569" s="3">
        <v>40568</v>
      </c>
      <c r="C569" s="1">
        <v>1</v>
      </c>
      <c r="D569" s="1">
        <v>0</v>
      </c>
      <c r="E569" s="1">
        <v>1</v>
      </c>
      <c r="F569" s="1">
        <v>20</v>
      </c>
      <c r="G569" t="b">
        <v>0</v>
      </c>
      <c r="H569" s="1">
        <v>2</v>
      </c>
      <c r="I569" s="1">
        <v>1</v>
      </c>
      <c r="J569" s="2">
        <v>0.24</v>
      </c>
      <c r="K569" s="2">
        <v>0.2273</v>
      </c>
      <c r="L569" s="2">
        <v>0.65</v>
      </c>
      <c r="M569" s="2">
        <v>0.19400000000000001</v>
      </c>
      <c r="N569" s="1">
        <v>16</v>
      </c>
      <c r="O569" s="1">
        <v>103</v>
      </c>
      <c r="P569" s="1">
        <v>119</v>
      </c>
      <c r="Q569" s="1" t="str">
        <f>IF(WEEKDAY(Bike_Sharing_Master6[[#This Row],[Dteday]],2)&gt;=6,"Weekend","Weekday")</f>
        <v>Weekday</v>
      </c>
      <c r="R569" s="1" t="str">
        <f xml:space="preserve"> IF(Bike_Sharing_Master6[[#This Row],[Hr]]&lt;6,"Late Night", IF(Bike_Sharing_Master6[[#This Row],[Hr]]&lt;10,"Morning Peak", IF(Bike_Sharing_Master6[[#This Row],[Hr]]&lt;17,"Daytime", IF(Bike_Sharing_Master6[[#This Row],[Hr]]&lt;21,"Evening Peak","Night"))))</f>
        <v>Evening Peak</v>
      </c>
      <c r="S569" s="1" t="str">
        <f>IF(Bike_Sharing_Master6[[#This Row],[Holiday]]=1,"Holiday","Non-Holiday")</f>
        <v>Non-Holiday</v>
      </c>
      <c r="T569" s="1" t="str">
        <f>IF(Bike_Sharing_Master6[[#This Row],[Cnt]]&lt;80,"Low",IF(Bike_Sharing_Master6[[#This Row],[Cnt]]&lt;160,"Medium","High"))</f>
        <v>Medium</v>
      </c>
      <c r="U569" s="1" t="str">
        <f>VLOOKUP(Bike_Sharing_Master6[[#This Row],[Weathersit]],[1]Lookup_Weather!A:B,2,FALSE)</f>
        <v>Clear</v>
      </c>
    </row>
    <row r="570" spans="1:21" x14ac:dyDescent="0.3">
      <c r="A570">
        <v>569</v>
      </c>
      <c r="B570" s="3">
        <v>40568</v>
      </c>
      <c r="C570" s="1">
        <v>1</v>
      </c>
      <c r="D570" s="1">
        <v>0</v>
      </c>
      <c r="E570" s="1">
        <v>1</v>
      </c>
      <c r="F570" s="1">
        <v>21</v>
      </c>
      <c r="G570" t="b">
        <v>0</v>
      </c>
      <c r="H570" s="1">
        <v>2</v>
      </c>
      <c r="I570" s="1">
        <v>1</v>
      </c>
      <c r="J570" s="2">
        <v>0.24</v>
      </c>
      <c r="K570" s="2">
        <v>0.2273</v>
      </c>
      <c r="L570" s="2">
        <v>0.65</v>
      </c>
      <c r="M570" s="2">
        <v>0.19400000000000001</v>
      </c>
      <c r="N570" s="1">
        <v>5</v>
      </c>
      <c r="O570" s="1">
        <v>40</v>
      </c>
      <c r="P570" s="1">
        <v>45</v>
      </c>
      <c r="Q570" s="1" t="str">
        <f>IF(WEEKDAY(Bike_Sharing_Master6[[#This Row],[Dteday]],2)&gt;=6,"Weekend","Weekday")</f>
        <v>Weekday</v>
      </c>
      <c r="R570" s="1" t="str">
        <f xml:space="preserve"> IF(Bike_Sharing_Master6[[#This Row],[Hr]]&lt;6,"Late Night", IF(Bike_Sharing_Master6[[#This Row],[Hr]]&lt;10,"Morning Peak", IF(Bike_Sharing_Master6[[#This Row],[Hr]]&lt;17,"Daytime", IF(Bike_Sharing_Master6[[#This Row],[Hr]]&lt;21,"Evening Peak","Night"))))</f>
        <v>Night</v>
      </c>
      <c r="S570" s="1" t="str">
        <f>IF(Bike_Sharing_Master6[[#This Row],[Holiday]]=1,"Holiday","Non-Holiday")</f>
        <v>Non-Holiday</v>
      </c>
      <c r="T570" s="1" t="str">
        <f>IF(Bike_Sharing_Master6[[#This Row],[Cnt]]&lt;80,"Low",IF(Bike_Sharing_Master6[[#This Row],[Cnt]]&lt;160,"Medium","High"))</f>
        <v>Low</v>
      </c>
      <c r="U570" s="1" t="str">
        <f>VLOOKUP(Bike_Sharing_Master6[[#This Row],[Weathersit]],[1]Lookup_Weather!A:B,2,FALSE)</f>
        <v>Clear</v>
      </c>
    </row>
    <row r="571" spans="1:21" x14ac:dyDescent="0.3">
      <c r="A571">
        <v>570</v>
      </c>
      <c r="B571" s="3">
        <v>40568</v>
      </c>
      <c r="C571" s="1">
        <v>1</v>
      </c>
      <c r="D571" s="1">
        <v>0</v>
      </c>
      <c r="E571" s="1">
        <v>1</v>
      </c>
      <c r="F571" s="1">
        <v>22</v>
      </c>
      <c r="G571" t="b">
        <v>0</v>
      </c>
      <c r="H571" s="1">
        <v>2</v>
      </c>
      <c r="I571" s="1">
        <v>1</v>
      </c>
      <c r="J571" s="2">
        <v>0.22</v>
      </c>
      <c r="K571" s="2">
        <v>0.2273</v>
      </c>
      <c r="L571" s="2">
        <v>0.64</v>
      </c>
      <c r="M571" s="2">
        <v>0.16420000000000001</v>
      </c>
      <c r="N571" s="1">
        <v>4</v>
      </c>
      <c r="O571" s="1">
        <v>49</v>
      </c>
      <c r="P571" s="1">
        <v>53</v>
      </c>
      <c r="Q571" s="1" t="str">
        <f>IF(WEEKDAY(Bike_Sharing_Master6[[#This Row],[Dteday]],2)&gt;=6,"Weekend","Weekday")</f>
        <v>Weekday</v>
      </c>
      <c r="R571" s="1" t="str">
        <f xml:space="preserve"> IF(Bike_Sharing_Master6[[#This Row],[Hr]]&lt;6,"Late Night", IF(Bike_Sharing_Master6[[#This Row],[Hr]]&lt;10,"Morning Peak", IF(Bike_Sharing_Master6[[#This Row],[Hr]]&lt;17,"Daytime", IF(Bike_Sharing_Master6[[#This Row],[Hr]]&lt;21,"Evening Peak","Night"))))</f>
        <v>Night</v>
      </c>
      <c r="S571" s="1" t="str">
        <f>IF(Bike_Sharing_Master6[[#This Row],[Holiday]]=1,"Holiday","Non-Holiday")</f>
        <v>Non-Holiday</v>
      </c>
      <c r="T571" s="1" t="str">
        <f>IF(Bike_Sharing_Master6[[#This Row],[Cnt]]&lt;80,"Low",IF(Bike_Sharing_Master6[[#This Row],[Cnt]]&lt;160,"Medium","High"))</f>
        <v>Low</v>
      </c>
      <c r="U571" s="1" t="str">
        <f>VLOOKUP(Bike_Sharing_Master6[[#This Row],[Weathersit]],[1]Lookup_Weather!A:B,2,FALSE)</f>
        <v>Clear</v>
      </c>
    </row>
    <row r="572" spans="1:21" x14ac:dyDescent="0.3">
      <c r="A572">
        <v>571</v>
      </c>
      <c r="B572" s="3">
        <v>40568</v>
      </c>
      <c r="C572" s="1">
        <v>1</v>
      </c>
      <c r="D572" s="1">
        <v>0</v>
      </c>
      <c r="E572" s="1">
        <v>1</v>
      </c>
      <c r="F572" s="1">
        <v>23</v>
      </c>
      <c r="G572" t="b">
        <v>0</v>
      </c>
      <c r="H572" s="1">
        <v>2</v>
      </c>
      <c r="I572" s="1">
        <v>2</v>
      </c>
      <c r="J572" s="2">
        <v>0.22</v>
      </c>
      <c r="K572" s="2">
        <v>0.2273</v>
      </c>
      <c r="L572" s="2">
        <v>0.64</v>
      </c>
      <c r="M572" s="2">
        <v>0.16420000000000001</v>
      </c>
      <c r="N572" s="1">
        <v>3</v>
      </c>
      <c r="O572" s="1">
        <v>37</v>
      </c>
      <c r="P572" s="1">
        <v>40</v>
      </c>
      <c r="Q572" s="1" t="str">
        <f>IF(WEEKDAY(Bike_Sharing_Master6[[#This Row],[Dteday]],2)&gt;=6,"Weekend","Weekday")</f>
        <v>Weekday</v>
      </c>
      <c r="R572" s="1" t="str">
        <f xml:space="preserve"> IF(Bike_Sharing_Master6[[#This Row],[Hr]]&lt;6,"Late Night", IF(Bike_Sharing_Master6[[#This Row],[Hr]]&lt;10,"Morning Peak", IF(Bike_Sharing_Master6[[#This Row],[Hr]]&lt;17,"Daytime", IF(Bike_Sharing_Master6[[#This Row],[Hr]]&lt;21,"Evening Peak","Night"))))</f>
        <v>Night</v>
      </c>
      <c r="S572" s="1" t="str">
        <f>IF(Bike_Sharing_Master6[[#This Row],[Holiday]]=1,"Holiday","Non-Holiday")</f>
        <v>Non-Holiday</v>
      </c>
      <c r="T572" s="1" t="str">
        <f>IF(Bike_Sharing_Master6[[#This Row],[Cnt]]&lt;80,"Low",IF(Bike_Sharing_Master6[[#This Row],[Cnt]]&lt;160,"Medium","High"))</f>
        <v>Low</v>
      </c>
      <c r="U572" s="1" t="str">
        <f>VLOOKUP(Bike_Sharing_Master6[[#This Row],[Weathersit]],[1]Lookup_Weather!A:B,2,FALSE)</f>
        <v>Mist</v>
      </c>
    </row>
    <row r="573" spans="1:21" x14ac:dyDescent="0.3">
      <c r="A573">
        <v>572</v>
      </c>
      <c r="B573" s="3">
        <v>40569</v>
      </c>
      <c r="C573" s="1">
        <v>1</v>
      </c>
      <c r="D573" s="1">
        <v>0</v>
      </c>
      <c r="E573" s="1">
        <v>1</v>
      </c>
      <c r="F573" s="1">
        <v>0</v>
      </c>
      <c r="G573" t="b">
        <v>0</v>
      </c>
      <c r="H573" s="1">
        <v>3</v>
      </c>
      <c r="I573" s="1">
        <v>2</v>
      </c>
      <c r="J573" s="2">
        <v>0.22</v>
      </c>
      <c r="K573" s="2">
        <v>0.2273</v>
      </c>
      <c r="L573" s="2">
        <v>0.69</v>
      </c>
      <c r="M573" s="2">
        <v>0.1343</v>
      </c>
      <c r="N573" s="1">
        <v>3</v>
      </c>
      <c r="O573" s="1">
        <v>14</v>
      </c>
      <c r="P573" s="1">
        <v>17</v>
      </c>
      <c r="Q573" s="1" t="str">
        <f>IF(WEEKDAY(Bike_Sharing_Master6[[#This Row],[Dteday]],2)&gt;=6,"Weekend","Weekday")</f>
        <v>Weekday</v>
      </c>
      <c r="R573" s="1" t="str">
        <f xml:space="preserve"> IF(Bike_Sharing_Master6[[#This Row],[Hr]]&lt;6,"Late Night", IF(Bike_Sharing_Master6[[#This Row],[Hr]]&lt;10,"Morning Peak", IF(Bike_Sharing_Master6[[#This Row],[Hr]]&lt;17,"Daytime", IF(Bike_Sharing_Master6[[#This Row],[Hr]]&lt;21,"Evening Peak","Night"))))</f>
        <v>Late Night</v>
      </c>
      <c r="S573" s="1" t="str">
        <f>IF(Bike_Sharing_Master6[[#This Row],[Holiday]]=1,"Holiday","Non-Holiday")</f>
        <v>Non-Holiday</v>
      </c>
      <c r="T573" s="1" t="str">
        <f>IF(Bike_Sharing_Master6[[#This Row],[Cnt]]&lt;80,"Low",IF(Bike_Sharing_Master6[[#This Row],[Cnt]]&lt;160,"Medium","High"))</f>
        <v>Low</v>
      </c>
      <c r="U573" s="1" t="str">
        <f>VLOOKUP(Bike_Sharing_Master6[[#This Row],[Weathersit]],[1]Lookup_Weather!A:B,2,FALSE)</f>
        <v>Mist</v>
      </c>
    </row>
    <row r="574" spans="1:21" x14ac:dyDescent="0.3">
      <c r="A574">
        <v>573</v>
      </c>
      <c r="B574" s="3">
        <v>40569</v>
      </c>
      <c r="C574" s="1">
        <v>1</v>
      </c>
      <c r="D574" s="1">
        <v>0</v>
      </c>
      <c r="E574" s="1">
        <v>1</v>
      </c>
      <c r="F574" s="1">
        <v>1</v>
      </c>
      <c r="G574" t="b">
        <v>0</v>
      </c>
      <c r="H574" s="1">
        <v>3</v>
      </c>
      <c r="I574" s="1">
        <v>2</v>
      </c>
      <c r="J574" s="2">
        <v>0.24</v>
      </c>
      <c r="K574" s="2">
        <v>0.2424</v>
      </c>
      <c r="L574" s="2">
        <v>0.65</v>
      </c>
      <c r="M574" s="2">
        <v>0.1343</v>
      </c>
      <c r="N574" s="1">
        <v>0</v>
      </c>
      <c r="O574" s="1">
        <v>5</v>
      </c>
      <c r="P574" s="1">
        <v>5</v>
      </c>
      <c r="Q574" s="1" t="str">
        <f>IF(WEEKDAY(Bike_Sharing_Master6[[#This Row],[Dteday]],2)&gt;=6,"Weekend","Weekday")</f>
        <v>Weekday</v>
      </c>
      <c r="R574" s="1" t="str">
        <f xml:space="preserve"> IF(Bike_Sharing_Master6[[#This Row],[Hr]]&lt;6,"Late Night", IF(Bike_Sharing_Master6[[#This Row],[Hr]]&lt;10,"Morning Peak", IF(Bike_Sharing_Master6[[#This Row],[Hr]]&lt;17,"Daytime", IF(Bike_Sharing_Master6[[#This Row],[Hr]]&lt;21,"Evening Peak","Night"))))</f>
        <v>Late Night</v>
      </c>
      <c r="S574" s="1" t="str">
        <f>IF(Bike_Sharing_Master6[[#This Row],[Holiday]]=1,"Holiday","Non-Holiday")</f>
        <v>Non-Holiday</v>
      </c>
      <c r="T574" s="1" t="str">
        <f>IF(Bike_Sharing_Master6[[#This Row],[Cnt]]&lt;80,"Low",IF(Bike_Sharing_Master6[[#This Row],[Cnt]]&lt;160,"Medium","High"))</f>
        <v>Low</v>
      </c>
      <c r="U574" s="1" t="str">
        <f>VLOOKUP(Bike_Sharing_Master6[[#This Row],[Weathersit]],[1]Lookup_Weather!A:B,2,FALSE)</f>
        <v>Mist</v>
      </c>
    </row>
    <row r="575" spans="1:21" x14ac:dyDescent="0.3">
      <c r="A575">
        <v>574</v>
      </c>
      <c r="B575" s="3">
        <v>40569</v>
      </c>
      <c r="C575" s="1">
        <v>1</v>
      </c>
      <c r="D575" s="1">
        <v>0</v>
      </c>
      <c r="E575" s="1">
        <v>1</v>
      </c>
      <c r="F575" s="1">
        <v>2</v>
      </c>
      <c r="G575" t="b">
        <v>0</v>
      </c>
      <c r="H575" s="1">
        <v>3</v>
      </c>
      <c r="I575" s="1">
        <v>3</v>
      </c>
      <c r="J575" s="2">
        <v>0.22</v>
      </c>
      <c r="K575" s="2">
        <v>0.2273</v>
      </c>
      <c r="L575" s="2">
        <v>0.69</v>
      </c>
      <c r="M575" s="2">
        <v>0.19400000000000001</v>
      </c>
      <c r="N575" s="1">
        <v>3</v>
      </c>
      <c r="O575" s="1">
        <v>7</v>
      </c>
      <c r="P575" s="1">
        <v>10</v>
      </c>
      <c r="Q575" s="1" t="str">
        <f>IF(WEEKDAY(Bike_Sharing_Master6[[#This Row],[Dteday]],2)&gt;=6,"Weekend","Weekday")</f>
        <v>Weekday</v>
      </c>
      <c r="R575" s="1" t="str">
        <f xml:space="preserve"> IF(Bike_Sharing_Master6[[#This Row],[Hr]]&lt;6,"Late Night", IF(Bike_Sharing_Master6[[#This Row],[Hr]]&lt;10,"Morning Peak", IF(Bike_Sharing_Master6[[#This Row],[Hr]]&lt;17,"Daytime", IF(Bike_Sharing_Master6[[#This Row],[Hr]]&lt;21,"Evening Peak","Night"))))</f>
        <v>Late Night</v>
      </c>
      <c r="S575" s="1" t="str">
        <f>IF(Bike_Sharing_Master6[[#This Row],[Holiday]]=1,"Holiday","Non-Holiday")</f>
        <v>Non-Holiday</v>
      </c>
      <c r="T575" s="1" t="str">
        <f>IF(Bike_Sharing_Master6[[#This Row],[Cnt]]&lt;80,"Low",IF(Bike_Sharing_Master6[[#This Row],[Cnt]]&lt;160,"Medium","High"))</f>
        <v>Low</v>
      </c>
      <c r="U575" s="1" t="str">
        <f>VLOOKUP(Bike_Sharing_Master6[[#This Row],[Weathersit]],[1]Lookup_Weather!A:B,2,FALSE)</f>
        <v>Light Rain</v>
      </c>
    </row>
    <row r="576" spans="1:21" x14ac:dyDescent="0.3">
      <c r="A576">
        <v>575</v>
      </c>
      <c r="B576" s="3">
        <v>40569</v>
      </c>
      <c r="C576" s="1">
        <v>1</v>
      </c>
      <c r="D576" s="1">
        <v>0</v>
      </c>
      <c r="E576" s="1">
        <v>1</v>
      </c>
      <c r="F576" s="1">
        <v>5</v>
      </c>
      <c r="G576" t="b">
        <v>0</v>
      </c>
      <c r="H576" s="1">
        <v>3</v>
      </c>
      <c r="I576" s="1">
        <v>3</v>
      </c>
      <c r="J576" s="2">
        <v>0.2</v>
      </c>
      <c r="K576" s="2">
        <v>0.18179999999999999</v>
      </c>
      <c r="L576" s="2">
        <v>0.86</v>
      </c>
      <c r="M576" s="2">
        <v>0.28360000000000002</v>
      </c>
      <c r="N576" s="1">
        <v>0</v>
      </c>
      <c r="O576" s="1">
        <v>1</v>
      </c>
      <c r="P576" s="1">
        <v>1</v>
      </c>
      <c r="Q576" s="1" t="str">
        <f>IF(WEEKDAY(Bike_Sharing_Master6[[#This Row],[Dteday]],2)&gt;=6,"Weekend","Weekday")</f>
        <v>Weekday</v>
      </c>
      <c r="R576" s="1" t="str">
        <f xml:space="preserve"> IF(Bike_Sharing_Master6[[#This Row],[Hr]]&lt;6,"Late Night", IF(Bike_Sharing_Master6[[#This Row],[Hr]]&lt;10,"Morning Peak", IF(Bike_Sharing_Master6[[#This Row],[Hr]]&lt;17,"Daytime", IF(Bike_Sharing_Master6[[#This Row],[Hr]]&lt;21,"Evening Peak","Night"))))</f>
        <v>Late Night</v>
      </c>
      <c r="S576" s="1" t="str">
        <f>IF(Bike_Sharing_Master6[[#This Row],[Holiday]]=1,"Holiday","Non-Holiday")</f>
        <v>Non-Holiday</v>
      </c>
      <c r="T576" s="1" t="str">
        <f>IF(Bike_Sharing_Master6[[#This Row],[Cnt]]&lt;80,"Low",IF(Bike_Sharing_Master6[[#This Row],[Cnt]]&lt;160,"Medium","High"))</f>
        <v>Low</v>
      </c>
      <c r="U576" s="1" t="str">
        <f>VLOOKUP(Bike_Sharing_Master6[[#This Row],[Weathersit]],[1]Lookup_Weather!A:B,2,FALSE)</f>
        <v>Light Rain</v>
      </c>
    </row>
    <row r="577" spans="1:21" x14ac:dyDescent="0.3">
      <c r="A577">
        <v>576</v>
      </c>
      <c r="B577" s="3">
        <v>40569</v>
      </c>
      <c r="C577" s="1">
        <v>1</v>
      </c>
      <c r="D577" s="1">
        <v>0</v>
      </c>
      <c r="E577" s="1">
        <v>1</v>
      </c>
      <c r="F577" s="1">
        <v>6</v>
      </c>
      <c r="G577" t="b">
        <v>0</v>
      </c>
      <c r="H577" s="1">
        <v>3</v>
      </c>
      <c r="I577" s="1">
        <v>3</v>
      </c>
      <c r="J577" s="2">
        <v>0.2</v>
      </c>
      <c r="K577" s="2">
        <v>0.18179999999999999</v>
      </c>
      <c r="L577" s="2">
        <v>0.86</v>
      </c>
      <c r="M577" s="2">
        <v>0.28360000000000002</v>
      </c>
      <c r="N577" s="1">
        <v>0</v>
      </c>
      <c r="O577" s="1">
        <v>8</v>
      </c>
      <c r="P577" s="1">
        <v>8</v>
      </c>
      <c r="Q577" s="1" t="str">
        <f>IF(WEEKDAY(Bike_Sharing_Master6[[#This Row],[Dteday]],2)&gt;=6,"Weekend","Weekday")</f>
        <v>Weekday</v>
      </c>
      <c r="R577" s="1" t="str">
        <f xml:space="preserve"> IF(Bike_Sharing_Master6[[#This Row],[Hr]]&lt;6,"Late Night", IF(Bike_Sharing_Master6[[#This Row],[Hr]]&lt;10,"Morning Peak", IF(Bike_Sharing_Master6[[#This Row],[Hr]]&lt;17,"Daytime", IF(Bike_Sharing_Master6[[#This Row],[Hr]]&lt;21,"Evening Peak","Night"))))</f>
        <v>Morning Peak</v>
      </c>
      <c r="S577" s="1" t="str">
        <f>IF(Bike_Sharing_Master6[[#This Row],[Holiday]]=1,"Holiday","Non-Holiday")</f>
        <v>Non-Holiday</v>
      </c>
      <c r="T577" s="1" t="str">
        <f>IF(Bike_Sharing_Master6[[#This Row],[Cnt]]&lt;80,"Low",IF(Bike_Sharing_Master6[[#This Row],[Cnt]]&lt;160,"Medium","High"))</f>
        <v>Low</v>
      </c>
      <c r="U577" s="1" t="str">
        <f>VLOOKUP(Bike_Sharing_Master6[[#This Row],[Weathersit]],[1]Lookup_Weather!A:B,2,FALSE)</f>
        <v>Light Rain</v>
      </c>
    </row>
    <row r="578" spans="1:21" x14ac:dyDescent="0.3">
      <c r="A578">
        <v>577</v>
      </c>
      <c r="B578" s="3">
        <v>40569</v>
      </c>
      <c r="C578" s="1">
        <v>1</v>
      </c>
      <c r="D578" s="1">
        <v>0</v>
      </c>
      <c r="E578" s="1">
        <v>1</v>
      </c>
      <c r="F578" s="1">
        <v>7</v>
      </c>
      <c r="G578" t="b">
        <v>0</v>
      </c>
      <c r="H578" s="1">
        <v>3</v>
      </c>
      <c r="I578" s="1">
        <v>3</v>
      </c>
      <c r="J578" s="2">
        <v>0.22</v>
      </c>
      <c r="K578" s="2">
        <v>0.21210000000000001</v>
      </c>
      <c r="L578" s="2">
        <v>0.87</v>
      </c>
      <c r="M578" s="2">
        <v>0.29849999999999999</v>
      </c>
      <c r="N578" s="1">
        <v>1</v>
      </c>
      <c r="O578" s="1">
        <v>29</v>
      </c>
      <c r="P578" s="1">
        <v>30</v>
      </c>
      <c r="Q578" s="1" t="str">
        <f>IF(WEEKDAY(Bike_Sharing_Master6[[#This Row],[Dteday]],2)&gt;=6,"Weekend","Weekday")</f>
        <v>Weekday</v>
      </c>
      <c r="R578" s="1" t="str">
        <f xml:space="preserve"> IF(Bike_Sharing_Master6[[#This Row],[Hr]]&lt;6,"Late Night", IF(Bike_Sharing_Master6[[#This Row],[Hr]]&lt;10,"Morning Peak", IF(Bike_Sharing_Master6[[#This Row],[Hr]]&lt;17,"Daytime", IF(Bike_Sharing_Master6[[#This Row],[Hr]]&lt;21,"Evening Peak","Night"))))</f>
        <v>Morning Peak</v>
      </c>
      <c r="S578" s="1" t="str">
        <f>IF(Bike_Sharing_Master6[[#This Row],[Holiday]]=1,"Holiday","Non-Holiday")</f>
        <v>Non-Holiday</v>
      </c>
      <c r="T578" s="1" t="str">
        <f>IF(Bike_Sharing_Master6[[#This Row],[Cnt]]&lt;80,"Low",IF(Bike_Sharing_Master6[[#This Row],[Cnt]]&lt;160,"Medium","High"))</f>
        <v>Low</v>
      </c>
      <c r="U578" s="1" t="str">
        <f>VLOOKUP(Bike_Sharing_Master6[[#This Row],[Weathersit]],[1]Lookup_Weather!A:B,2,FALSE)</f>
        <v>Light Rain</v>
      </c>
    </row>
    <row r="579" spans="1:21" x14ac:dyDescent="0.3">
      <c r="A579">
        <v>578</v>
      </c>
      <c r="B579" s="3">
        <v>40569</v>
      </c>
      <c r="C579" s="1">
        <v>1</v>
      </c>
      <c r="D579" s="1">
        <v>0</v>
      </c>
      <c r="E579" s="1">
        <v>1</v>
      </c>
      <c r="F579" s="1">
        <v>8</v>
      </c>
      <c r="G579" t="b">
        <v>0</v>
      </c>
      <c r="H579" s="1">
        <v>3</v>
      </c>
      <c r="I579" s="1">
        <v>3</v>
      </c>
      <c r="J579" s="2">
        <v>0.22</v>
      </c>
      <c r="K579" s="2">
        <v>0.21210000000000001</v>
      </c>
      <c r="L579" s="2">
        <v>0.87</v>
      </c>
      <c r="M579" s="2">
        <v>0.29849999999999999</v>
      </c>
      <c r="N579" s="1">
        <v>3</v>
      </c>
      <c r="O579" s="1">
        <v>69</v>
      </c>
      <c r="P579" s="1">
        <v>72</v>
      </c>
      <c r="Q579" s="1" t="str">
        <f>IF(WEEKDAY(Bike_Sharing_Master6[[#This Row],[Dteday]],2)&gt;=6,"Weekend","Weekday")</f>
        <v>Weekday</v>
      </c>
      <c r="R579" s="1" t="str">
        <f xml:space="preserve"> IF(Bike_Sharing_Master6[[#This Row],[Hr]]&lt;6,"Late Night", IF(Bike_Sharing_Master6[[#This Row],[Hr]]&lt;10,"Morning Peak", IF(Bike_Sharing_Master6[[#This Row],[Hr]]&lt;17,"Daytime", IF(Bike_Sharing_Master6[[#This Row],[Hr]]&lt;21,"Evening Peak","Night"))))</f>
        <v>Morning Peak</v>
      </c>
      <c r="S579" s="1" t="str">
        <f>IF(Bike_Sharing_Master6[[#This Row],[Holiday]]=1,"Holiday","Non-Holiday")</f>
        <v>Non-Holiday</v>
      </c>
      <c r="T579" s="1" t="str">
        <f>IF(Bike_Sharing_Master6[[#This Row],[Cnt]]&lt;80,"Low",IF(Bike_Sharing_Master6[[#This Row],[Cnt]]&lt;160,"Medium","High"))</f>
        <v>Low</v>
      </c>
      <c r="U579" s="1" t="str">
        <f>VLOOKUP(Bike_Sharing_Master6[[#This Row],[Weathersit]],[1]Lookup_Weather!A:B,2,FALSE)</f>
        <v>Light Rain</v>
      </c>
    </row>
    <row r="580" spans="1:21" x14ac:dyDescent="0.3">
      <c r="A580">
        <v>579</v>
      </c>
      <c r="B580" s="3">
        <v>40569</v>
      </c>
      <c r="C580" s="1">
        <v>1</v>
      </c>
      <c r="D580" s="1">
        <v>0</v>
      </c>
      <c r="E580" s="1">
        <v>1</v>
      </c>
      <c r="F580" s="1">
        <v>9</v>
      </c>
      <c r="G580" t="b">
        <v>0</v>
      </c>
      <c r="H580" s="1">
        <v>3</v>
      </c>
      <c r="I580" s="1">
        <v>3</v>
      </c>
      <c r="J580" s="2">
        <v>0.22</v>
      </c>
      <c r="K580" s="2">
        <v>0.21210000000000001</v>
      </c>
      <c r="L580" s="2">
        <v>0.87</v>
      </c>
      <c r="M580" s="2">
        <v>0.29849999999999999</v>
      </c>
      <c r="N580" s="1">
        <v>3</v>
      </c>
      <c r="O580" s="1">
        <v>55</v>
      </c>
      <c r="P580" s="1">
        <v>58</v>
      </c>
      <c r="Q580" s="1" t="str">
        <f>IF(WEEKDAY(Bike_Sharing_Master6[[#This Row],[Dteday]],2)&gt;=6,"Weekend","Weekday")</f>
        <v>Weekday</v>
      </c>
      <c r="R580" s="1" t="str">
        <f xml:space="preserve"> IF(Bike_Sharing_Master6[[#This Row],[Hr]]&lt;6,"Late Night", IF(Bike_Sharing_Master6[[#This Row],[Hr]]&lt;10,"Morning Peak", IF(Bike_Sharing_Master6[[#This Row],[Hr]]&lt;17,"Daytime", IF(Bike_Sharing_Master6[[#This Row],[Hr]]&lt;21,"Evening Peak","Night"))))</f>
        <v>Morning Peak</v>
      </c>
      <c r="S580" s="1" t="str">
        <f>IF(Bike_Sharing_Master6[[#This Row],[Holiday]]=1,"Holiday","Non-Holiday")</f>
        <v>Non-Holiday</v>
      </c>
      <c r="T580" s="1" t="str">
        <f>IF(Bike_Sharing_Master6[[#This Row],[Cnt]]&lt;80,"Low",IF(Bike_Sharing_Master6[[#This Row],[Cnt]]&lt;160,"Medium","High"))</f>
        <v>Low</v>
      </c>
      <c r="U580" s="1" t="str">
        <f>VLOOKUP(Bike_Sharing_Master6[[#This Row],[Weathersit]],[1]Lookup_Weather!A:B,2,FALSE)</f>
        <v>Light Rain</v>
      </c>
    </row>
    <row r="581" spans="1:21" x14ac:dyDescent="0.3">
      <c r="A581">
        <v>580</v>
      </c>
      <c r="B581" s="3">
        <v>40569</v>
      </c>
      <c r="C581" s="1">
        <v>1</v>
      </c>
      <c r="D581" s="1">
        <v>0</v>
      </c>
      <c r="E581" s="1">
        <v>1</v>
      </c>
      <c r="F581" s="1">
        <v>10</v>
      </c>
      <c r="G581" t="b">
        <v>0</v>
      </c>
      <c r="H581" s="1">
        <v>3</v>
      </c>
      <c r="I581" s="1">
        <v>3</v>
      </c>
      <c r="J581" s="2">
        <v>0.22</v>
      </c>
      <c r="K581" s="2">
        <v>0.21210000000000001</v>
      </c>
      <c r="L581" s="2">
        <v>0.93</v>
      </c>
      <c r="M581" s="2">
        <v>0.28360000000000002</v>
      </c>
      <c r="N581" s="1">
        <v>2</v>
      </c>
      <c r="O581" s="1">
        <v>26</v>
      </c>
      <c r="P581" s="1">
        <v>28</v>
      </c>
      <c r="Q581" s="1" t="str">
        <f>IF(WEEKDAY(Bike_Sharing_Master6[[#This Row],[Dteday]],2)&gt;=6,"Weekend","Weekday")</f>
        <v>Weekday</v>
      </c>
      <c r="R581" s="1" t="str">
        <f xml:space="preserve"> IF(Bike_Sharing_Master6[[#This Row],[Hr]]&lt;6,"Late Night", IF(Bike_Sharing_Master6[[#This Row],[Hr]]&lt;10,"Morning Peak", IF(Bike_Sharing_Master6[[#This Row],[Hr]]&lt;17,"Daytime", IF(Bike_Sharing_Master6[[#This Row],[Hr]]&lt;21,"Evening Peak","Night"))))</f>
        <v>Daytime</v>
      </c>
      <c r="S581" s="1" t="str">
        <f>IF(Bike_Sharing_Master6[[#This Row],[Holiday]]=1,"Holiday","Non-Holiday")</f>
        <v>Non-Holiday</v>
      </c>
      <c r="T581" s="1" t="str">
        <f>IF(Bike_Sharing_Master6[[#This Row],[Cnt]]&lt;80,"Low",IF(Bike_Sharing_Master6[[#This Row],[Cnt]]&lt;160,"Medium","High"))</f>
        <v>Low</v>
      </c>
      <c r="U581" s="1" t="str">
        <f>VLOOKUP(Bike_Sharing_Master6[[#This Row],[Weathersit]],[1]Lookup_Weather!A:B,2,FALSE)</f>
        <v>Light Rain</v>
      </c>
    </row>
    <row r="582" spans="1:21" x14ac:dyDescent="0.3">
      <c r="A582">
        <v>581</v>
      </c>
      <c r="B582" s="3">
        <v>40569</v>
      </c>
      <c r="C582" s="1">
        <v>1</v>
      </c>
      <c r="D582" s="1">
        <v>0</v>
      </c>
      <c r="E582" s="1">
        <v>1</v>
      </c>
      <c r="F582" s="1">
        <v>11</v>
      </c>
      <c r="G582" t="b">
        <v>0</v>
      </c>
      <c r="H582" s="1">
        <v>3</v>
      </c>
      <c r="I582" s="1">
        <v>3</v>
      </c>
      <c r="J582" s="2">
        <v>0.22</v>
      </c>
      <c r="K582" s="2">
        <v>0.19700000000000001</v>
      </c>
      <c r="L582" s="2">
        <v>0.93</v>
      </c>
      <c r="M582" s="2">
        <v>0.32840000000000003</v>
      </c>
      <c r="N582" s="1">
        <v>6</v>
      </c>
      <c r="O582" s="1">
        <v>35</v>
      </c>
      <c r="P582" s="1">
        <v>41</v>
      </c>
      <c r="Q582" s="1" t="str">
        <f>IF(WEEKDAY(Bike_Sharing_Master6[[#This Row],[Dteday]],2)&gt;=6,"Weekend","Weekday")</f>
        <v>Weekday</v>
      </c>
      <c r="R582" s="1" t="str">
        <f xml:space="preserve"> IF(Bike_Sharing_Master6[[#This Row],[Hr]]&lt;6,"Late Night", IF(Bike_Sharing_Master6[[#This Row],[Hr]]&lt;10,"Morning Peak", IF(Bike_Sharing_Master6[[#This Row],[Hr]]&lt;17,"Daytime", IF(Bike_Sharing_Master6[[#This Row],[Hr]]&lt;21,"Evening Peak","Night"))))</f>
        <v>Daytime</v>
      </c>
      <c r="S582" s="1" t="str">
        <f>IF(Bike_Sharing_Master6[[#This Row],[Holiday]]=1,"Holiday","Non-Holiday")</f>
        <v>Non-Holiday</v>
      </c>
      <c r="T582" s="1" t="str">
        <f>IF(Bike_Sharing_Master6[[#This Row],[Cnt]]&lt;80,"Low",IF(Bike_Sharing_Master6[[#This Row],[Cnt]]&lt;160,"Medium","High"))</f>
        <v>Low</v>
      </c>
      <c r="U582" s="1" t="str">
        <f>VLOOKUP(Bike_Sharing_Master6[[#This Row],[Weathersit]],[1]Lookup_Weather!A:B,2,FALSE)</f>
        <v>Light Rain</v>
      </c>
    </row>
    <row r="583" spans="1:21" x14ac:dyDescent="0.3">
      <c r="A583">
        <v>582</v>
      </c>
      <c r="B583" s="3">
        <v>40569</v>
      </c>
      <c r="C583" s="1">
        <v>1</v>
      </c>
      <c r="D583" s="1">
        <v>0</v>
      </c>
      <c r="E583" s="1">
        <v>1</v>
      </c>
      <c r="F583" s="1">
        <v>12</v>
      </c>
      <c r="G583" t="b">
        <v>0</v>
      </c>
      <c r="H583" s="1">
        <v>3</v>
      </c>
      <c r="I583" s="1">
        <v>3</v>
      </c>
      <c r="J583" s="2">
        <v>0.22</v>
      </c>
      <c r="K583" s="2">
        <v>0.19700000000000001</v>
      </c>
      <c r="L583" s="2">
        <v>0.93</v>
      </c>
      <c r="M583" s="2">
        <v>0.32840000000000003</v>
      </c>
      <c r="N583" s="1">
        <v>7</v>
      </c>
      <c r="O583" s="1">
        <v>41</v>
      </c>
      <c r="P583" s="1">
        <v>48</v>
      </c>
      <c r="Q583" s="1" t="str">
        <f>IF(WEEKDAY(Bike_Sharing_Master6[[#This Row],[Dteday]],2)&gt;=6,"Weekend","Weekday")</f>
        <v>Weekday</v>
      </c>
      <c r="R583" s="1" t="str">
        <f xml:space="preserve"> IF(Bike_Sharing_Master6[[#This Row],[Hr]]&lt;6,"Late Night", IF(Bike_Sharing_Master6[[#This Row],[Hr]]&lt;10,"Morning Peak", IF(Bike_Sharing_Master6[[#This Row],[Hr]]&lt;17,"Daytime", IF(Bike_Sharing_Master6[[#This Row],[Hr]]&lt;21,"Evening Peak","Night"))))</f>
        <v>Daytime</v>
      </c>
      <c r="S583" s="1" t="str">
        <f>IF(Bike_Sharing_Master6[[#This Row],[Holiday]]=1,"Holiday","Non-Holiday")</f>
        <v>Non-Holiday</v>
      </c>
      <c r="T583" s="1" t="str">
        <f>IF(Bike_Sharing_Master6[[#This Row],[Cnt]]&lt;80,"Low",IF(Bike_Sharing_Master6[[#This Row],[Cnt]]&lt;160,"Medium","High"))</f>
        <v>Low</v>
      </c>
      <c r="U583" s="1" t="str">
        <f>VLOOKUP(Bike_Sharing_Master6[[#This Row],[Weathersit]],[1]Lookup_Weather!A:B,2,FALSE)</f>
        <v>Light Rain</v>
      </c>
    </row>
    <row r="584" spans="1:21" x14ac:dyDescent="0.3">
      <c r="A584">
        <v>583</v>
      </c>
      <c r="B584" s="3">
        <v>40569</v>
      </c>
      <c r="C584" s="1">
        <v>1</v>
      </c>
      <c r="D584" s="1">
        <v>0</v>
      </c>
      <c r="E584" s="1">
        <v>1</v>
      </c>
      <c r="F584" s="1">
        <v>13</v>
      </c>
      <c r="G584" t="b">
        <v>0</v>
      </c>
      <c r="H584" s="1">
        <v>3</v>
      </c>
      <c r="I584" s="1">
        <v>3</v>
      </c>
      <c r="J584" s="2">
        <v>0.22</v>
      </c>
      <c r="K584" s="2">
        <v>0.19700000000000001</v>
      </c>
      <c r="L584" s="2">
        <v>0.93</v>
      </c>
      <c r="M584" s="2">
        <v>0.32840000000000003</v>
      </c>
      <c r="N584" s="1">
        <v>4</v>
      </c>
      <c r="O584" s="1">
        <v>43</v>
      </c>
      <c r="P584" s="1">
        <v>47</v>
      </c>
      <c r="Q584" s="1" t="str">
        <f>IF(WEEKDAY(Bike_Sharing_Master6[[#This Row],[Dteday]],2)&gt;=6,"Weekend","Weekday")</f>
        <v>Weekday</v>
      </c>
      <c r="R584" s="1" t="str">
        <f xml:space="preserve"> IF(Bike_Sharing_Master6[[#This Row],[Hr]]&lt;6,"Late Night", IF(Bike_Sharing_Master6[[#This Row],[Hr]]&lt;10,"Morning Peak", IF(Bike_Sharing_Master6[[#This Row],[Hr]]&lt;17,"Daytime", IF(Bike_Sharing_Master6[[#This Row],[Hr]]&lt;21,"Evening Peak","Night"))))</f>
        <v>Daytime</v>
      </c>
      <c r="S584" s="1" t="str">
        <f>IF(Bike_Sharing_Master6[[#This Row],[Holiday]]=1,"Holiday","Non-Holiday")</f>
        <v>Non-Holiday</v>
      </c>
      <c r="T584" s="1" t="str">
        <f>IF(Bike_Sharing_Master6[[#This Row],[Cnt]]&lt;80,"Low",IF(Bike_Sharing_Master6[[#This Row],[Cnt]]&lt;160,"Medium","High"))</f>
        <v>Low</v>
      </c>
      <c r="U584" s="1" t="str">
        <f>VLOOKUP(Bike_Sharing_Master6[[#This Row],[Weathersit]],[1]Lookup_Weather!A:B,2,FALSE)</f>
        <v>Light Rain</v>
      </c>
    </row>
    <row r="585" spans="1:21" x14ac:dyDescent="0.3">
      <c r="A585">
        <v>584</v>
      </c>
      <c r="B585" s="3">
        <v>40569</v>
      </c>
      <c r="C585" s="1">
        <v>1</v>
      </c>
      <c r="D585" s="1">
        <v>0</v>
      </c>
      <c r="E585" s="1">
        <v>1</v>
      </c>
      <c r="F585" s="1">
        <v>14</v>
      </c>
      <c r="G585" t="b">
        <v>0</v>
      </c>
      <c r="H585" s="1">
        <v>3</v>
      </c>
      <c r="I585" s="1">
        <v>3</v>
      </c>
      <c r="J585" s="2">
        <v>0.22</v>
      </c>
      <c r="K585" s="2">
        <v>0.19700000000000001</v>
      </c>
      <c r="L585" s="2">
        <v>0.93</v>
      </c>
      <c r="M585" s="2">
        <v>0.35820000000000002</v>
      </c>
      <c r="N585" s="1">
        <v>0</v>
      </c>
      <c r="O585" s="1">
        <v>36</v>
      </c>
      <c r="P585" s="1">
        <v>36</v>
      </c>
      <c r="Q585" s="1" t="str">
        <f>IF(WEEKDAY(Bike_Sharing_Master6[[#This Row],[Dteday]],2)&gt;=6,"Weekend","Weekday")</f>
        <v>Weekday</v>
      </c>
      <c r="R585" s="1" t="str">
        <f xml:space="preserve"> IF(Bike_Sharing_Master6[[#This Row],[Hr]]&lt;6,"Late Night", IF(Bike_Sharing_Master6[[#This Row],[Hr]]&lt;10,"Morning Peak", IF(Bike_Sharing_Master6[[#This Row],[Hr]]&lt;17,"Daytime", IF(Bike_Sharing_Master6[[#This Row],[Hr]]&lt;21,"Evening Peak","Night"))))</f>
        <v>Daytime</v>
      </c>
      <c r="S585" s="1" t="str">
        <f>IF(Bike_Sharing_Master6[[#This Row],[Holiday]]=1,"Holiday","Non-Holiday")</f>
        <v>Non-Holiday</v>
      </c>
      <c r="T585" s="1" t="str">
        <f>IF(Bike_Sharing_Master6[[#This Row],[Cnt]]&lt;80,"Low",IF(Bike_Sharing_Master6[[#This Row],[Cnt]]&lt;160,"Medium","High"))</f>
        <v>Low</v>
      </c>
      <c r="U585" s="1" t="str">
        <f>VLOOKUP(Bike_Sharing_Master6[[#This Row],[Weathersit]],[1]Lookup_Weather!A:B,2,FALSE)</f>
        <v>Light Rain</v>
      </c>
    </row>
    <row r="586" spans="1:21" x14ac:dyDescent="0.3">
      <c r="A586">
        <v>585</v>
      </c>
      <c r="B586" s="3">
        <v>40569</v>
      </c>
      <c r="C586" s="1">
        <v>1</v>
      </c>
      <c r="D586" s="1">
        <v>0</v>
      </c>
      <c r="E586" s="1">
        <v>1</v>
      </c>
      <c r="F586" s="1">
        <v>15</v>
      </c>
      <c r="G586" t="b">
        <v>0</v>
      </c>
      <c r="H586" s="1">
        <v>3</v>
      </c>
      <c r="I586" s="1">
        <v>3</v>
      </c>
      <c r="J586" s="2">
        <v>0.22</v>
      </c>
      <c r="K586" s="2">
        <v>0.18179999999999999</v>
      </c>
      <c r="L586" s="2">
        <v>0.93</v>
      </c>
      <c r="M586" s="2">
        <v>0.4627</v>
      </c>
      <c r="N586" s="1">
        <v>1</v>
      </c>
      <c r="O586" s="1">
        <v>42</v>
      </c>
      <c r="P586" s="1">
        <v>43</v>
      </c>
      <c r="Q586" s="1" t="str">
        <f>IF(WEEKDAY(Bike_Sharing_Master6[[#This Row],[Dteday]],2)&gt;=6,"Weekend","Weekday")</f>
        <v>Weekday</v>
      </c>
      <c r="R586" s="1" t="str">
        <f xml:space="preserve"> IF(Bike_Sharing_Master6[[#This Row],[Hr]]&lt;6,"Late Night", IF(Bike_Sharing_Master6[[#This Row],[Hr]]&lt;10,"Morning Peak", IF(Bike_Sharing_Master6[[#This Row],[Hr]]&lt;17,"Daytime", IF(Bike_Sharing_Master6[[#This Row],[Hr]]&lt;21,"Evening Peak","Night"))))</f>
        <v>Daytime</v>
      </c>
      <c r="S586" s="1" t="str">
        <f>IF(Bike_Sharing_Master6[[#This Row],[Holiday]]=1,"Holiday","Non-Holiday")</f>
        <v>Non-Holiday</v>
      </c>
      <c r="T586" s="1" t="str">
        <f>IF(Bike_Sharing_Master6[[#This Row],[Cnt]]&lt;80,"Low",IF(Bike_Sharing_Master6[[#This Row],[Cnt]]&lt;160,"Medium","High"))</f>
        <v>Low</v>
      </c>
      <c r="U586" s="1" t="str">
        <f>VLOOKUP(Bike_Sharing_Master6[[#This Row],[Weathersit]],[1]Lookup_Weather!A:B,2,FALSE)</f>
        <v>Light Rain</v>
      </c>
    </row>
    <row r="587" spans="1:21" x14ac:dyDescent="0.3">
      <c r="A587">
        <v>586</v>
      </c>
      <c r="B587" s="3">
        <v>40569</v>
      </c>
      <c r="C587" s="1">
        <v>1</v>
      </c>
      <c r="D587" s="1">
        <v>0</v>
      </c>
      <c r="E587" s="1">
        <v>1</v>
      </c>
      <c r="F587" s="1">
        <v>16</v>
      </c>
      <c r="G587" t="b">
        <v>0</v>
      </c>
      <c r="H587" s="1">
        <v>3</v>
      </c>
      <c r="I587" s="1">
        <v>4</v>
      </c>
      <c r="J587" s="2">
        <v>0.22</v>
      </c>
      <c r="K587" s="2">
        <v>0.19700000000000001</v>
      </c>
      <c r="L587" s="2">
        <v>0.93</v>
      </c>
      <c r="M587" s="2">
        <v>0.32840000000000003</v>
      </c>
      <c r="N587" s="1">
        <v>1</v>
      </c>
      <c r="O587" s="1">
        <v>35</v>
      </c>
      <c r="P587" s="1">
        <v>36</v>
      </c>
      <c r="Q587" s="1" t="str">
        <f>IF(WEEKDAY(Bike_Sharing_Master6[[#This Row],[Dteday]],2)&gt;=6,"Weekend","Weekday")</f>
        <v>Weekday</v>
      </c>
      <c r="R587" s="1" t="str">
        <f xml:space="preserve"> IF(Bike_Sharing_Master6[[#This Row],[Hr]]&lt;6,"Late Night", IF(Bike_Sharing_Master6[[#This Row],[Hr]]&lt;10,"Morning Peak", IF(Bike_Sharing_Master6[[#This Row],[Hr]]&lt;17,"Daytime", IF(Bike_Sharing_Master6[[#This Row],[Hr]]&lt;21,"Evening Peak","Night"))))</f>
        <v>Daytime</v>
      </c>
      <c r="S587" s="1" t="str">
        <f>IF(Bike_Sharing_Master6[[#This Row],[Holiday]]=1,"Holiday","Non-Holiday")</f>
        <v>Non-Holiday</v>
      </c>
      <c r="T587" s="1" t="str">
        <f>IF(Bike_Sharing_Master6[[#This Row],[Cnt]]&lt;80,"Low",IF(Bike_Sharing_Master6[[#This Row],[Cnt]]&lt;160,"Medium","High"))</f>
        <v>Low</v>
      </c>
      <c r="U587" s="1" t="str">
        <f>VLOOKUP(Bike_Sharing_Master6[[#This Row],[Weathersit]],[1]Lookup_Weather!A:B,2,FALSE)</f>
        <v>Heavy Rain</v>
      </c>
    </row>
    <row r="588" spans="1:21" x14ac:dyDescent="0.3">
      <c r="A588">
        <v>587</v>
      </c>
      <c r="B588" s="3">
        <v>40569</v>
      </c>
      <c r="C588" s="1">
        <v>1</v>
      </c>
      <c r="D588" s="1">
        <v>0</v>
      </c>
      <c r="E588" s="1">
        <v>1</v>
      </c>
      <c r="F588" s="1">
        <v>17</v>
      </c>
      <c r="G588" t="b">
        <v>0</v>
      </c>
      <c r="H588" s="1">
        <v>3</v>
      </c>
      <c r="I588" s="1">
        <v>3</v>
      </c>
      <c r="J588" s="2">
        <v>0.2</v>
      </c>
      <c r="K588" s="2">
        <v>0.18179999999999999</v>
      </c>
      <c r="L588" s="2">
        <v>0.93</v>
      </c>
      <c r="M588" s="2">
        <v>0.35820000000000002</v>
      </c>
      <c r="N588" s="1">
        <v>0</v>
      </c>
      <c r="O588" s="1">
        <v>26</v>
      </c>
      <c r="P588" s="1">
        <v>26</v>
      </c>
      <c r="Q588" s="1" t="str">
        <f>IF(WEEKDAY(Bike_Sharing_Master6[[#This Row],[Dteday]],2)&gt;=6,"Weekend","Weekday")</f>
        <v>Weekday</v>
      </c>
      <c r="R588" s="1" t="str">
        <f xml:space="preserve"> IF(Bike_Sharing_Master6[[#This Row],[Hr]]&lt;6,"Late Night", IF(Bike_Sharing_Master6[[#This Row],[Hr]]&lt;10,"Morning Peak", IF(Bike_Sharing_Master6[[#This Row],[Hr]]&lt;17,"Daytime", IF(Bike_Sharing_Master6[[#This Row],[Hr]]&lt;21,"Evening Peak","Night"))))</f>
        <v>Evening Peak</v>
      </c>
      <c r="S588" s="1" t="str">
        <f>IF(Bike_Sharing_Master6[[#This Row],[Holiday]]=1,"Holiday","Non-Holiday")</f>
        <v>Non-Holiday</v>
      </c>
      <c r="T588" s="1" t="str">
        <f>IF(Bike_Sharing_Master6[[#This Row],[Cnt]]&lt;80,"Low",IF(Bike_Sharing_Master6[[#This Row],[Cnt]]&lt;160,"Medium","High"))</f>
        <v>Low</v>
      </c>
      <c r="U588" s="1" t="str">
        <f>VLOOKUP(Bike_Sharing_Master6[[#This Row],[Weathersit]],[1]Lookup_Weather!A:B,2,FALSE)</f>
        <v>Light Rain</v>
      </c>
    </row>
    <row r="589" spans="1:21" x14ac:dyDescent="0.3">
      <c r="A589">
        <v>588</v>
      </c>
      <c r="B589" s="3">
        <v>40570</v>
      </c>
      <c r="C589" s="1">
        <v>1</v>
      </c>
      <c r="D589" s="1">
        <v>0</v>
      </c>
      <c r="E589" s="1">
        <v>1</v>
      </c>
      <c r="F589" s="1">
        <v>16</v>
      </c>
      <c r="G589" t="b">
        <v>0</v>
      </c>
      <c r="H589" s="1">
        <v>4</v>
      </c>
      <c r="I589" s="1">
        <v>1</v>
      </c>
      <c r="J589" s="2">
        <v>0.22</v>
      </c>
      <c r="K589" s="2">
        <v>0.2273</v>
      </c>
      <c r="L589" s="2">
        <v>0.55000000000000004</v>
      </c>
      <c r="M589" s="2">
        <v>0.19400000000000001</v>
      </c>
      <c r="N589" s="1">
        <v>1</v>
      </c>
      <c r="O589" s="1">
        <v>23</v>
      </c>
      <c r="P589" s="1">
        <v>24</v>
      </c>
      <c r="Q589" s="1" t="str">
        <f>IF(WEEKDAY(Bike_Sharing_Master6[[#This Row],[Dteday]],2)&gt;=6,"Weekend","Weekday")</f>
        <v>Weekday</v>
      </c>
      <c r="R589" s="1" t="str">
        <f xml:space="preserve"> IF(Bike_Sharing_Master6[[#This Row],[Hr]]&lt;6,"Late Night", IF(Bike_Sharing_Master6[[#This Row],[Hr]]&lt;10,"Morning Peak", IF(Bike_Sharing_Master6[[#This Row],[Hr]]&lt;17,"Daytime", IF(Bike_Sharing_Master6[[#This Row],[Hr]]&lt;21,"Evening Peak","Night"))))</f>
        <v>Daytime</v>
      </c>
      <c r="S589" s="1" t="str">
        <f>IF(Bike_Sharing_Master6[[#This Row],[Holiday]]=1,"Holiday","Non-Holiday")</f>
        <v>Non-Holiday</v>
      </c>
      <c r="T589" s="1" t="str">
        <f>IF(Bike_Sharing_Master6[[#This Row],[Cnt]]&lt;80,"Low",IF(Bike_Sharing_Master6[[#This Row],[Cnt]]&lt;160,"Medium","High"))</f>
        <v>Low</v>
      </c>
      <c r="U589" s="1" t="str">
        <f>VLOOKUP(Bike_Sharing_Master6[[#This Row],[Weathersit]],[1]Lookup_Weather!A:B,2,FALSE)</f>
        <v>Clear</v>
      </c>
    </row>
    <row r="590" spans="1:21" x14ac:dyDescent="0.3">
      <c r="A590">
        <v>589</v>
      </c>
      <c r="B590" s="3">
        <v>40570</v>
      </c>
      <c r="C590" s="1">
        <v>1</v>
      </c>
      <c r="D590" s="1">
        <v>0</v>
      </c>
      <c r="E590" s="1">
        <v>1</v>
      </c>
      <c r="F590" s="1">
        <v>17</v>
      </c>
      <c r="G590" t="b">
        <v>0</v>
      </c>
      <c r="H590" s="1">
        <v>4</v>
      </c>
      <c r="I590" s="1">
        <v>1</v>
      </c>
      <c r="J590" s="2">
        <v>0.22</v>
      </c>
      <c r="K590" s="2">
        <v>0.2424</v>
      </c>
      <c r="L590" s="2">
        <v>0.55000000000000004</v>
      </c>
      <c r="M590" s="2">
        <v>0.1045</v>
      </c>
      <c r="N590" s="1">
        <v>2</v>
      </c>
      <c r="O590" s="1">
        <v>82</v>
      </c>
      <c r="P590" s="1">
        <v>84</v>
      </c>
      <c r="Q590" s="1" t="str">
        <f>IF(WEEKDAY(Bike_Sharing_Master6[[#This Row],[Dteday]],2)&gt;=6,"Weekend","Weekday")</f>
        <v>Weekday</v>
      </c>
      <c r="R590" s="1" t="str">
        <f xml:space="preserve"> IF(Bike_Sharing_Master6[[#This Row],[Hr]]&lt;6,"Late Night", IF(Bike_Sharing_Master6[[#This Row],[Hr]]&lt;10,"Morning Peak", IF(Bike_Sharing_Master6[[#This Row],[Hr]]&lt;17,"Daytime", IF(Bike_Sharing_Master6[[#This Row],[Hr]]&lt;21,"Evening Peak","Night"))))</f>
        <v>Evening Peak</v>
      </c>
      <c r="S590" s="1" t="str">
        <f>IF(Bike_Sharing_Master6[[#This Row],[Holiday]]=1,"Holiday","Non-Holiday")</f>
        <v>Non-Holiday</v>
      </c>
      <c r="T590" s="1" t="str">
        <f>IF(Bike_Sharing_Master6[[#This Row],[Cnt]]&lt;80,"Low",IF(Bike_Sharing_Master6[[#This Row],[Cnt]]&lt;160,"Medium","High"))</f>
        <v>Medium</v>
      </c>
      <c r="U590" s="1" t="str">
        <f>VLOOKUP(Bike_Sharing_Master6[[#This Row],[Weathersit]],[1]Lookup_Weather!A:B,2,FALSE)</f>
        <v>Clear</v>
      </c>
    </row>
    <row r="591" spans="1:21" x14ac:dyDescent="0.3">
      <c r="A591">
        <v>590</v>
      </c>
      <c r="B591" s="3">
        <v>40570</v>
      </c>
      <c r="C591" s="1">
        <v>1</v>
      </c>
      <c r="D591" s="1">
        <v>0</v>
      </c>
      <c r="E591" s="1">
        <v>1</v>
      </c>
      <c r="F591" s="1">
        <v>18</v>
      </c>
      <c r="G591" t="b">
        <v>0</v>
      </c>
      <c r="H591" s="1">
        <v>4</v>
      </c>
      <c r="I591" s="1">
        <v>1</v>
      </c>
      <c r="J591" s="2">
        <v>0.2</v>
      </c>
      <c r="K591" s="2">
        <v>0.2273</v>
      </c>
      <c r="L591" s="2">
        <v>0.69</v>
      </c>
      <c r="M591" s="2">
        <v>8.9599999999999999E-2</v>
      </c>
      <c r="N591" s="1">
        <v>3</v>
      </c>
      <c r="O591" s="1">
        <v>101</v>
      </c>
      <c r="P591" s="1">
        <v>104</v>
      </c>
      <c r="Q591" s="1" t="str">
        <f>IF(WEEKDAY(Bike_Sharing_Master6[[#This Row],[Dteday]],2)&gt;=6,"Weekend","Weekday")</f>
        <v>Weekday</v>
      </c>
      <c r="R591" s="1" t="str">
        <f xml:space="preserve"> IF(Bike_Sharing_Master6[[#This Row],[Hr]]&lt;6,"Late Night", IF(Bike_Sharing_Master6[[#This Row],[Hr]]&lt;10,"Morning Peak", IF(Bike_Sharing_Master6[[#This Row],[Hr]]&lt;17,"Daytime", IF(Bike_Sharing_Master6[[#This Row],[Hr]]&lt;21,"Evening Peak","Night"))))</f>
        <v>Evening Peak</v>
      </c>
      <c r="S591" s="1" t="str">
        <f>IF(Bike_Sharing_Master6[[#This Row],[Holiday]]=1,"Holiday","Non-Holiday")</f>
        <v>Non-Holiday</v>
      </c>
      <c r="T591" s="1" t="str">
        <f>IF(Bike_Sharing_Master6[[#This Row],[Cnt]]&lt;80,"Low",IF(Bike_Sharing_Master6[[#This Row],[Cnt]]&lt;160,"Medium","High"))</f>
        <v>Medium</v>
      </c>
      <c r="U591" s="1" t="str">
        <f>VLOOKUP(Bike_Sharing_Master6[[#This Row],[Weathersit]],[1]Lookup_Weather!A:B,2,FALSE)</f>
        <v>Clear</v>
      </c>
    </row>
    <row r="592" spans="1:21" x14ac:dyDescent="0.3">
      <c r="A592">
        <v>591</v>
      </c>
      <c r="B592" s="3">
        <v>40570</v>
      </c>
      <c r="C592" s="1">
        <v>1</v>
      </c>
      <c r="D592" s="1">
        <v>0</v>
      </c>
      <c r="E592" s="1">
        <v>1</v>
      </c>
      <c r="F592" s="1">
        <v>19</v>
      </c>
      <c r="G592" t="b">
        <v>0</v>
      </c>
      <c r="H592" s="1">
        <v>4</v>
      </c>
      <c r="I592" s="1">
        <v>1</v>
      </c>
      <c r="J592" s="2">
        <v>0.2</v>
      </c>
      <c r="K592" s="2">
        <v>0.2273</v>
      </c>
      <c r="L592" s="2">
        <v>0.69</v>
      </c>
      <c r="M592" s="2">
        <v>8.9599999999999999E-2</v>
      </c>
      <c r="N592" s="1">
        <v>3</v>
      </c>
      <c r="O592" s="1">
        <v>76</v>
      </c>
      <c r="P592" s="1">
        <v>79</v>
      </c>
      <c r="Q592" s="1" t="str">
        <f>IF(WEEKDAY(Bike_Sharing_Master6[[#This Row],[Dteday]],2)&gt;=6,"Weekend","Weekday")</f>
        <v>Weekday</v>
      </c>
      <c r="R592" s="1" t="str">
        <f xml:space="preserve"> IF(Bike_Sharing_Master6[[#This Row],[Hr]]&lt;6,"Late Night", IF(Bike_Sharing_Master6[[#This Row],[Hr]]&lt;10,"Morning Peak", IF(Bike_Sharing_Master6[[#This Row],[Hr]]&lt;17,"Daytime", IF(Bike_Sharing_Master6[[#This Row],[Hr]]&lt;21,"Evening Peak","Night"))))</f>
        <v>Evening Peak</v>
      </c>
      <c r="S592" s="1" t="str">
        <f>IF(Bike_Sharing_Master6[[#This Row],[Holiday]]=1,"Holiday","Non-Holiday")</f>
        <v>Non-Holiday</v>
      </c>
      <c r="T592" s="1" t="str">
        <f>IF(Bike_Sharing_Master6[[#This Row],[Cnt]]&lt;80,"Low",IF(Bike_Sharing_Master6[[#This Row],[Cnt]]&lt;160,"Medium","High"))</f>
        <v>Low</v>
      </c>
      <c r="U592" s="1" t="str">
        <f>VLOOKUP(Bike_Sharing_Master6[[#This Row],[Weathersit]],[1]Lookup_Weather!A:B,2,FALSE)</f>
        <v>Clear</v>
      </c>
    </row>
    <row r="593" spans="1:21" x14ac:dyDescent="0.3">
      <c r="A593">
        <v>592</v>
      </c>
      <c r="B593" s="3">
        <v>40570</v>
      </c>
      <c r="C593" s="1">
        <v>1</v>
      </c>
      <c r="D593" s="1">
        <v>0</v>
      </c>
      <c r="E593" s="1">
        <v>1</v>
      </c>
      <c r="F593" s="1">
        <v>20</v>
      </c>
      <c r="G593" t="b">
        <v>0</v>
      </c>
      <c r="H593" s="1">
        <v>4</v>
      </c>
      <c r="I593" s="1">
        <v>1</v>
      </c>
      <c r="J593" s="2">
        <v>0.18</v>
      </c>
      <c r="K593" s="2">
        <v>0.21210000000000001</v>
      </c>
      <c r="L593" s="2">
        <v>0.74</v>
      </c>
      <c r="M593" s="2">
        <v>8.9599999999999999E-2</v>
      </c>
      <c r="N593" s="1">
        <v>4</v>
      </c>
      <c r="O593" s="1">
        <v>55</v>
      </c>
      <c r="P593" s="1">
        <v>59</v>
      </c>
      <c r="Q593" s="1" t="str">
        <f>IF(WEEKDAY(Bike_Sharing_Master6[[#This Row],[Dteday]],2)&gt;=6,"Weekend","Weekday")</f>
        <v>Weekday</v>
      </c>
      <c r="R593" s="1" t="str">
        <f xml:space="preserve"> IF(Bike_Sharing_Master6[[#This Row],[Hr]]&lt;6,"Late Night", IF(Bike_Sharing_Master6[[#This Row],[Hr]]&lt;10,"Morning Peak", IF(Bike_Sharing_Master6[[#This Row],[Hr]]&lt;17,"Daytime", IF(Bike_Sharing_Master6[[#This Row],[Hr]]&lt;21,"Evening Peak","Night"))))</f>
        <v>Evening Peak</v>
      </c>
      <c r="S593" s="1" t="str">
        <f>IF(Bike_Sharing_Master6[[#This Row],[Holiday]]=1,"Holiday","Non-Holiday")</f>
        <v>Non-Holiday</v>
      </c>
      <c r="T593" s="1" t="str">
        <f>IF(Bike_Sharing_Master6[[#This Row],[Cnt]]&lt;80,"Low",IF(Bike_Sharing_Master6[[#This Row],[Cnt]]&lt;160,"Medium","High"))</f>
        <v>Low</v>
      </c>
      <c r="U593" s="1" t="str">
        <f>VLOOKUP(Bike_Sharing_Master6[[#This Row],[Weathersit]],[1]Lookup_Weather!A:B,2,FALSE)</f>
        <v>Clear</v>
      </c>
    </row>
    <row r="594" spans="1:21" x14ac:dyDescent="0.3">
      <c r="A594">
        <v>593</v>
      </c>
      <c r="B594" s="3">
        <v>40570</v>
      </c>
      <c r="C594" s="1">
        <v>1</v>
      </c>
      <c r="D594" s="1">
        <v>0</v>
      </c>
      <c r="E594" s="1">
        <v>1</v>
      </c>
      <c r="F594" s="1">
        <v>21</v>
      </c>
      <c r="G594" t="b">
        <v>0</v>
      </c>
      <c r="H594" s="1">
        <v>4</v>
      </c>
      <c r="I594" s="1">
        <v>1</v>
      </c>
      <c r="J594" s="2">
        <v>0.18</v>
      </c>
      <c r="K594" s="2">
        <v>0.21210000000000001</v>
      </c>
      <c r="L594" s="2">
        <v>0.74</v>
      </c>
      <c r="M594" s="2">
        <v>8.9599999999999999E-2</v>
      </c>
      <c r="N594" s="1">
        <v>2</v>
      </c>
      <c r="O594" s="1">
        <v>36</v>
      </c>
      <c r="P594" s="1">
        <v>38</v>
      </c>
      <c r="Q594" s="1" t="str">
        <f>IF(WEEKDAY(Bike_Sharing_Master6[[#This Row],[Dteday]],2)&gt;=6,"Weekend","Weekday")</f>
        <v>Weekday</v>
      </c>
      <c r="R594" s="1" t="str">
        <f xml:space="preserve"> IF(Bike_Sharing_Master6[[#This Row],[Hr]]&lt;6,"Late Night", IF(Bike_Sharing_Master6[[#This Row],[Hr]]&lt;10,"Morning Peak", IF(Bike_Sharing_Master6[[#This Row],[Hr]]&lt;17,"Daytime", IF(Bike_Sharing_Master6[[#This Row],[Hr]]&lt;21,"Evening Peak","Night"))))</f>
        <v>Night</v>
      </c>
      <c r="S594" s="1" t="str">
        <f>IF(Bike_Sharing_Master6[[#This Row],[Holiday]]=1,"Holiday","Non-Holiday")</f>
        <v>Non-Holiday</v>
      </c>
      <c r="T594" s="1" t="str">
        <f>IF(Bike_Sharing_Master6[[#This Row],[Cnt]]&lt;80,"Low",IF(Bike_Sharing_Master6[[#This Row],[Cnt]]&lt;160,"Medium","High"))</f>
        <v>Low</v>
      </c>
      <c r="U594" s="1" t="str">
        <f>VLOOKUP(Bike_Sharing_Master6[[#This Row],[Weathersit]],[1]Lookup_Weather!A:B,2,FALSE)</f>
        <v>Clear</v>
      </c>
    </row>
    <row r="595" spans="1:21" x14ac:dyDescent="0.3">
      <c r="A595">
        <v>594</v>
      </c>
      <c r="B595" s="3">
        <v>40570</v>
      </c>
      <c r="C595" s="1">
        <v>1</v>
      </c>
      <c r="D595" s="1">
        <v>0</v>
      </c>
      <c r="E595" s="1">
        <v>1</v>
      </c>
      <c r="F595" s="1">
        <v>22</v>
      </c>
      <c r="G595" t="b">
        <v>0</v>
      </c>
      <c r="H595" s="1">
        <v>4</v>
      </c>
      <c r="I595" s="1">
        <v>1</v>
      </c>
      <c r="J595" s="2">
        <v>0.18</v>
      </c>
      <c r="K595" s="2">
        <v>0.21210000000000001</v>
      </c>
      <c r="L595" s="2">
        <v>0.74</v>
      </c>
      <c r="M595" s="2">
        <v>8.9599999999999999E-2</v>
      </c>
      <c r="N595" s="1">
        <v>0</v>
      </c>
      <c r="O595" s="1">
        <v>27</v>
      </c>
      <c r="P595" s="1">
        <v>27</v>
      </c>
      <c r="Q595" s="1" t="str">
        <f>IF(WEEKDAY(Bike_Sharing_Master6[[#This Row],[Dteday]],2)&gt;=6,"Weekend","Weekday")</f>
        <v>Weekday</v>
      </c>
      <c r="R595" s="1" t="str">
        <f xml:space="preserve"> IF(Bike_Sharing_Master6[[#This Row],[Hr]]&lt;6,"Late Night", IF(Bike_Sharing_Master6[[#This Row],[Hr]]&lt;10,"Morning Peak", IF(Bike_Sharing_Master6[[#This Row],[Hr]]&lt;17,"Daytime", IF(Bike_Sharing_Master6[[#This Row],[Hr]]&lt;21,"Evening Peak","Night"))))</f>
        <v>Night</v>
      </c>
      <c r="S595" s="1" t="str">
        <f>IF(Bike_Sharing_Master6[[#This Row],[Holiday]]=1,"Holiday","Non-Holiday")</f>
        <v>Non-Holiday</v>
      </c>
      <c r="T595" s="1" t="str">
        <f>IF(Bike_Sharing_Master6[[#This Row],[Cnt]]&lt;80,"Low",IF(Bike_Sharing_Master6[[#This Row],[Cnt]]&lt;160,"Medium","High"))</f>
        <v>Low</v>
      </c>
      <c r="U595" s="1" t="str">
        <f>VLOOKUP(Bike_Sharing_Master6[[#This Row],[Weathersit]],[1]Lookup_Weather!A:B,2,FALSE)</f>
        <v>Clear</v>
      </c>
    </row>
    <row r="596" spans="1:21" x14ac:dyDescent="0.3">
      <c r="A596">
        <v>595</v>
      </c>
      <c r="B596" s="3">
        <v>40570</v>
      </c>
      <c r="C596" s="1">
        <v>1</v>
      </c>
      <c r="D596" s="1">
        <v>0</v>
      </c>
      <c r="E596" s="1">
        <v>1</v>
      </c>
      <c r="F596" s="1">
        <v>23</v>
      </c>
      <c r="G596" t="b">
        <v>0</v>
      </c>
      <c r="H596" s="1">
        <v>4</v>
      </c>
      <c r="I596" s="1">
        <v>1</v>
      </c>
      <c r="J596" s="2">
        <v>0.18</v>
      </c>
      <c r="K596" s="2">
        <v>0.19700000000000001</v>
      </c>
      <c r="L596" s="2">
        <v>0.8</v>
      </c>
      <c r="M596" s="2">
        <v>0.16420000000000001</v>
      </c>
      <c r="N596" s="1">
        <v>0</v>
      </c>
      <c r="O596" s="1">
        <v>16</v>
      </c>
      <c r="P596" s="1">
        <v>16</v>
      </c>
      <c r="Q596" s="1" t="str">
        <f>IF(WEEKDAY(Bike_Sharing_Master6[[#This Row],[Dteday]],2)&gt;=6,"Weekend","Weekday")</f>
        <v>Weekday</v>
      </c>
      <c r="R596" s="1" t="str">
        <f xml:space="preserve"> IF(Bike_Sharing_Master6[[#This Row],[Hr]]&lt;6,"Late Night", IF(Bike_Sharing_Master6[[#This Row],[Hr]]&lt;10,"Morning Peak", IF(Bike_Sharing_Master6[[#This Row],[Hr]]&lt;17,"Daytime", IF(Bike_Sharing_Master6[[#This Row],[Hr]]&lt;21,"Evening Peak","Night"))))</f>
        <v>Night</v>
      </c>
      <c r="S596" s="1" t="str">
        <f>IF(Bike_Sharing_Master6[[#This Row],[Holiday]]=1,"Holiday","Non-Holiday")</f>
        <v>Non-Holiday</v>
      </c>
      <c r="T596" s="1" t="str">
        <f>IF(Bike_Sharing_Master6[[#This Row],[Cnt]]&lt;80,"Low",IF(Bike_Sharing_Master6[[#This Row],[Cnt]]&lt;160,"Medium","High"))</f>
        <v>Low</v>
      </c>
      <c r="U596" s="1" t="str">
        <f>VLOOKUP(Bike_Sharing_Master6[[#This Row],[Weathersit]],[1]Lookup_Weather!A:B,2,FALSE)</f>
        <v>Clear</v>
      </c>
    </row>
    <row r="597" spans="1:21" x14ac:dyDescent="0.3">
      <c r="A597">
        <v>596</v>
      </c>
      <c r="B597" s="3">
        <v>40571</v>
      </c>
      <c r="C597" s="1">
        <v>1</v>
      </c>
      <c r="D597" s="1">
        <v>0</v>
      </c>
      <c r="E597" s="1">
        <v>1</v>
      </c>
      <c r="F597" s="1">
        <v>0</v>
      </c>
      <c r="G597" t="b">
        <v>0</v>
      </c>
      <c r="H597" s="1">
        <v>5</v>
      </c>
      <c r="I597" s="1">
        <v>2</v>
      </c>
      <c r="J597" s="2">
        <v>0.2</v>
      </c>
      <c r="K597" s="2">
        <v>0.21210000000000001</v>
      </c>
      <c r="L597" s="2">
        <v>0.75</v>
      </c>
      <c r="M597" s="2">
        <v>0.1343</v>
      </c>
      <c r="N597" s="1">
        <v>0</v>
      </c>
      <c r="O597" s="1">
        <v>9</v>
      </c>
      <c r="P597" s="1">
        <v>9</v>
      </c>
      <c r="Q597" s="1" t="str">
        <f>IF(WEEKDAY(Bike_Sharing_Master6[[#This Row],[Dteday]],2)&gt;=6,"Weekend","Weekday")</f>
        <v>Weekday</v>
      </c>
      <c r="R597" s="1" t="str">
        <f xml:space="preserve"> IF(Bike_Sharing_Master6[[#This Row],[Hr]]&lt;6,"Late Night", IF(Bike_Sharing_Master6[[#This Row],[Hr]]&lt;10,"Morning Peak", IF(Bike_Sharing_Master6[[#This Row],[Hr]]&lt;17,"Daytime", IF(Bike_Sharing_Master6[[#This Row],[Hr]]&lt;21,"Evening Peak","Night"))))</f>
        <v>Late Night</v>
      </c>
      <c r="S597" s="1" t="str">
        <f>IF(Bike_Sharing_Master6[[#This Row],[Holiday]]=1,"Holiday","Non-Holiday")</f>
        <v>Non-Holiday</v>
      </c>
      <c r="T597" s="1" t="str">
        <f>IF(Bike_Sharing_Master6[[#This Row],[Cnt]]&lt;80,"Low",IF(Bike_Sharing_Master6[[#This Row],[Cnt]]&lt;160,"Medium","High"))</f>
        <v>Low</v>
      </c>
      <c r="U597" s="1" t="str">
        <f>VLOOKUP(Bike_Sharing_Master6[[#This Row],[Weathersit]],[1]Lookup_Weather!A:B,2,FALSE)</f>
        <v>Mist</v>
      </c>
    </row>
    <row r="598" spans="1:21" x14ac:dyDescent="0.3">
      <c r="A598">
        <v>597</v>
      </c>
      <c r="B598" s="3">
        <v>40571</v>
      </c>
      <c r="C598" s="1">
        <v>1</v>
      </c>
      <c r="D598" s="1">
        <v>0</v>
      </c>
      <c r="E598" s="1">
        <v>1</v>
      </c>
      <c r="F598" s="1">
        <v>1</v>
      </c>
      <c r="G598" t="b">
        <v>0</v>
      </c>
      <c r="H598" s="1">
        <v>5</v>
      </c>
      <c r="I598" s="1">
        <v>2</v>
      </c>
      <c r="J598" s="2">
        <v>0.2</v>
      </c>
      <c r="K598" s="2">
        <v>0.21210000000000001</v>
      </c>
      <c r="L598" s="2">
        <v>0.75</v>
      </c>
      <c r="M598" s="2">
        <v>0.1343</v>
      </c>
      <c r="N598" s="1">
        <v>1</v>
      </c>
      <c r="O598" s="1">
        <v>2</v>
      </c>
      <c r="P598" s="1">
        <v>3</v>
      </c>
      <c r="Q598" s="1" t="str">
        <f>IF(WEEKDAY(Bike_Sharing_Master6[[#This Row],[Dteday]],2)&gt;=6,"Weekend","Weekday")</f>
        <v>Weekday</v>
      </c>
      <c r="R598" s="1" t="str">
        <f xml:space="preserve"> IF(Bike_Sharing_Master6[[#This Row],[Hr]]&lt;6,"Late Night", IF(Bike_Sharing_Master6[[#This Row],[Hr]]&lt;10,"Morning Peak", IF(Bike_Sharing_Master6[[#This Row],[Hr]]&lt;17,"Daytime", IF(Bike_Sharing_Master6[[#This Row],[Hr]]&lt;21,"Evening Peak","Night"))))</f>
        <v>Late Night</v>
      </c>
      <c r="S598" s="1" t="str">
        <f>IF(Bike_Sharing_Master6[[#This Row],[Holiday]]=1,"Holiday","Non-Holiday")</f>
        <v>Non-Holiday</v>
      </c>
      <c r="T598" s="1" t="str">
        <f>IF(Bike_Sharing_Master6[[#This Row],[Cnt]]&lt;80,"Low",IF(Bike_Sharing_Master6[[#This Row],[Cnt]]&lt;160,"Medium","High"))</f>
        <v>Low</v>
      </c>
      <c r="U598" s="1" t="str">
        <f>VLOOKUP(Bike_Sharing_Master6[[#This Row],[Weathersit]],[1]Lookup_Weather!A:B,2,FALSE)</f>
        <v>Mist</v>
      </c>
    </row>
    <row r="599" spans="1:21" x14ac:dyDescent="0.3">
      <c r="A599">
        <v>598</v>
      </c>
      <c r="B599" s="3">
        <v>40571</v>
      </c>
      <c r="C599" s="1">
        <v>1</v>
      </c>
      <c r="D599" s="1">
        <v>0</v>
      </c>
      <c r="E599" s="1">
        <v>1</v>
      </c>
      <c r="F599" s="1">
        <v>2</v>
      </c>
      <c r="G599" t="b">
        <v>0</v>
      </c>
      <c r="H599" s="1">
        <v>5</v>
      </c>
      <c r="I599" s="1">
        <v>2</v>
      </c>
      <c r="J599" s="2">
        <v>0.2</v>
      </c>
      <c r="K599" s="2">
        <v>0.21210000000000001</v>
      </c>
      <c r="L599" s="2">
        <v>0.75</v>
      </c>
      <c r="M599" s="2">
        <v>0.16420000000000001</v>
      </c>
      <c r="N599" s="1">
        <v>0</v>
      </c>
      <c r="O599" s="1">
        <v>2</v>
      </c>
      <c r="P599" s="1">
        <v>2</v>
      </c>
      <c r="Q599" s="1" t="str">
        <f>IF(WEEKDAY(Bike_Sharing_Master6[[#This Row],[Dteday]],2)&gt;=6,"Weekend","Weekday")</f>
        <v>Weekday</v>
      </c>
      <c r="R599" s="1" t="str">
        <f xml:space="preserve"> IF(Bike_Sharing_Master6[[#This Row],[Hr]]&lt;6,"Late Night", IF(Bike_Sharing_Master6[[#This Row],[Hr]]&lt;10,"Morning Peak", IF(Bike_Sharing_Master6[[#This Row],[Hr]]&lt;17,"Daytime", IF(Bike_Sharing_Master6[[#This Row],[Hr]]&lt;21,"Evening Peak","Night"))))</f>
        <v>Late Night</v>
      </c>
      <c r="S599" s="1" t="str">
        <f>IF(Bike_Sharing_Master6[[#This Row],[Holiday]]=1,"Holiday","Non-Holiday")</f>
        <v>Non-Holiday</v>
      </c>
      <c r="T599" s="1" t="str">
        <f>IF(Bike_Sharing_Master6[[#This Row],[Cnt]]&lt;80,"Low",IF(Bike_Sharing_Master6[[#This Row],[Cnt]]&lt;160,"Medium","High"))</f>
        <v>Low</v>
      </c>
      <c r="U599" s="1" t="str">
        <f>VLOOKUP(Bike_Sharing_Master6[[#This Row],[Weathersit]],[1]Lookup_Weather!A:B,2,FALSE)</f>
        <v>Mist</v>
      </c>
    </row>
    <row r="600" spans="1:21" x14ac:dyDescent="0.3">
      <c r="A600">
        <v>599</v>
      </c>
      <c r="B600" s="3">
        <v>40571</v>
      </c>
      <c r="C600" s="1">
        <v>1</v>
      </c>
      <c r="D600" s="1">
        <v>0</v>
      </c>
      <c r="E600" s="1">
        <v>1</v>
      </c>
      <c r="F600" s="1">
        <v>3</v>
      </c>
      <c r="G600" t="b">
        <v>0</v>
      </c>
      <c r="H600" s="1">
        <v>5</v>
      </c>
      <c r="I600" s="1">
        <v>2</v>
      </c>
      <c r="J600" s="2">
        <v>0.2</v>
      </c>
      <c r="K600" s="2">
        <v>0.2273</v>
      </c>
      <c r="L600" s="2">
        <v>0.75</v>
      </c>
      <c r="M600" s="2">
        <v>0.1045</v>
      </c>
      <c r="N600" s="1">
        <v>1</v>
      </c>
      <c r="O600" s="1">
        <v>0</v>
      </c>
      <c r="P600" s="1">
        <v>1</v>
      </c>
      <c r="Q600" s="1" t="str">
        <f>IF(WEEKDAY(Bike_Sharing_Master6[[#This Row],[Dteday]],2)&gt;=6,"Weekend","Weekday")</f>
        <v>Weekday</v>
      </c>
      <c r="R600" s="1" t="str">
        <f xml:space="preserve"> IF(Bike_Sharing_Master6[[#This Row],[Hr]]&lt;6,"Late Night", IF(Bike_Sharing_Master6[[#This Row],[Hr]]&lt;10,"Morning Peak", IF(Bike_Sharing_Master6[[#This Row],[Hr]]&lt;17,"Daytime", IF(Bike_Sharing_Master6[[#This Row],[Hr]]&lt;21,"Evening Peak","Night"))))</f>
        <v>Late Night</v>
      </c>
      <c r="S600" s="1" t="str">
        <f>IF(Bike_Sharing_Master6[[#This Row],[Holiday]]=1,"Holiday","Non-Holiday")</f>
        <v>Non-Holiday</v>
      </c>
      <c r="T600" s="1" t="str">
        <f>IF(Bike_Sharing_Master6[[#This Row],[Cnt]]&lt;80,"Low",IF(Bike_Sharing_Master6[[#This Row],[Cnt]]&lt;160,"Medium","High"))</f>
        <v>Low</v>
      </c>
      <c r="U600" s="1" t="str">
        <f>VLOOKUP(Bike_Sharing_Master6[[#This Row],[Weathersit]],[1]Lookup_Weather!A:B,2,FALSE)</f>
        <v>Mist</v>
      </c>
    </row>
    <row r="601" spans="1:21" x14ac:dyDescent="0.3">
      <c r="A601">
        <v>600</v>
      </c>
      <c r="B601" s="3">
        <v>40571</v>
      </c>
      <c r="C601" s="1">
        <v>1</v>
      </c>
      <c r="D601" s="1">
        <v>0</v>
      </c>
      <c r="E601" s="1">
        <v>1</v>
      </c>
      <c r="F601" s="1">
        <v>5</v>
      </c>
      <c r="G601" t="b">
        <v>0</v>
      </c>
      <c r="H601" s="1">
        <v>5</v>
      </c>
      <c r="I601" s="1">
        <v>2</v>
      </c>
      <c r="J601" s="2">
        <v>0.18</v>
      </c>
      <c r="K601" s="2">
        <v>0.21210000000000001</v>
      </c>
      <c r="L601" s="2">
        <v>0.8</v>
      </c>
      <c r="M601" s="2">
        <v>0.1045</v>
      </c>
      <c r="N601" s="1">
        <v>0</v>
      </c>
      <c r="O601" s="1">
        <v>4</v>
      </c>
      <c r="P601" s="1">
        <v>4</v>
      </c>
      <c r="Q601" s="1" t="str">
        <f>IF(WEEKDAY(Bike_Sharing_Master6[[#This Row],[Dteday]],2)&gt;=6,"Weekend","Weekday")</f>
        <v>Weekday</v>
      </c>
      <c r="R601" s="1" t="str">
        <f xml:space="preserve"> IF(Bike_Sharing_Master6[[#This Row],[Hr]]&lt;6,"Late Night", IF(Bike_Sharing_Master6[[#This Row],[Hr]]&lt;10,"Morning Peak", IF(Bike_Sharing_Master6[[#This Row],[Hr]]&lt;17,"Daytime", IF(Bike_Sharing_Master6[[#This Row],[Hr]]&lt;21,"Evening Peak","Night"))))</f>
        <v>Late Night</v>
      </c>
      <c r="S601" s="1" t="str">
        <f>IF(Bike_Sharing_Master6[[#This Row],[Holiday]]=1,"Holiday","Non-Holiday")</f>
        <v>Non-Holiday</v>
      </c>
      <c r="T601" s="1" t="str">
        <f>IF(Bike_Sharing_Master6[[#This Row],[Cnt]]&lt;80,"Low",IF(Bike_Sharing_Master6[[#This Row],[Cnt]]&lt;160,"Medium","High"))</f>
        <v>Low</v>
      </c>
      <c r="U601" s="1" t="str">
        <f>VLOOKUP(Bike_Sharing_Master6[[#This Row],[Weathersit]],[1]Lookup_Weather!A:B,2,FALSE)</f>
        <v>Mist</v>
      </c>
    </row>
    <row r="602" spans="1:21" x14ac:dyDescent="0.3">
      <c r="A602">
        <v>601</v>
      </c>
      <c r="B602" s="3">
        <v>40571</v>
      </c>
      <c r="C602" s="1">
        <v>1</v>
      </c>
      <c r="D602" s="1">
        <v>0</v>
      </c>
      <c r="E602" s="1">
        <v>1</v>
      </c>
      <c r="F602" s="1">
        <v>6</v>
      </c>
      <c r="G602" t="b">
        <v>0</v>
      </c>
      <c r="H602" s="1">
        <v>5</v>
      </c>
      <c r="I602" s="1">
        <v>2</v>
      </c>
      <c r="J602" s="2">
        <v>0.18</v>
      </c>
      <c r="K602" s="2">
        <v>0.19700000000000001</v>
      </c>
      <c r="L602" s="2">
        <v>0.8</v>
      </c>
      <c r="M602" s="2">
        <v>0.1343</v>
      </c>
      <c r="N602" s="1">
        <v>0</v>
      </c>
      <c r="O602" s="1">
        <v>16</v>
      </c>
      <c r="P602" s="1">
        <v>16</v>
      </c>
      <c r="Q602" s="1" t="str">
        <f>IF(WEEKDAY(Bike_Sharing_Master6[[#This Row],[Dteday]],2)&gt;=6,"Weekend","Weekday")</f>
        <v>Weekday</v>
      </c>
      <c r="R602" s="1" t="str">
        <f xml:space="preserve"> IF(Bike_Sharing_Master6[[#This Row],[Hr]]&lt;6,"Late Night", IF(Bike_Sharing_Master6[[#This Row],[Hr]]&lt;10,"Morning Peak", IF(Bike_Sharing_Master6[[#This Row],[Hr]]&lt;17,"Daytime", IF(Bike_Sharing_Master6[[#This Row],[Hr]]&lt;21,"Evening Peak","Night"))))</f>
        <v>Morning Peak</v>
      </c>
      <c r="S602" s="1" t="str">
        <f>IF(Bike_Sharing_Master6[[#This Row],[Holiday]]=1,"Holiday","Non-Holiday")</f>
        <v>Non-Holiday</v>
      </c>
      <c r="T602" s="1" t="str">
        <f>IF(Bike_Sharing_Master6[[#This Row],[Cnt]]&lt;80,"Low",IF(Bike_Sharing_Master6[[#This Row],[Cnt]]&lt;160,"Medium","High"))</f>
        <v>Low</v>
      </c>
      <c r="U602" s="1" t="str">
        <f>VLOOKUP(Bike_Sharing_Master6[[#This Row],[Weathersit]],[1]Lookup_Weather!A:B,2,FALSE)</f>
        <v>Mist</v>
      </c>
    </row>
    <row r="603" spans="1:21" x14ac:dyDescent="0.3">
      <c r="A603">
        <v>602</v>
      </c>
      <c r="B603" s="3">
        <v>40571</v>
      </c>
      <c r="C603" s="1">
        <v>1</v>
      </c>
      <c r="D603" s="1">
        <v>0</v>
      </c>
      <c r="E603" s="1">
        <v>1</v>
      </c>
      <c r="F603" s="1">
        <v>7</v>
      </c>
      <c r="G603" t="b">
        <v>0</v>
      </c>
      <c r="H603" s="1">
        <v>5</v>
      </c>
      <c r="I603" s="1">
        <v>2</v>
      </c>
      <c r="J603" s="2">
        <v>0.16</v>
      </c>
      <c r="K603" s="2">
        <v>0.19700000000000001</v>
      </c>
      <c r="L603" s="2">
        <v>0.86</v>
      </c>
      <c r="M603" s="2">
        <v>8.9599999999999999E-2</v>
      </c>
      <c r="N603" s="1">
        <v>2</v>
      </c>
      <c r="O603" s="1">
        <v>58</v>
      </c>
      <c r="P603" s="1">
        <v>60</v>
      </c>
      <c r="Q603" s="1" t="str">
        <f>IF(WEEKDAY(Bike_Sharing_Master6[[#This Row],[Dteday]],2)&gt;=6,"Weekend","Weekday")</f>
        <v>Weekday</v>
      </c>
      <c r="R603" s="1" t="str">
        <f xml:space="preserve"> IF(Bike_Sharing_Master6[[#This Row],[Hr]]&lt;6,"Late Night", IF(Bike_Sharing_Master6[[#This Row],[Hr]]&lt;10,"Morning Peak", IF(Bike_Sharing_Master6[[#This Row],[Hr]]&lt;17,"Daytime", IF(Bike_Sharing_Master6[[#This Row],[Hr]]&lt;21,"Evening Peak","Night"))))</f>
        <v>Morning Peak</v>
      </c>
      <c r="S603" s="1" t="str">
        <f>IF(Bike_Sharing_Master6[[#This Row],[Holiday]]=1,"Holiday","Non-Holiday")</f>
        <v>Non-Holiday</v>
      </c>
      <c r="T603" s="1" t="str">
        <f>IF(Bike_Sharing_Master6[[#This Row],[Cnt]]&lt;80,"Low",IF(Bike_Sharing_Master6[[#This Row],[Cnt]]&lt;160,"Medium","High"))</f>
        <v>Low</v>
      </c>
      <c r="U603" s="1" t="str">
        <f>VLOOKUP(Bike_Sharing_Master6[[#This Row],[Weathersit]],[1]Lookup_Weather!A:B,2,FALSE)</f>
        <v>Mist</v>
      </c>
    </row>
    <row r="604" spans="1:21" x14ac:dyDescent="0.3">
      <c r="A604">
        <v>603</v>
      </c>
      <c r="B604" s="3">
        <v>40571</v>
      </c>
      <c r="C604" s="1">
        <v>1</v>
      </c>
      <c r="D604" s="1">
        <v>0</v>
      </c>
      <c r="E604" s="1">
        <v>1</v>
      </c>
      <c r="F604" s="1">
        <v>8</v>
      </c>
      <c r="G604" t="b">
        <v>0</v>
      </c>
      <c r="H604" s="1">
        <v>5</v>
      </c>
      <c r="I604" s="1">
        <v>2</v>
      </c>
      <c r="J604" s="2">
        <v>0.16</v>
      </c>
      <c r="K604" s="2">
        <v>0.19700000000000001</v>
      </c>
      <c r="L604" s="2">
        <v>0.86</v>
      </c>
      <c r="M604" s="2">
        <v>8.9599999999999999E-2</v>
      </c>
      <c r="N604" s="1">
        <v>2</v>
      </c>
      <c r="O604" s="1">
        <v>155</v>
      </c>
      <c r="P604" s="1">
        <v>157</v>
      </c>
      <c r="Q604" s="1" t="str">
        <f>IF(WEEKDAY(Bike_Sharing_Master6[[#This Row],[Dteday]],2)&gt;=6,"Weekend","Weekday")</f>
        <v>Weekday</v>
      </c>
      <c r="R604" s="1" t="str">
        <f xml:space="preserve"> IF(Bike_Sharing_Master6[[#This Row],[Hr]]&lt;6,"Late Night", IF(Bike_Sharing_Master6[[#This Row],[Hr]]&lt;10,"Morning Peak", IF(Bike_Sharing_Master6[[#This Row],[Hr]]&lt;17,"Daytime", IF(Bike_Sharing_Master6[[#This Row],[Hr]]&lt;21,"Evening Peak","Night"))))</f>
        <v>Morning Peak</v>
      </c>
      <c r="S604" s="1" t="str">
        <f>IF(Bike_Sharing_Master6[[#This Row],[Holiday]]=1,"Holiday","Non-Holiday")</f>
        <v>Non-Holiday</v>
      </c>
      <c r="T604" s="1" t="str">
        <f>IF(Bike_Sharing_Master6[[#This Row],[Cnt]]&lt;80,"Low",IF(Bike_Sharing_Master6[[#This Row],[Cnt]]&lt;160,"Medium","High"))</f>
        <v>Medium</v>
      </c>
      <c r="U604" s="1" t="str">
        <f>VLOOKUP(Bike_Sharing_Master6[[#This Row],[Weathersit]],[1]Lookup_Weather!A:B,2,FALSE)</f>
        <v>Mist</v>
      </c>
    </row>
    <row r="605" spans="1:21" x14ac:dyDescent="0.3">
      <c r="A605">
        <v>604</v>
      </c>
      <c r="B605" s="3">
        <v>40571</v>
      </c>
      <c r="C605" s="1">
        <v>1</v>
      </c>
      <c r="D605" s="1">
        <v>0</v>
      </c>
      <c r="E605" s="1">
        <v>1</v>
      </c>
      <c r="F605" s="1">
        <v>9</v>
      </c>
      <c r="G605" t="b">
        <v>0</v>
      </c>
      <c r="H605" s="1">
        <v>5</v>
      </c>
      <c r="I605" s="1">
        <v>3</v>
      </c>
      <c r="J605" s="2">
        <v>0.18</v>
      </c>
      <c r="K605" s="2">
        <v>0.21210000000000001</v>
      </c>
      <c r="L605" s="2">
        <v>0.86</v>
      </c>
      <c r="M605" s="2">
        <v>8.9599999999999999E-2</v>
      </c>
      <c r="N605" s="1">
        <v>6</v>
      </c>
      <c r="O605" s="1">
        <v>95</v>
      </c>
      <c r="P605" s="1">
        <v>101</v>
      </c>
      <c r="Q605" s="1" t="str">
        <f>IF(WEEKDAY(Bike_Sharing_Master6[[#This Row],[Dteday]],2)&gt;=6,"Weekend","Weekday")</f>
        <v>Weekday</v>
      </c>
      <c r="R605" s="1" t="str">
        <f xml:space="preserve"> IF(Bike_Sharing_Master6[[#This Row],[Hr]]&lt;6,"Late Night", IF(Bike_Sharing_Master6[[#This Row],[Hr]]&lt;10,"Morning Peak", IF(Bike_Sharing_Master6[[#This Row],[Hr]]&lt;17,"Daytime", IF(Bike_Sharing_Master6[[#This Row],[Hr]]&lt;21,"Evening Peak","Night"))))</f>
        <v>Morning Peak</v>
      </c>
      <c r="S605" s="1" t="str">
        <f>IF(Bike_Sharing_Master6[[#This Row],[Holiday]]=1,"Holiday","Non-Holiday")</f>
        <v>Non-Holiday</v>
      </c>
      <c r="T605" s="1" t="str">
        <f>IF(Bike_Sharing_Master6[[#This Row],[Cnt]]&lt;80,"Low",IF(Bike_Sharing_Master6[[#This Row],[Cnt]]&lt;160,"Medium","High"))</f>
        <v>Medium</v>
      </c>
      <c r="U605" s="1" t="str">
        <f>VLOOKUP(Bike_Sharing_Master6[[#This Row],[Weathersit]],[1]Lookup_Weather!A:B,2,FALSE)</f>
        <v>Light Rain</v>
      </c>
    </row>
    <row r="606" spans="1:21" x14ac:dyDescent="0.3">
      <c r="A606">
        <v>605</v>
      </c>
      <c r="B606" s="3">
        <v>40571</v>
      </c>
      <c r="C606" s="1">
        <v>1</v>
      </c>
      <c r="D606" s="1">
        <v>0</v>
      </c>
      <c r="E606" s="1">
        <v>1</v>
      </c>
      <c r="F606" s="1">
        <v>10</v>
      </c>
      <c r="G606" t="b">
        <v>0</v>
      </c>
      <c r="H606" s="1">
        <v>5</v>
      </c>
      <c r="I606" s="1">
        <v>3</v>
      </c>
      <c r="J606" s="2">
        <v>0.18</v>
      </c>
      <c r="K606" s="2">
        <v>0.21210000000000001</v>
      </c>
      <c r="L606" s="2">
        <v>0.86</v>
      </c>
      <c r="M606" s="2">
        <v>0.1045</v>
      </c>
      <c r="N606" s="1">
        <v>0</v>
      </c>
      <c r="O606" s="1">
        <v>49</v>
      </c>
      <c r="P606" s="1">
        <v>49</v>
      </c>
      <c r="Q606" s="1" t="str">
        <f>IF(WEEKDAY(Bike_Sharing_Master6[[#This Row],[Dteday]],2)&gt;=6,"Weekend","Weekday")</f>
        <v>Weekday</v>
      </c>
      <c r="R606" s="1" t="str">
        <f xml:space="preserve"> IF(Bike_Sharing_Master6[[#This Row],[Hr]]&lt;6,"Late Night", IF(Bike_Sharing_Master6[[#This Row],[Hr]]&lt;10,"Morning Peak", IF(Bike_Sharing_Master6[[#This Row],[Hr]]&lt;17,"Daytime", IF(Bike_Sharing_Master6[[#This Row],[Hr]]&lt;21,"Evening Peak","Night"))))</f>
        <v>Daytime</v>
      </c>
      <c r="S606" s="1" t="str">
        <f>IF(Bike_Sharing_Master6[[#This Row],[Holiday]]=1,"Holiday","Non-Holiday")</f>
        <v>Non-Holiday</v>
      </c>
      <c r="T606" s="1" t="str">
        <f>IF(Bike_Sharing_Master6[[#This Row],[Cnt]]&lt;80,"Low",IF(Bike_Sharing_Master6[[#This Row],[Cnt]]&lt;160,"Medium","High"))</f>
        <v>Low</v>
      </c>
      <c r="U606" s="1" t="str">
        <f>VLOOKUP(Bike_Sharing_Master6[[#This Row],[Weathersit]],[1]Lookup_Weather!A:B,2,FALSE)</f>
        <v>Light Rain</v>
      </c>
    </row>
    <row r="607" spans="1:21" x14ac:dyDescent="0.3">
      <c r="A607">
        <v>606</v>
      </c>
      <c r="B607" s="3">
        <v>40571</v>
      </c>
      <c r="C607" s="1">
        <v>1</v>
      </c>
      <c r="D607" s="1">
        <v>0</v>
      </c>
      <c r="E607" s="1">
        <v>1</v>
      </c>
      <c r="F607" s="1">
        <v>11</v>
      </c>
      <c r="G607" t="b">
        <v>0</v>
      </c>
      <c r="H607" s="1">
        <v>5</v>
      </c>
      <c r="I607" s="1">
        <v>3</v>
      </c>
      <c r="J607" s="2">
        <v>0.18</v>
      </c>
      <c r="K607" s="2">
        <v>0.21210000000000001</v>
      </c>
      <c r="L607" s="2">
        <v>0.93</v>
      </c>
      <c r="M607" s="2">
        <v>0.1045</v>
      </c>
      <c r="N607" s="1">
        <v>0</v>
      </c>
      <c r="O607" s="1">
        <v>30</v>
      </c>
      <c r="P607" s="1">
        <v>30</v>
      </c>
      <c r="Q607" s="1" t="str">
        <f>IF(WEEKDAY(Bike_Sharing_Master6[[#This Row],[Dteday]],2)&gt;=6,"Weekend","Weekday")</f>
        <v>Weekday</v>
      </c>
      <c r="R607" s="1" t="str">
        <f xml:space="preserve"> IF(Bike_Sharing_Master6[[#This Row],[Hr]]&lt;6,"Late Night", IF(Bike_Sharing_Master6[[#This Row],[Hr]]&lt;10,"Morning Peak", IF(Bike_Sharing_Master6[[#This Row],[Hr]]&lt;17,"Daytime", IF(Bike_Sharing_Master6[[#This Row],[Hr]]&lt;21,"Evening Peak","Night"))))</f>
        <v>Daytime</v>
      </c>
      <c r="S607" s="1" t="str">
        <f>IF(Bike_Sharing_Master6[[#This Row],[Holiday]]=1,"Holiday","Non-Holiday")</f>
        <v>Non-Holiday</v>
      </c>
      <c r="T607" s="1" t="str">
        <f>IF(Bike_Sharing_Master6[[#This Row],[Cnt]]&lt;80,"Low",IF(Bike_Sharing_Master6[[#This Row],[Cnt]]&lt;160,"Medium","High"))</f>
        <v>Low</v>
      </c>
      <c r="U607" s="1" t="str">
        <f>VLOOKUP(Bike_Sharing_Master6[[#This Row],[Weathersit]],[1]Lookup_Weather!A:B,2,FALSE)</f>
        <v>Light Rain</v>
      </c>
    </row>
    <row r="608" spans="1:21" x14ac:dyDescent="0.3">
      <c r="A608">
        <v>607</v>
      </c>
      <c r="B608" s="3">
        <v>40571</v>
      </c>
      <c r="C608" s="1">
        <v>1</v>
      </c>
      <c r="D608" s="1">
        <v>0</v>
      </c>
      <c r="E608" s="1">
        <v>1</v>
      </c>
      <c r="F608" s="1">
        <v>12</v>
      </c>
      <c r="G608" t="b">
        <v>0</v>
      </c>
      <c r="H608" s="1">
        <v>5</v>
      </c>
      <c r="I608" s="1">
        <v>3</v>
      </c>
      <c r="J608" s="2">
        <v>0.18</v>
      </c>
      <c r="K608" s="2">
        <v>0.21210000000000001</v>
      </c>
      <c r="L608" s="2">
        <v>0.93</v>
      </c>
      <c r="M608" s="2">
        <v>0.1045</v>
      </c>
      <c r="N608" s="1">
        <v>1</v>
      </c>
      <c r="O608" s="1">
        <v>28</v>
      </c>
      <c r="P608" s="1">
        <v>29</v>
      </c>
      <c r="Q608" s="1" t="str">
        <f>IF(WEEKDAY(Bike_Sharing_Master6[[#This Row],[Dteday]],2)&gt;=6,"Weekend","Weekday")</f>
        <v>Weekday</v>
      </c>
      <c r="R608" s="1" t="str">
        <f xml:space="preserve"> IF(Bike_Sharing_Master6[[#This Row],[Hr]]&lt;6,"Late Night", IF(Bike_Sharing_Master6[[#This Row],[Hr]]&lt;10,"Morning Peak", IF(Bike_Sharing_Master6[[#This Row],[Hr]]&lt;17,"Daytime", IF(Bike_Sharing_Master6[[#This Row],[Hr]]&lt;21,"Evening Peak","Night"))))</f>
        <v>Daytime</v>
      </c>
      <c r="S608" s="1" t="str">
        <f>IF(Bike_Sharing_Master6[[#This Row],[Holiday]]=1,"Holiday","Non-Holiday")</f>
        <v>Non-Holiday</v>
      </c>
      <c r="T608" s="1" t="str">
        <f>IF(Bike_Sharing_Master6[[#This Row],[Cnt]]&lt;80,"Low",IF(Bike_Sharing_Master6[[#This Row],[Cnt]]&lt;160,"Medium","High"))</f>
        <v>Low</v>
      </c>
      <c r="U608" s="1" t="str">
        <f>VLOOKUP(Bike_Sharing_Master6[[#This Row],[Weathersit]],[1]Lookup_Weather!A:B,2,FALSE)</f>
        <v>Light Rain</v>
      </c>
    </row>
    <row r="609" spans="1:21" x14ac:dyDescent="0.3">
      <c r="A609">
        <v>608</v>
      </c>
      <c r="B609" s="3">
        <v>40571</v>
      </c>
      <c r="C609" s="1">
        <v>1</v>
      </c>
      <c r="D609" s="1">
        <v>0</v>
      </c>
      <c r="E609" s="1">
        <v>1</v>
      </c>
      <c r="F609" s="1">
        <v>13</v>
      </c>
      <c r="G609" t="b">
        <v>0</v>
      </c>
      <c r="H609" s="1">
        <v>5</v>
      </c>
      <c r="I609" s="1">
        <v>3</v>
      </c>
      <c r="J609" s="2">
        <v>0.18</v>
      </c>
      <c r="K609" s="2">
        <v>0.21210000000000001</v>
      </c>
      <c r="L609" s="2">
        <v>0.93</v>
      </c>
      <c r="M609" s="2">
        <v>0.1045</v>
      </c>
      <c r="N609" s="1">
        <v>0</v>
      </c>
      <c r="O609" s="1">
        <v>31</v>
      </c>
      <c r="P609" s="1">
        <v>31</v>
      </c>
      <c r="Q609" s="1" t="str">
        <f>IF(WEEKDAY(Bike_Sharing_Master6[[#This Row],[Dteday]],2)&gt;=6,"Weekend","Weekday")</f>
        <v>Weekday</v>
      </c>
      <c r="R609" s="1" t="str">
        <f xml:space="preserve"> IF(Bike_Sharing_Master6[[#This Row],[Hr]]&lt;6,"Late Night", IF(Bike_Sharing_Master6[[#This Row],[Hr]]&lt;10,"Morning Peak", IF(Bike_Sharing_Master6[[#This Row],[Hr]]&lt;17,"Daytime", IF(Bike_Sharing_Master6[[#This Row],[Hr]]&lt;21,"Evening Peak","Night"))))</f>
        <v>Daytime</v>
      </c>
      <c r="S609" s="1" t="str">
        <f>IF(Bike_Sharing_Master6[[#This Row],[Holiday]]=1,"Holiday","Non-Holiday")</f>
        <v>Non-Holiday</v>
      </c>
      <c r="T609" s="1" t="str">
        <f>IF(Bike_Sharing_Master6[[#This Row],[Cnt]]&lt;80,"Low",IF(Bike_Sharing_Master6[[#This Row],[Cnt]]&lt;160,"Medium","High"))</f>
        <v>Low</v>
      </c>
      <c r="U609" s="1" t="str">
        <f>VLOOKUP(Bike_Sharing_Master6[[#This Row],[Weathersit]],[1]Lookup_Weather!A:B,2,FALSE)</f>
        <v>Light Rain</v>
      </c>
    </row>
    <row r="610" spans="1:21" x14ac:dyDescent="0.3">
      <c r="A610">
        <v>609</v>
      </c>
      <c r="B610" s="3">
        <v>40571</v>
      </c>
      <c r="C610" s="1">
        <v>1</v>
      </c>
      <c r="D610" s="1">
        <v>0</v>
      </c>
      <c r="E610" s="1">
        <v>1</v>
      </c>
      <c r="F610" s="1">
        <v>14</v>
      </c>
      <c r="G610" t="b">
        <v>0</v>
      </c>
      <c r="H610" s="1">
        <v>5</v>
      </c>
      <c r="I610" s="1">
        <v>3</v>
      </c>
      <c r="J610" s="2">
        <v>0.22</v>
      </c>
      <c r="K610" s="2">
        <v>0.2727</v>
      </c>
      <c r="L610" s="2">
        <v>0.8</v>
      </c>
      <c r="M610" s="2">
        <v>0</v>
      </c>
      <c r="N610" s="1">
        <v>2</v>
      </c>
      <c r="O610" s="1">
        <v>36</v>
      </c>
      <c r="P610" s="1">
        <v>38</v>
      </c>
      <c r="Q610" s="1" t="str">
        <f>IF(WEEKDAY(Bike_Sharing_Master6[[#This Row],[Dteday]],2)&gt;=6,"Weekend","Weekday")</f>
        <v>Weekday</v>
      </c>
      <c r="R610" s="1" t="str">
        <f xml:space="preserve"> IF(Bike_Sharing_Master6[[#This Row],[Hr]]&lt;6,"Late Night", IF(Bike_Sharing_Master6[[#This Row],[Hr]]&lt;10,"Morning Peak", IF(Bike_Sharing_Master6[[#This Row],[Hr]]&lt;17,"Daytime", IF(Bike_Sharing_Master6[[#This Row],[Hr]]&lt;21,"Evening Peak","Night"))))</f>
        <v>Daytime</v>
      </c>
      <c r="S610" s="1" t="str">
        <f>IF(Bike_Sharing_Master6[[#This Row],[Holiday]]=1,"Holiday","Non-Holiday")</f>
        <v>Non-Holiday</v>
      </c>
      <c r="T610" s="1" t="str">
        <f>IF(Bike_Sharing_Master6[[#This Row],[Cnt]]&lt;80,"Low",IF(Bike_Sharing_Master6[[#This Row],[Cnt]]&lt;160,"Medium","High"))</f>
        <v>Low</v>
      </c>
      <c r="U610" s="1" t="str">
        <f>VLOOKUP(Bike_Sharing_Master6[[#This Row],[Weathersit]],[1]Lookup_Weather!A:B,2,FALSE)</f>
        <v>Light Rain</v>
      </c>
    </row>
    <row r="611" spans="1:21" x14ac:dyDescent="0.3">
      <c r="A611">
        <v>610</v>
      </c>
      <c r="B611" s="3">
        <v>40571</v>
      </c>
      <c r="C611" s="1">
        <v>1</v>
      </c>
      <c r="D611" s="1">
        <v>0</v>
      </c>
      <c r="E611" s="1">
        <v>1</v>
      </c>
      <c r="F611" s="1">
        <v>15</v>
      </c>
      <c r="G611" t="b">
        <v>0</v>
      </c>
      <c r="H611" s="1">
        <v>5</v>
      </c>
      <c r="I611" s="1">
        <v>2</v>
      </c>
      <c r="J611" s="2">
        <v>0.2</v>
      </c>
      <c r="K611" s="2">
        <v>0.2576</v>
      </c>
      <c r="L611" s="2">
        <v>0.86</v>
      </c>
      <c r="M611" s="2">
        <v>0</v>
      </c>
      <c r="N611" s="1">
        <v>1</v>
      </c>
      <c r="O611" s="1">
        <v>40</v>
      </c>
      <c r="P611" s="1">
        <v>41</v>
      </c>
      <c r="Q611" s="1" t="str">
        <f>IF(WEEKDAY(Bike_Sharing_Master6[[#This Row],[Dteday]],2)&gt;=6,"Weekend","Weekday")</f>
        <v>Weekday</v>
      </c>
      <c r="R611" s="1" t="str">
        <f xml:space="preserve"> IF(Bike_Sharing_Master6[[#This Row],[Hr]]&lt;6,"Late Night", IF(Bike_Sharing_Master6[[#This Row],[Hr]]&lt;10,"Morning Peak", IF(Bike_Sharing_Master6[[#This Row],[Hr]]&lt;17,"Daytime", IF(Bike_Sharing_Master6[[#This Row],[Hr]]&lt;21,"Evening Peak","Night"))))</f>
        <v>Daytime</v>
      </c>
      <c r="S611" s="1" t="str">
        <f>IF(Bike_Sharing_Master6[[#This Row],[Holiday]]=1,"Holiday","Non-Holiday")</f>
        <v>Non-Holiday</v>
      </c>
      <c r="T611" s="1" t="str">
        <f>IF(Bike_Sharing_Master6[[#This Row],[Cnt]]&lt;80,"Low",IF(Bike_Sharing_Master6[[#This Row],[Cnt]]&lt;160,"Medium","High"))</f>
        <v>Low</v>
      </c>
      <c r="U611" s="1" t="str">
        <f>VLOOKUP(Bike_Sharing_Master6[[#This Row],[Weathersit]],[1]Lookup_Weather!A:B,2,FALSE)</f>
        <v>Mist</v>
      </c>
    </row>
    <row r="612" spans="1:21" x14ac:dyDescent="0.3">
      <c r="A612">
        <v>611</v>
      </c>
      <c r="B612" s="3">
        <v>40571</v>
      </c>
      <c r="C612" s="1">
        <v>1</v>
      </c>
      <c r="D612" s="1">
        <v>0</v>
      </c>
      <c r="E612" s="1">
        <v>1</v>
      </c>
      <c r="F612" s="1">
        <v>16</v>
      </c>
      <c r="G612" t="b">
        <v>0</v>
      </c>
      <c r="H612" s="1">
        <v>5</v>
      </c>
      <c r="I612" s="1">
        <v>1</v>
      </c>
      <c r="J612" s="2">
        <v>0.22</v>
      </c>
      <c r="K612" s="2">
        <v>0.2727</v>
      </c>
      <c r="L612" s="2">
        <v>0.8</v>
      </c>
      <c r="M612" s="2">
        <v>0</v>
      </c>
      <c r="N612" s="1">
        <v>10</v>
      </c>
      <c r="O612" s="1">
        <v>70</v>
      </c>
      <c r="P612" s="1">
        <v>80</v>
      </c>
      <c r="Q612" s="1" t="str">
        <f>IF(WEEKDAY(Bike_Sharing_Master6[[#This Row],[Dteday]],2)&gt;=6,"Weekend","Weekday")</f>
        <v>Weekday</v>
      </c>
      <c r="R612" s="1" t="str">
        <f xml:space="preserve"> IF(Bike_Sharing_Master6[[#This Row],[Hr]]&lt;6,"Late Night", IF(Bike_Sharing_Master6[[#This Row],[Hr]]&lt;10,"Morning Peak", IF(Bike_Sharing_Master6[[#This Row],[Hr]]&lt;17,"Daytime", IF(Bike_Sharing_Master6[[#This Row],[Hr]]&lt;21,"Evening Peak","Night"))))</f>
        <v>Daytime</v>
      </c>
      <c r="S612" s="1" t="str">
        <f>IF(Bike_Sharing_Master6[[#This Row],[Holiday]]=1,"Holiday","Non-Holiday")</f>
        <v>Non-Holiday</v>
      </c>
      <c r="T612" s="1" t="str">
        <f>IF(Bike_Sharing_Master6[[#This Row],[Cnt]]&lt;80,"Low",IF(Bike_Sharing_Master6[[#This Row],[Cnt]]&lt;160,"Medium","High"))</f>
        <v>Medium</v>
      </c>
      <c r="U612" s="1" t="str">
        <f>VLOOKUP(Bike_Sharing_Master6[[#This Row],[Weathersit]],[1]Lookup_Weather!A:B,2,FALSE)</f>
        <v>Clear</v>
      </c>
    </row>
    <row r="613" spans="1:21" x14ac:dyDescent="0.3">
      <c r="A613">
        <v>612</v>
      </c>
      <c r="B613" s="3">
        <v>40571</v>
      </c>
      <c r="C613" s="1">
        <v>1</v>
      </c>
      <c r="D613" s="1">
        <v>0</v>
      </c>
      <c r="E613" s="1">
        <v>1</v>
      </c>
      <c r="F613" s="1">
        <v>17</v>
      </c>
      <c r="G613" t="b">
        <v>0</v>
      </c>
      <c r="H613" s="1">
        <v>5</v>
      </c>
      <c r="I613" s="1">
        <v>1</v>
      </c>
      <c r="J613" s="2">
        <v>0.24</v>
      </c>
      <c r="K613" s="2">
        <v>0.2424</v>
      </c>
      <c r="L613" s="2">
        <v>0.75</v>
      </c>
      <c r="M613" s="2">
        <v>0.1343</v>
      </c>
      <c r="N613" s="1">
        <v>2</v>
      </c>
      <c r="O613" s="1">
        <v>147</v>
      </c>
      <c r="P613" s="1">
        <v>149</v>
      </c>
      <c r="Q613" s="1" t="str">
        <f>IF(WEEKDAY(Bike_Sharing_Master6[[#This Row],[Dteday]],2)&gt;=6,"Weekend","Weekday")</f>
        <v>Weekday</v>
      </c>
      <c r="R613" s="1" t="str">
        <f xml:space="preserve"> IF(Bike_Sharing_Master6[[#This Row],[Hr]]&lt;6,"Late Night", IF(Bike_Sharing_Master6[[#This Row],[Hr]]&lt;10,"Morning Peak", IF(Bike_Sharing_Master6[[#This Row],[Hr]]&lt;17,"Daytime", IF(Bike_Sharing_Master6[[#This Row],[Hr]]&lt;21,"Evening Peak","Night"))))</f>
        <v>Evening Peak</v>
      </c>
      <c r="S613" s="1" t="str">
        <f>IF(Bike_Sharing_Master6[[#This Row],[Holiday]]=1,"Holiday","Non-Holiday")</f>
        <v>Non-Holiday</v>
      </c>
      <c r="T613" s="1" t="str">
        <f>IF(Bike_Sharing_Master6[[#This Row],[Cnt]]&lt;80,"Low",IF(Bike_Sharing_Master6[[#This Row],[Cnt]]&lt;160,"Medium","High"))</f>
        <v>Medium</v>
      </c>
      <c r="U613" s="1" t="str">
        <f>VLOOKUP(Bike_Sharing_Master6[[#This Row],[Weathersit]],[1]Lookup_Weather!A:B,2,FALSE)</f>
        <v>Clear</v>
      </c>
    </row>
    <row r="614" spans="1:21" x14ac:dyDescent="0.3">
      <c r="A614">
        <v>613</v>
      </c>
      <c r="B614" s="3">
        <v>40571</v>
      </c>
      <c r="C614" s="1">
        <v>1</v>
      </c>
      <c r="D614" s="1">
        <v>0</v>
      </c>
      <c r="E614" s="1">
        <v>1</v>
      </c>
      <c r="F614" s="1">
        <v>18</v>
      </c>
      <c r="G614" t="b">
        <v>0</v>
      </c>
      <c r="H614" s="1">
        <v>5</v>
      </c>
      <c r="I614" s="1">
        <v>1</v>
      </c>
      <c r="J614" s="2">
        <v>0.24</v>
      </c>
      <c r="K614" s="2">
        <v>0.2273</v>
      </c>
      <c r="L614" s="2">
        <v>0.75</v>
      </c>
      <c r="M614" s="2">
        <v>0.19400000000000001</v>
      </c>
      <c r="N614" s="1">
        <v>2</v>
      </c>
      <c r="O614" s="1">
        <v>107</v>
      </c>
      <c r="P614" s="1">
        <v>109</v>
      </c>
      <c r="Q614" s="1" t="str">
        <f>IF(WEEKDAY(Bike_Sharing_Master6[[#This Row],[Dteday]],2)&gt;=6,"Weekend","Weekday")</f>
        <v>Weekday</v>
      </c>
      <c r="R614" s="1" t="str">
        <f xml:space="preserve"> IF(Bike_Sharing_Master6[[#This Row],[Hr]]&lt;6,"Late Night", IF(Bike_Sharing_Master6[[#This Row],[Hr]]&lt;10,"Morning Peak", IF(Bike_Sharing_Master6[[#This Row],[Hr]]&lt;17,"Daytime", IF(Bike_Sharing_Master6[[#This Row],[Hr]]&lt;21,"Evening Peak","Night"))))</f>
        <v>Evening Peak</v>
      </c>
      <c r="S614" s="1" t="str">
        <f>IF(Bike_Sharing_Master6[[#This Row],[Holiday]]=1,"Holiday","Non-Holiday")</f>
        <v>Non-Holiday</v>
      </c>
      <c r="T614" s="1" t="str">
        <f>IF(Bike_Sharing_Master6[[#This Row],[Cnt]]&lt;80,"Low",IF(Bike_Sharing_Master6[[#This Row],[Cnt]]&lt;160,"Medium","High"))</f>
        <v>Medium</v>
      </c>
      <c r="U614" s="1" t="str">
        <f>VLOOKUP(Bike_Sharing_Master6[[#This Row],[Weathersit]],[1]Lookup_Weather!A:B,2,FALSE)</f>
        <v>Clear</v>
      </c>
    </row>
    <row r="615" spans="1:21" x14ac:dyDescent="0.3">
      <c r="A615">
        <v>614</v>
      </c>
      <c r="B615" s="3">
        <v>40571</v>
      </c>
      <c r="C615" s="1">
        <v>1</v>
      </c>
      <c r="D615" s="1">
        <v>0</v>
      </c>
      <c r="E615" s="1">
        <v>1</v>
      </c>
      <c r="F615" s="1">
        <v>19</v>
      </c>
      <c r="G615" t="b">
        <v>0</v>
      </c>
      <c r="H615" s="1">
        <v>5</v>
      </c>
      <c r="I615" s="1">
        <v>2</v>
      </c>
      <c r="J615" s="2">
        <v>0.24</v>
      </c>
      <c r="K615" s="2">
        <v>0.2424</v>
      </c>
      <c r="L615" s="2">
        <v>0.75</v>
      </c>
      <c r="M615" s="2">
        <v>0.1343</v>
      </c>
      <c r="N615" s="1">
        <v>5</v>
      </c>
      <c r="O615" s="1">
        <v>84</v>
      </c>
      <c r="P615" s="1">
        <v>89</v>
      </c>
      <c r="Q615" s="1" t="str">
        <f>IF(WEEKDAY(Bike_Sharing_Master6[[#This Row],[Dteday]],2)&gt;=6,"Weekend","Weekday")</f>
        <v>Weekday</v>
      </c>
      <c r="R615" s="1" t="str">
        <f xml:space="preserve"> IF(Bike_Sharing_Master6[[#This Row],[Hr]]&lt;6,"Late Night", IF(Bike_Sharing_Master6[[#This Row],[Hr]]&lt;10,"Morning Peak", IF(Bike_Sharing_Master6[[#This Row],[Hr]]&lt;17,"Daytime", IF(Bike_Sharing_Master6[[#This Row],[Hr]]&lt;21,"Evening Peak","Night"))))</f>
        <v>Evening Peak</v>
      </c>
      <c r="S615" s="1" t="str">
        <f>IF(Bike_Sharing_Master6[[#This Row],[Holiday]]=1,"Holiday","Non-Holiday")</f>
        <v>Non-Holiday</v>
      </c>
      <c r="T615" s="1" t="str">
        <f>IF(Bike_Sharing_Master6[[#This Row],[Cnt]]&lt;80,"Low",IF(Bike_Sharing_Master6[[#This Row],[Cnt]]&lt;160,"Medium","High"))</f>
        <v>Medium</v>
      </c>
      <c r="U615" s="1" t="str">
        <f>VLOOKUP(Bike_Sharing_Master6[[#This Row],[Weathersit]],[1]Lookup_Weather!A:B,2,FALSE)</f>
        <v>Mist</v>
      </c>
    </row>
    <row r="616" spans="1:21" x14ac:dyDescent="0.3">
      <c r="A616">
        <v>615</v>
      </c>
      <c r="B616" s="3">
        <v>40571</v>
      </c>
      <c r="C616" s="1">
        <v>1</v>
      </c>
      <c r="D616" s="1">
        <v>0</v>
      </c>
      <c r="E616" s="1">
        <v>1</v>
      </c>
      <c r="F616" s="1">
        <v>20</v>
      </c>
      <c r="G616" t="b">
        <v>0</v>
      </c>
      <c r="H616" s="1">
        <v>5</v>
      </c>
      <c r="I616" s="1">
        <v>2</v>
      </c>
      <c r="J616" s="2">
        <v>0.24</v>
      </c>
      <c r="K616" s="2">
        <v>0.2273</v>
      </c>
      <c r="L616" s="2">
        <v>0.7</v>
      </c>
      <c r="M616" s="2">
        <v>0.19400000000000001</v>
      </c>
      <c r="N616" s="1">
        <v>1</v>
      </c>
      <c r="O616" s="1">
        <v>61</v>
      </c>
      <c r="P616" s="1">
        <v>62</v>
      </c>
      <c r="Q616" s="1" t="str">
        <f>IF(WEEKDAY(Bike_Sharing_Master6[[#This Row],[Dteday]],2)&gt;=6,"Weekend","Weekday")</f>
        <v>Weekday</v>
      </c>
      <c r="R616" s="1" t="str">
        <f xml:space="preserve"> IF(Bike_Sharing_Master6[[#This Row],[Hr]]&lt;6,"Late Night", IF(Bike_Sharing_Master6[[#This Row],[Hr]]&lt;10,"Morning Peak", IF(Bike_Sharing_Master6[[#This Row],[Hr]]&lt;17,"Daytime", IF(Bike_Sharing_Master6[[#This Row],[Hr]]&lt;21,"Evening Peak","Night"))))</f>
        <v>Evening Peak</v>
      </c>
      <c r="S616" s="1" t="str">
        <f>IF(Bike_Sharing_Master6[[#This Row],[Holiday]]=1,"Holiday","Non-Holiday")</f>
        <v>Non-Holiday</v>
      </c>
      <c r="T616" s="1" t="str">
        <f>IF(Bike_Sharing_Master6[[#This Row],[Cnt]]&lt;80,"Low",IF(Bike_Sharing_Master6[[#This Row],[Cnt]]&lt;160,"Medium","High"))</f>
        <v>Low</v>
      </c>
      <c r="U616" s="1" t="str">
        <f>VLOOKUP(Bike_Sharing_Master6[[#This Row],[Weathersit]],[1]Lookup_Weather!A:B,2,FALSE)</f>
        <v>Mist</v>
      </c>
    </row>
    <row r="617" spans="1:21" x14ac:dyDescent="0.3">
      <c r="A617">
        <v>616</v>
      </c>
      <c r="B617" s="3">
        <v>40571</v>
      </c>
      <c r="C617" s="1">
        <v>1</v>
      </c>
      <c r="D617" s="1">
        <v>0</v>
      </c>
      <c r="E617" s="1">
        <v>1</v>
      </c>
      <c r="F617" s="1">
        <v>21</v>
      </c>
      <c r="G617" t="b">
        <v>0</v>
      </c>
      <c r="H617" s="1">
        <v>5</v>
      </c>
      <c r="I617" s="1">
        <v>2</v>
      </c>
      <c r="J617" s="2">
        <v>0.22</v>
      </c>
      <c r="K617" s="2">
        <v>0.2273</v>
      </c>
      <c r="L617" s="2">
        <v>0.75</v>
      </c>
      <c r="M617" s="2">
        <v>0.1343</v>
      </c>
      <c r="N617" s="1">
        <v>1</v>
      </c>
      <c r="O617" s="1">
        <v>57</v>
      </c>
      <c r="P617" s="1">
        <v>58</v>
      </c>
      <c r="Q617" s="1" t="str">
        <f>IF(WEEKDAY(Bike_Sharing_Master6[[#This Row],[Dteday]],2)&gt;=6,"Weekend","Weekday")</f>
        <v>Weekday</v>
      </c>
      <c r="R617" s="1" t="str">
        <f xml:space="preserve"> IF(Bike_Sharing_Master6[[#This Row],[Hr]]&lt;6,"Late Night", IF(Bike_Sharing_Master6[[#This Row],[Hr]]&lt;10,"Morning Peak", IF(Bike_Sharing_Master6[[#This Row],[Hr]]&lt;17,"Daytime", IF(Bike_Sharing_Master6[[#This Row],[Hr]]&lt;21,"Evening Peak","Night"))))</f>
        <v>Night</v>
      </c>
      <c r="S617" s="1" t="str">
        <f>IF(Bike_Sharing_Master6[[#This Row],[Holiday]]=1,"Holiday","Non-Holiday")</f>
        <v>Non-Holiday</v>
      </c>
      <c r="T617" s="1" t="str">
        <f>IF(Bike_Sharing_Master6[[#This Row],[Cnt]]&lt;80,"Low",IF(Bike_Sharing_Master6[[#This Row],[Cnt]]&lt;160,"Medium","High"))</f>
        <v>Low</v>
      </c>
      <c r="U617" s="1" t="str">
        <f>VLOOKUP(Bike_Sharing_Master6[[#This Row],[Weathersit]],[1]Lookup_Weather!A:B,2,FALSE)</f>
        <v>Mist</v>
      </c>
    </row>
    <row r="618" spans="1:21" x14ac:dyDescent="0.3">
      <c r="A618">
        <v>617</v>
      </c>
      <c r="B618" s="3">
        <v>40571</v>
      </c>
      <c r="C618" s="1">
        <v>1</v>
      </c>
      <c r="D618" s="1">
        <v>0</v>
      </c>
      <c r="E618" s="1">
        <v>1</v>
      </c>
      <c r="F618" s="1">
        <v>22</v>
      </c>
      <c r="G618" t="b">
        <v>0</v>
      </c>
      <c r="H618" s="1">
        <v>5</v>
      </c>
      <c r="I618" s="1">
        <v>1</v>
      </c>
      <c r="J618" s="2">
        <v>0.24</v>
      </c>
      <c r="K618" s="2">
        <v>0.21210000000000001</v>
      </c>
      <c r="L618" s="2">
        <v>0.65</v>
      </c>
      <c r="M618" s="2">
        <v>0.35820000000000002</v>
      </c>
      <c r="N618" s="1">
        <v>0</v>
      </c>
      <c r="O618" s="1">
        <v>26</v>
      </c>
      <c r="P618" s="1">
        <v>26</v>
      </c>
      <c r="Q618" s="1" t="str">
        <f>IF(WEEKDAY(Bike_Sharing_Master6[[#This Row],[Dteday]],2)&gt;=6,"Weekend","Weekday")</f>
        <v>Weekday</v>
      </c>
      <c r="R618" s="1" t="str">
        <f xml:space="preserve"> IF(Bike_Sharing_Master6[[#This Row],[Hr]]&lt;6,"Late Night", IF(Bike_Sharing_Master6[[#This Row],[Hr]]&lt;10,"Morning Peak", IF(Bike_Sharing_Master6[[#This Row],[Hr]]&lt;17,"Daytime", IF(Bike_Sharing_Master6[[#This Row],[Hr]]&lt;21,"Evening Peak","Night"))))</f>
        <v>Night</v>
      </c>
      <c r="S618" s="1" t="str">
        <f>IF(Bike_Sharing_Master6[[#This Row],[Holiday]]=1,"Holiday","Non-Holiday")</f>
        <v>Non-Holiday</v>
      </c>
      <c r="T618" s="1" t="str">
        <f>IF(Bike_Sharing_Master6[[#This Row],[Cnt]]&lt;80,"Low",IF(Bike_Sharing_Master6[[#This Row],[Cnt]]&lt;160,"Medium","High"))</f>
        <v>Low</v>
      </c>
      <c r="U618" s="1" t="str">
        <f>VLOOKUP(Bike_Sharing_Master6[[#This Row],[Weathersit]],[1]Lookup_Weather!A:B,2,FALSE)</f>
        <v>Clear</v>
      </c>
    </row>
    <row r="619" spans="1:21" x14ac:dyDescent="0.3">
      <c r="A619">
        <v>618</v>
      </c>
      <c r="B619" s="3">
        <v>40571</v>
      </c>
      <c r="C619" s="1">
        <v>1</v>
      </c>
      <c r="D619" s="1">
        <v>0</v>
      </c>
      <c r="E619" s="1">
        <v>1</v>
      </c>
      <c r="F619" s="1">
        <v>23</v>
      </c>
      <c r="G619" t="b">
        <v>0</v>
      </c>
      <c r="H619" s="1">
        <v>5</v>
      </c>
      <c r="I619" s="1">
        <v>1</v>
      </c>
      <c r="J619" s="2">
        <v>0.24</v>
      </c>
      <c r="K619" s="2">
        <v>0.2273</v>
      </c>
      <c r="L619" s="2">
        <v>0.6</v>
      </c>
      <c r="M619" s="2">
        <v>0.22389999999999999</v>
      </c>
      <c r="N619" s="1">
        <v>1</v>
      </c>
      <c r="O619" s="1">
        <v>22</v>
      </c>
      <c r="P619" s="1">
        <v>23</v>
      </c>
      <c r="Q619" s="1" t="str">
        <f>IF(WEEKDAY(Bike_Sharing_Master6[[#This Row],[Dteday]],2)&gt;=6,"Weekend","Weekday")</f>
        <v>Weekday</v>
      </c>
      <c r="R619" s="1" t="str">
        <f xml:space="preserve"> IF(Bike_Sharing_Master6[[#This Row],[Hr]]&lt;6,"Late Night", IF(Bike_Sharing_Master6[[#This Row],[Hr]]&lt;10,"Morning Peak", IF(Bike_Sharing_Master6[[#This Row],[Hr]]&lt;17,"Daytime", IF(Bike_Sharing_Master6[[#This Row],[Hr]]&lt;21,"Evening Peak","Night"))))</f>
        <v>Night</v>
      </c>
      <c r="S619" s="1" t="str">
        <f>IF(Bike_Sharing_Master6[[#This Row],[Holiday]]=1,"Holiday","Non-Holiday")</f>
        <v>Non-Holiday</v>
      </c>
      <c r="T619" s="1" t="str">
        <f>IF(Bike_Sharing_Master6[[#This Row],[Cnt]]&lt;80,"Low",IF(Bike_Sharing_Master6[[#This Row],[Cnt]]&lt;160,"Medium","High"))</f>
        <v>Low</v>
      </c>
      <c r="U619" s="1" t="str">
        <f>VLOOKUP(Bike_Sharing_Master6[[#This Row],[Weathersit]],[1]Lookup_Weather!A:B,2,FALSE)</f>
        <v>Clear</v>
      </c>
    </row>
    <row r="620" spans="1:21" x14ac:dyDescent="0.3">
      <c r="A620">
        <v>619</v>
      </c>
      <c r="B620" s="3">
        <v>40572</v>
      </c>
      <c r="C620" s="1">
        <v>1</v>
      </c>
      <c r="D620" s="1">
        <v>0</v>
      </c>
      <c r="E620" s="1">
        <v>1</v>
      </c>
      <c r="F620" s="1">
        <v>0</v>
      </c>
      <c r="G620" t="b">
        <v>0</v>
      </c>
      <c r="H620" s="1">
        <v>6</v>
      </c>
      <c r="I620" s="1">
        <v>1</v>
      </c>
      <c r="J620" s="2">
        <v>0.22</v>
      </c>
      <c r="K620" s="2">
        <v>0.19700000000000001</v>
      </c>
      <c r="L620" s="2">
        <v>0.64</v>
      </c>
      <c r="M620" s="2">
        <v>0.35820000000000002</v>
      </c>
      <c r="N620" s="1">
        <v>2</v>
      </c>
      <c r="O620" s="1">
        <v>26</v>
      </c>
      <c r="P620" s="1">
        <v>28</v>
      </c>
      <c r="Q620" s="1" t="str">
        <f>IF(WEEKDAY(Bike_Sharing_Master6[[#This Row],[Dteday]],2)&gt;=6,"Weekend","Weekday")</f>
        <v>Weekend</v>
      </c>
      <c r="R620" s="1" t="str">
        <f xml:space="preserve"> IF(Bike_Sharing_Master6[[#This Row],[Hr]]&lt;6,"Late Night", IF(Bike_Sharing_Master6[[#This Row],[Hr]]&lt;10,"Morning Peak", IF(Bike_Sharing_Master6[[#This Row],[Hr]]&lt;17,"Daytime", IF(Bike_Sharing_Master6[[#This Row],[Hr]]&lt;21,"Evening Peak","Night"))))</f>
        <v>Late Night</v>
      </c>
      <c r="S620" s="1" t="str">
        <f>IF(Bike_Sharing_Master6[[#This Row],[Holiday]]=1,"Holiday","Non-Holiday")</f>
        <v>Non-Holiday</v>
      </c>
      <c r="T620" s="1" t="str">
        <f>IF(Bike_Sharing_Master6[[#This Row],[Cnt]]&lt;80,"Low",IF(Bike_Sharing_Master6[[#This Row],[Cnt]]&lt;160,"Medium","High"))</f>
        <v>Low</v>
      </c>
      <c r="U620" s="1" t="str">
        <f>VLOOKUP(Bike_Sharing_Master6[[#This Row],[Weathersit]],[1]Lookup_Weather!A:B,2,FALSE)</f>
        <v>Clear</v>
      </c>
    </row>
    <row r="621" spans="1:21" x14ac:dyDescent="0.3">
      <c r="A621">
        <v>620</v>
      </c>
      <c r="B621" s="3">
        <v>40572</v>
      </c>
      <c r="C621" s="1">
        <v>1</v>
      </c>
      <c r="D621" s="1">
        <v>0</v>
      </c>
      <c r="E621" s="1">
        <v>1</v>
      </c>
      <c r="F621" s="1">
        <v>1</v>
      </c>
      <c r="G621" t="b">
        <v>0</v>
      </c>
      <c r="H621" s="1">
        <v>6</v>
      </c>
      <c r="I621" s="1">
        <v>1</v>
      </c>
      <c r="J621" s="2">
        <v>0.22</v>
      </c>
      <c r="K621" s="2">
        <v>0.2273</v>
      </c>
      <c r="L621" s="2">
        <v>0.64</v>
      </c>
      <c r="M621" s="2">
        <v>0.19400000000000001</v>
      </c>
      <c r="N621" s="1">
        <v>0</v>
      </c>
      <c r="O621" s="1">
        <v>20</v>
      </c>
      <c r="P621" s="1">
        <v>20</v>
      </c>
      <c r="Q621" s="1" t="str">
        <f>IF(WEEKDAY(Bike_Sharing_Master6[[#This Row],[Dteday]],2)&gt;=6,"Weekend","Weekday")</f>
        <v>Weekend</v>
      </c>
      <c r="R621" s="1" t="str">
        <f xml:space="preserve"> IF(Bike_Sharing_Master6[[#This Row],[Hr]]&lt;6,"Late Night", IF(Bike_Sharing_Master6[[#This Row],[Hr]]&lt;10,"Morning Peak", IF(Bike_Sharing_Master6[[#This Row],[Hr]]&lt;17,"Daytime", IF(Bike_Sharing_Master6[[#This Row],[Hr]]&lt;21,"Evening Peak","Night"))))</f>
        <v>Late Night</v>
      </c>
      <c r="S621" s="1" t="str">
        <f>IF(Bike_Sharing_Master6[[#This Row],[Holiday]]=1,"Holiday","Non-Holiday")</f>
        <v>Non-Holiday</v>
      </c>
      <c r="T621" s="1" t="str">
        <f>IF(Bike_Sharing_Master6[[#This Row],[Cnt]]&lt;80,"Low",IF(Bike_Sharing_Master6[[#This Row],[Cnt]]&lt;160,"Medium","High"))</f>
        <v>Low</v>
      </c>
      <c r="U621" s="1" t="str">
        <f>VLOOKUP(Bike_Sharing_Master6[[#This Row],[Weathersit]],[1]Lookup_Weather!A:B,2,FALSE)</f>
        <v>Clear</v>
      </c>
    </row>
    <row r="622" spans="1:21" x14ac:dyDescent="0.3">
      <c r="A622">
        <v>621</v>
      </c>
      <c r="B622" s="3">
        <v>40572</v>
      </c>
      <c r="C622" s="1">
        <v>1</v>
      </c>
      <c r="D622" s="1">
        <v>0</v>
      </c>
      <c r="E622" s="1">
        <v>1</v>
      </c>
      <c r="F622" s="1">
        <v>2</v>
      </c>
      <c r="G622" t="b">
        <v>0</v>
      </c>
      <c r="H622" s="1">
        <v>6</v>
      </c>
      <c r="I622" s="1">
        <v>1</v>
      </c>
      <c r="J622" s="2">
        <v>0.22</v>
      </c>
      <c r="K622" s="2">
        <v>0.2273</v>
      </c>
      <c r="L622" s="2">
        <v>0.64</v>
      </c>
      <c r="M622" s="2">
        <v>0.16420000000000001</v>
      </c>
      <c r="N622" s="1">
        <v>0</v>
      </c>
      <c r="O622" s="1">
        <v>15</v>
      </c>
      <c r="P622" s="1">
        <v>15</v>
      </c>
      <c r="Q622" s="1" t="str">
        <f>IF(WEEKDAY(Bike_Sharing_Master6[[#This Row],[Dteday]],2)&gt;=6,"Weekend","Weekday")</f>
        <v>Weekend</v>
      </c>
      <c r="R622" s="1" t="str">
        <f xml:space="preserve"> IF(Bike_Sharing_Master6[[#This Row],[Hr]]&lt;6,"Late Night", IF(Bike_Sharing_Master6[[#This Row],[Hr]]&lt;10,"Morning Peak", IF(Bike_Sharing_Master6[[#This Row],[Hr]]&lt;17,"Daytime", IF(Bike_Sharing_Master6[[#This Row],[Hr]]&lt;21,"Evening Peak","Night"))))</f>
        <v>Late Night</v>
      </c>
      <c r="S622" s="1" t="str">
        <f>IF(Bike_Sharing_Master6[[#This Row],[Holiday]]=1,"Holiday","Non-Holiday")</f>
        <v>Non-Holiday</v>
      </c>
      <c r="T622" s="1" t="str">
        <f>IF(Bike_Sharing_Master6[[#This Row],[Cnt]]&lt;80,"Low",IF(Bike_Sharing_Master6[[#This Row],[Cnt]]&lt;160,"Medium","High"))</f>
        <v>Low</v>
      </c>
      <c r="U622" s="1" t="str">
        <f>VLOOKUP(Bike_Sharing_Master6[[#This Row],[Weathersit]],[1]Lookup_Weather!A:B,2,FALSE)</f>
        <v>Clear</v>
      </c>
    </row>
    <row r="623" spans="1:21" x14ac:dyDescent="0.3">
      <c r="A623">
        <v>622</v>
      </c>
      <c r="B623" s="3">
        <v>40572</v>
      </c>
      <c r="C623" s="1">
        <v>1</v>
      </c>
      <c r="D623" s="1">
        <v>0</v>
      </c>
      <c r="E623" s="1">
        <v>1</v>
      </c>
      <c r="F623" s="1">
        <v>3</v>
      </c>
      <c r="G623" t="b">
        <v>0</v>
      </c>
      <c r="H623" s="1">
        <v>6</v>
      </c>
      <c r="I623" s="1">
        <v>1</v>
      </c>
      <c r="J623" s="2">
        <v>0.2</v>
      </c>
      <c r="K623" s="2">
        <v>0.21210000000000001</v>
      </c>
      <c r="L623" s="2">
        <v>0.64</v>
      </c>
      <c r="M623" s="2">
        <v>0.1343</v>
      </c>
      <c r="N623" s="1">
        <v>3</v>
      </c>
      <c r="O623" s="1">
        <v>5</v>
      </c>
      <c r="P623" s="1">
        <v>8</v>
      </c>
      <c r="Q623" s="1" t="str">
        <f>IF(WEEKDAY(Bike_Sharing_Master6[[#This Row],[Dteday]],2)&gt;=6,"Weekend","Weekday")</f>
        <v>Weekend</v>
      </c>
      <c r="R623" s="1" t="str">
        <f xml:space="preserve"> IF(Bike_Sharing_Master6[[#This Row],[Hr]]&lt;6,"Late Night", IF(Bike_Sharing_Master6[[#This Row],[Hr]]&lt;10,"Morning Peak", IF(Bike_Sharing_Master6[[#This Row],[Hr]]&lt;17,"Daytime", IF(Bike_Sharing_Master6[[#This Row],[Hr]]&lt;21,"Evening Peak","Night"))))</f>
        <v>Late Night</v>
      </c>
      <c r="S623" s="1" t="str">
        <f>IF(Bike_Sharing_Master6[[#This Row],[Holiday]]=1,"Holiday","Non-Holiday")</f>
        <v>Non-Holiday</v>
      </c>
      <c r="T623" s="1" t="str">
        <f>IF(Bike_Sharing_Master6[[#This Row],[Cnt]]&lt;80,"Low",IF(Bike_Sharing_Master6[[#This Row],[Cnt]]&lt;160,"Medium","High"))</f>
        <v>Low</v>
      </c>
      <c r="U623" s="1" t="str">
        <f>VLOOKUP(Bike_Sharing_Master6[[#This Row],[Weathersit]],[1]Lookup_Weather!A:B,2,FALSE)</f>
        <v>Clear</v>
      </c>
    </row>
    <row r="624" spans="1:21" x14ac:dyDescent="0.3">
      <c r="A624">
        <v>623</v>
      </c>
      <c r="B624" s="3">
        <v>40572</v>
      </c>
      <c r="C624" s="1">
        <v>1</v>
      </c>
      <c r="D624" s="1">
        <v>0</v>
      </c>
      <c r="E624" s="1">
        <v>1</v>
      </c>
      <c r="F624" s="1">
        <v>4</v>
      </c>
      <c r="G624" t="b">
        <v>0</v>
      </c>
      <c r="H624" s="1">
        <v>6</v>
      </c>
      <c r="I624" s="1">
        <v>1</v>
      </c>
      <c r="J624" s="2">
        <v>0.16</v>
      </c>
      <c r="K624" s="2">
        <v>0.18179999999999999</v>
      </c>
      <c r="L624" s="2">
        <v>0.69</v>
      </c>
      <c r="M624" s="2">
        <v>0.1045</v>
      </c>
      <c r="N624" s="1">
        <v>1</v>
      </c>
      <c r="O624" s="1">
        <v>2</v>
      </c>
      <c r="P624" s="1">
        <v>3</v>
      </c>
      <c r="Q624" s="1" t="str">
        <f>IF(WEEKDAY(Bike_Sharing_Master6[[#This Row],[Dteday]],2)&gt;=6,"Weekend","Weekday")</f>
        <v>Weekend</v>
      </c>
      <c r="R624" s="1" t="str">
        <f xml:space="preserve"> IF(Bike_Sharing_Master6[[#This Row],[Hr]]&lt;6,"Late Night", IF(Bike_Sharing_Master6[[#This Row],[Hr]]&lt;10,"Morning Peak", IF(Bike_Sharing_Master6[[#This Row],[Hr]]&lt;17,"Daytime", IF(Bike_Sharing_Master6[[#This Row],[Hr]]&lt;21,"Evening Peak","Night"))))</f>
        <v>Late Night</v>
      </c>
      <c r="S624" s="1" t="str">
        <f>IF(Bike_Sharing_Master6[[#This Row],[Holiday]]=1,"Holiday","Non-Holiday")</f>
        <v>Non-Holiday</v>
      </c>
      <c r="T624" s="1" t="str">
        <f>IF(Bike_Sharing_Master6[[#This Row],[Cnt]]&lt;80,"Low",IF(Bike_Sharing_Master6[[#This Row],[Cnt]]&lt;160,"Medium","High"))</f>
        <v>Low</v>
      </c>
      <c r="U624" s="1" t="str">
        <f>VLOOKUP(Bike_Sharing_Master6[[#This Row],[Weathersit]],[1]Lookup_Weather!A:B,2,FALSE)</f>
        <v>Clear</v>
      </c>
    </row>
    <row r="625" spans="1:21" x14ac:dyDescent="0.3">
      <c r="A625">
        <v>624</v>
      </c>
      <c r="B625" s="3">
        <v>40572</v>
      </c>
      <c r="C625" s="1">
        <v>1</v>
      </c>
      <c r="D625" s="1">
        <v>0</v>
      </c>
      <c r="E625" s="1">
        <v>1</v>
      </c>
      <c r="F625" s="1">
        <v>6</v>
      </c>
      <c r="G625" t="b">
        <v>0</v>
      </c>
      <c r="H625" s="1">
        <v>6</v>
      </c>
      <c r="I625" s="1">
        <v>1</v>
      </c>
      <c r="J625" s="2">
        <v>0.16</v>
      </c>
      <c r="K625" s="2">
        <v>0.18179999999999999</v>
      </c>
      <c r="L625" s="2">
        <v>0.64</v>
      </c>
      <c r="M625" s="2">
        <v>0.1343</v>
      </c>
      <c r="N625" s="1">
        <v>0</v>
      </c>
      <c r="O625" s="1">
        <v>2</v>
      </c>
      <c r="P625" s="1">
        <v>2</v>
      </c>
      <c r="Q625" s="1" t="str">
        <f>IF(WEEKDAY(Bike_Sharing_Master6[[#This Row],[Dteday]],2)&gt;=6,"Weekend","Weekday")</f>
        <v>Weekend</v>
      </c>
      <c r="R625" s="1" t="str">
        <f xml:space="preserve"> IF(Bike_Sharing_Master6[[#This Row],[Hr]]&lt;6,"Late Night", IF(Bike_Sharing_Master6[[#This Row],[Hr]]&lt;10,"Morning Peak", IF(Bike_Sharing_Master6[[#This Row],[Hr]]&lt;17,"Daytime", IF(Bike_Sharing_Master6[[#This Row],[Hr]]&lt;21,"Evening Peak","Night"))))</f>
        <v>Morning Peak</v>
      </c>
      <c r="S625" s="1" t="str">
        <f>IF(Bike_Sharing_Master6[[#This Row],[Holiday]]=1,"Holiday","Non-Holiday")</f>
        <v>Non-Holiday</v>
      </c>
      <c r="T625" s="1" t="str">
        <f>IF(Bike_Sharing_Master6[[#This Row],[Cnt]]&lt;80,"Low",IF(Bike_Sharing_Master6[[#This Row],[Cnt]]&lt;160,"Medium","High"))</f>
        <v>Low</v>
      </c>
      <c r="U625" s="1" t="str">
        <f>VLOOKUP(Bike_Sharing_Master6[[#This Row],[Weathersit]],[1]Lookup_Weather!A:B,2,FALSE)</f>
        <v>Clear</v>
      </c>
    </row>
    <row r="626" spans="1:21" x14ac:dyDescent="0.3">
      <c r="A626">
        <v>625</v>
      </c>
      <c r="B626" s="3">
        <v>40572</v>
      </c>
      <c r="C626" s="1">
        <v>1</v>
      </c>
      <c r="D626" s="1">
        <v>0</v>
      </c>
      <c r="E626" s="1">
        <v>1</v>
      </c>
      <c r="F626" s="1">
        <v>7</v>
      </c>
      <c r="G626" t="b">
        <v>0</v>
      </c>
      <c r="H626" s="1">
        <v>6</v>
      </c>
      <c r="I626" s="1">
        <v>1</v>
      </c>
      <c r="J626" s="2">
        <v>0.16</v>
      </c>
      <c r="K626" s="2">
        <v>0.18179999999999999</v>
      </c>
      <c r="L626" s="2">
        <v>0.59</v>
      </c>
      <c r="M626" s="2">
        <v>0.1045</v>
      </c>
      <c r="N626" s="1">
        <v>1</v>
      </c>
      <c r="O626" s="1">
        <v>4</v>
      </c>
      <c r="P626" s="1">
        <v>5</v>
      </c>
      <c r="Q626" s="1" t="str">
        <f>IF(WEEKDAY(Bike_Sharing_Master6[[#This Row],[Dteday]],2)&gt;=6,"Weekend","Weekday")</f>
        <v>Weekend</v>
      </c>
      <c r="R626" s="1" t="str">
        <f xml:space="preserve"> IF(Bike_Sharing_Master6[[#This Row],[Hr]]&lt;6,"Late Night", IF(Bike_Sharing_Master6[[#This Row],[Hr]]&lt;10,"Morning Peak", IF(Bike_Sharing_Master6[[#This Row],[Hr]]&lt;17,"Daytime", IF(Bike_Sharing_Master6[[#This Row],[Hr]]&lt;21,"Evening Peak","Night"))))</f>
        <v>Morning Peak</v>
      </c>
      <c r="S626" s="1" t="str">
        <f>IF(Bike_Sharing_Master6[[#This Row],[Holiday]]=1,"Holiday","Non-Holiday")</f>
        <v>Non-Holiday</v>
      </c>
      <c r="T626" s="1" t="str">
        <f>IF(Bike_Sharing_Master6[[#This Row],[Cnt]]&lt;80,"Low",IF(Bike_Sharing_Master6[[#This Row],[Cnt]]&lt;160,"Medium","High"))</f>
        <v>Low</v>
      </c>
      <c r="U626" s="1" t="str">
        <f>VLOOKUP(Bike_Sharing_Master6[[#This Row],[Weathersit]],[1]Lookup_Weather!A:B,2,FALSE)</f>
        <v>Clear</v>
      </c>
    </row>
    <row r="627" spans="1:21" x14ac:dyDescent="0.3">
      <c r="A627">
        <v>626</v>
      </c>
      <c r="B627" s="3">
        <v>40572</v>
      </c>
      <c r="C627" s="1">
        <v>1</v>
      </c>
      <c r="D627" s="1">
        <v>0</v>
      </c>
      <c r="E627" s="1">
        <v>1</v>
      </c>
      <c r="F627" s="1">
        <v>8</v>
      </c>
      <c r="G627" t="b">
        <v>0</v>
      </c>
      <c r="H627" s="1">
        <v>6</v>
      </c>
      <c r="I627" s="1">
        <v>1</v>
      </c>
      <c r="J627" s="2">
        <v>0.18</v>
      </c>
      <c r="K627" s="2">
        <v>0.19700000000000001</v>
      </c>
      <c r="L627" s="2">
        <v>0.55000000000000004</v>
      </c>
      <c r="M627" s="2">
        <v>0.16420000000000001</v>
      </c>
      <c r="N627" s="1">
        <v>3</v>
      </c>
      <c r="O627" s="1">
        <v>31</v>
      </c>
      <c r="P627" s="1">
        <v>34</v>
      </c>
      <c r="Q627" s="1" t="str">
        <f>IF(WEEKDAY(Bike_Sharing_Master6[[#This Row],[Dteday]],2)&gt;=6,"Weekend","Weekday")</f>
        <v>Weekend</v>
      </c>
      <c r="R627" s="1" t="str">
        <f xml:space="preserve"> IF(Bike_Sharing_Master6[[#This Row],[Hr]]&lt;6,"Late Night", IF(Bike_Sharing_Master6[[#This Row],[Hr]]&lt;10,"Morning Peak", IF(Bike_Sharing_Master6[[#This Row],[Hr]]&lt;17,"Daytime", IF(Bike_Sharing_Master6[[#This Row],[Hr]]&lt;21,"Evening Peak","Night"))))</f>
        <v>Morning Peak</v>
      </c>
      <c r="S627" s="1" t="str">
        <f>IF(Bike_Sharing_Master6[[#This Row],[Holiday]]=1,"Holiday","Non-Holiday")</f>
        <v>Non-Holiday</v>
      </c>
      <c r="T627" s="1" t="str">
        <f>IF(Bike_Sharing_Master6[[#This Row],[Cnt]]&lt;80,"Low",IF(Bike_Sharing_Master6[[#This Row],[Cnt]]&lt;160,"Medium","High"))</f>
        <v>Low</v>
      </c>
      <c r="U627" s="1" t="str">
        <f>VLOOKUP(Bike_Sharing_Master6[[#This Row],[Weathersit]],[1]Lookup_Weather!A:B,2,FALSE)</f>
        <v>Clear</v>
      </c>
    </row>
    <row r="628" spans="1:21" x14ac:dyDescent="0.3">
      <c r="A628">
        <v>627</v>
      </c>
      <c r="B628" s="3">
        <v>40572</v>
      </c>
      <c r="C628" s="1">
        <v>1</v>
      </c>
      <c r="D628" s="1">
        <v>0</v>
      </c>
      <c r="E628" s="1">
        <v>1</v>
      </c>
      <c r="F628" s="1">
        <v>9</v>
      </c>
      <c r="G628" t="b">
        <v>0</v>
      </c>
      <c r="H628" s="1">
        <v>6</v>
      </c>
      <c r="I628" s="1">
        <v>1</v>
      </c>
      <c r="J628" s="2">
        <v>0.18</v>
      </c>
      <c r="K628" s="2">
        <v>0.21210000000000001</v>
      </c>
      <c r="L628" s="2">
        <v>0.59</v>
      </c>
      <c r="M628" s="2">
        <v>8.9599999999999999E-2</v>
      </c>
      <c r="N628" s="1">
        <v>0</v>
      </c>
      <c r="O628" s="1">
        <v>34</v>
      </c>
      <c r="P628" s="1">
        <v>34</v>
      </c>
      <c r="Q628" s="1" t="str">
        <f>IF(WEEKDAY(Bike_Sharing_Master6[[#This Row],[Dteday]],2)&gt;=6,"Weekend","Weekday")</f>
        <v>Weekend</v>
      </c>
      <c r="R628" s="1" t="str">
        <f xml:space="preserve"> IF(Bike_Sharing_Master6[[#This Row],[Hr]]&lt;6,"Late Night", IF(Bike_Sharing_Master6[[#This Row],[Hr]]&lt;10,"Morning Peak", IF(Bike_Sharing_Master6[[#This Row],[Hr]]&lt;17,"Daytime", IF(Bike_Sharing_Master6[[#This Row],[Hr]]&lt;21,"Evening Peak","Night"))))</f>
        <v>Morning Peak</v>
      </c>
      <c r="S628" s="1" t="str">
        <f>IF(Bike_Sharing_Master6[[#This Row],[Holiday]]=1,"Holiday","Non-Holiday")</f>
        <v>Non-Holiday</v>
      </c>
      <c r="T628" s="1" t="str">
        <f>IF(Bike_Sharing_Master6[[#This Row],[Cnt]]&lt;80,"Low",IF(Bike_Sharing_Master6[[#This Row],[Cnt]]&lt;160,"Medium","High"))</f>
        <v>Low</v>
      </c>
      <c r="U628" s="1" t="str">
        <f>VLOOKUP(Bike_Sharing_Master6[[#This Row],[Weathersit]],[1]Lookup_Weather!A:B,2,FALSE)</f>
        <v>Clear</v>
      </c>
    </row>
    <row r="629" spans="1:21" x14ac:dyDescent="0.3">
      <c r="A629">
        <v>628</v>
      </c>
      <c r="B629" s="3">
        <v>40572</v>
      </c>
      <c r="C629" s="1">
        <v>1</v>
      </c>
      <c r="D629" s="1">
        <v>0</v>
      </c>
      <c r="E629" s="1">
        <v>1</v>
      </c>
      <c r="F629" s="1">
        <v>10</v>
      </c>
      <c r="G629" t="b">
        <v>0</v>
      </c>
      <c r="H629" s="1">
        <v>6</v>
      </c>
      <c r="I629" s="1">
        <v>2</v>
      </c>
      <c r="J629" s="2">
        <v>0.18</v>
      </c>
      <c r="K629" s="2">
        <v>0.21210000000000001</v>
      </c>
      <c r="L629" s="2">
        <v>0.64</v>
      </c>
      <c r="M629" s="2">
        <v>0.1045</v>
      </c>
      <c r="N629" s="1">
        <v>4</v>
      </c>
      <c r="O629" s="1">
        <v>51</v>
      </c>
      <c r="P629" s="1">
        <v>55</v>
      </c>
      <c r="Q629" s="1" t="str">
        <f>IF(WEEKDAY(Bike_Sharing_Master6[[#This Row],[Dteday]],2)&gt;=6,"Weekend","Weekday")</f>
        <v>Weekend</v>
      </c>
      <c r="R629" s="1" t="str">
        <f xml:space="preserve"> IF(Bike_Sharing_Master6[[#This Row],[Hr]]&lt;6,"Late Night", IF(Bike_Sharing_Master6[[#This Row],[Hr]]&lt;10,"Morning Peak", IF(Bike_Sharing_Master6[[#This Row],[Hr]]&lt;17,"Daytime", IF(Bike_Sharing_Master6[[#This Row],[Hr]]&lt;21,"Evening Peak","Night"))))</f>
        <v>Daytime</v>
      </c>
      <c r="S629" s="1" t="str">
        <f>IF(Bike_Sharing_Master6[[#This Row],[Holiday]]=1,"Holiday","Non-Holiday")</f>
        <v>Non-Holiday</v>
      </c>
      <c r="T629" s="1" t="str">
        <f>IF(Bike_Sharing_Master6[[#This Row],[Cnt]]&lt;80,"Low",IF(Bike_Sharing_Master6[[#This Row],[Cnt]]&lt;160,"Medium","High"))</f>
        <v>Low</v>
      </c>
      <c r="U629" s="1" t="str">
        <f>VLOOKUP(Bike_Sharing_Master6[[#This Row],[Weathersit]],[1]Lookup_Weather!A:B,2,FALSE)</f>
        <v>Mist</v>
      </c>
    </row>
    <row r="630" spans="1:21" x14ac:dyDescent="0.3">
      <c r="A630">
        <v>629</v>
      </c>
      <c r="B630" s="3">
        <v>40572</v>
      </c>
      <c r="C630" s="1">
        <v>1</v>
      </c>
      <c r="D630" s="1">
        <v>0</v>
      </c>
      <c r="E630" s="1">
        <v>1</v>
      </c>
      <c r="F630" s="1">
        <v>11</v>
      </c>
      <c r="G630" t="b">
        <v>0</v>
      </c>
      <c r="H630" s="1">
        <v>6</v>
      </c>
      <c r="I630" s="1">
        <v>2</v>
      </c>
      <c r="J630" s="2">
        <v>0.18</v>
      </c>
      <c r="K630" s="2">
        <v>0.19700000000000001</v>
      </c>
      <c r="L630" s="2">
        <v>0.64</v>
      </c>
      <c r="M630" s="2">
        <v>0.1343</v>
      </c>
      <c r="N630" s="1">
        <v>4</v>
      </c>
      <c r="O630" s="1">
        <v>60</v>
      </c>
      <c r="P630" s="1">
        <v>64</v>
      </c>
      <c r="Q630" s="1" t="str">
        <f>IF(WEEKDAY(Bike_Sharing_Master6[[#This Row],[Dteday]],2)&gt;=6,"Weekend","Weekday")</f>
        <v>Weekend</v>
      </c>
      <c r="R630" s="1" t="str">
        <f xml:space="preserve"> IF(Bike_Sharing_Master6[[#This Row],[Hr]]&lt;6,"Late Night", IF(Bike_Sharing_Master6[[#This Row],[Hr]]&lt;10,"Morning Peak", IF(Bike_Sharing_Master6[[#This Row],[Hr]]&lt;17,"Daytime", IF(Bike_Sharing_Master6[[#This Row],[Hr]]&lt;21,"Evening Peak","Night"))))</f>
        <v>Daytime</v>
      </c>
      <c r="S630" s="1" t="str">
        <f>IF(Bike_Sharing_Master6[[#This Row],[Holiday]]=1,"Holiday","Non-Holiday")</f>
        <v>Non-Holiday</v>
      </c>
      <c r="T630" s="1" t="str">
        <f>IF(Bike_Sharing_Master6[[#This Row],[Cnt]]&lt;80,"Low",IF(Bike_Sharing_Master6[[#This Row],[Cnt]]&lt;160,"Medium","High"))</f>
        <v>Low</v>
      </c>
      <c r="U630" s="1" t="str">
        <f>VLOOKUP(Bike_Sharing_Master6[[#This Row],[Weathersit]],[1]Lookup_Weather!A:B,2,FALSE)</f>
        <v>Mist</v>
      </c>
    </row>
    <row r="631" spans="1:21" x14ac:dyDescent="0.3">
      <c r="A631">
        <v>630</v>
      </c>
      <c r="B631" s="3">
        <v>40572</v>
      </c>
      <c r="C631" s="1">
        <v>1</v>
      </c>
      <c r="D631" s="1">
        <v>0</v>
      </c>
      <c r="E631" s="1">
        <v>1</v>
      </c>
      <c r="F631" s="1">
        <v>12</v>
      </c>
      <c r="G631" t="b">
        <v>0</v>
      </c>
      <c r="H631" s="1">
        <v>6</v>
      </c>
      <c r="I631" s="1">
        <v>2</v>
      </c>
      <c r="J631" s="2">
        <v>0.2</v>
      </c>
      <c r="K631" s="2">
        <v>0.19700000000000001</v>
      </c>
      <c r="L631" s="2">
        <v>0.59</v>
      </c>
      <c r="M631" s="2">
        <v>0.19400000000000001</v>
      </c>
      <c r="N631" s="1">
        <v>12</v>
      </c>
      <c r="O631" s="1">
        <v>66</v>
      </c>
      <c r="P631" s="1">
        <v>78</v>
      </c>
      <c r="Q631" s="1" t="str">
        <f>IF(WEEKDAY(Bike_Sharing_Master6[[#This Row],[Dteday]],2)&gt;=6,"Weekend","Weekday")</f>
        <v>Weekend</v>
      </c>
      <c r="R631" s="1" t="str">
        <f xml:space="preserve"> IF(Bike_Sharing_Master6[[#This Row],[Hr]]&lt;6,"Late Night", IF(Bike_Sharing_Master6[[#This Row],[Hr]]&lt;10,"Morning Peak", IF(Bike_Sharing_Master6[[#This Row],[Hr]]&lt;17,"Daytime", IF(Bike_Sharing_Master6[[#This Row],[Hr]]&lt;21,"Evening Peak","Night"))))</f>
        <v>Daytime</v>
      </c>
      <c r="S631" s="1" t="str">
        <f>IF(Bike_Sharing_Master6[[#This Row],[Holiday]]=1,"Holiday","Non-Holiday")</f>
        <v>Non-Holiday</v>
      </c>
      <c r="T631" s="1" t="str">
        <f>IF(Bike_Sharing_Master6[[#This Row],[Cnt]]&lt;80,"Low",IF(Bike_Sharing_Master6[[#This Row],[Cnt]]&lt;160,"Medium","High"))</f>
        <v>Low</v>
      </c>
      <c r="U631" s="1" t="str">
        <f>VLOOKUP(Bike_Sharing_Master6[[#This Row],[Weathersit]],[1]Lookup_Weather!A:B,2,FALSE)</f>
        <v>Mist</v>
      </c>
    </row>
    <row r="632" spans="1:21" x14ac:dyDescent="0.3">
      <c r="A632">
        <v>631</v>
      </c>
      <c r="B632" s="3">
        <v>40572</v>
      </c>
      <c r="C632" s="1">
        <v>1</v>
      </c>
      <c r="D632" s="1">
        <v>0</v>
      </c>
      <c r="E632" s="1">
        <v>1</v>
      </c>
      <c r="F632" s="1">
        <v>13</v>
      </c>
      <c r="G632" t="b">
        <v>0</v>
      </c>
      <c r="H632" s="1">
        <v>6</v>
      </c>
      <c r="I632" s="1">
        <v>2</v>
      </c>
      <c r="J632" s="2">
        <v>0.22</v>
      </c>
      <c r="K632" s="2">
        <v>0.2273</v>
      </c>
      <c r="L632" s="2">
        <v>0.55000000000000004</v>
      </c>
      <c r="M632" s="2">
        <v>0.16420000000000001</v>
      </c>
      <c r="N632" s="1">
        <v>9</v>
      </c>
      <c r="O632" s="1">
        <v>56</v>
      </c>
      <c r="P632" s="1">
        <v>65</v>
      </c>
      <c r="Q632" s="1" t="str">
        <f>IF(WEEKDAY(Bike_Sharing_Master6[[#This Row],[Dteday]],2)&gt;=6,"Weekend","Weekday")</f>
        <v>Weekend</v>
      </c>
      <c r="R632" s="1" t="str">
        <f xml:space="preserve"> IF(Bike_Sharing_Master6[[#This Row],[Hr]]&lt;6,"Late Night", IF(Bike_Sharing_Master6[[#This Row],[Hr]]&lt;10,"Morning Peak", IF(Bike_Sharing_Master6[[#This Row],[Hr]]&lt;17,"Daytime", IF(Bike_Sharing_Master6[[#This Row],[Hr]]&lt;21,"Evening Peak","Night"))))</f>
        <v>Daytime</v>
      </c>
      <c r="S632" s="1" t="str">
        <f>IF(Bike_Sharing_Master6[[#This Row],[Holiday]]=1,"Holiday","Non-Holiday")</f>
        <v>Non-Holiday</v>
      </c>
      <c r="T632" s="1" t="str">
        <f>IF(Bike_Sharing_Master6[[#This Row],[Cnt]]&lt;80,"Low",IF(Bike_Sharing_Master6[[#This Row],[Cnt]]&lt;160,"Medium","High"))</f>
        <v>Low</v>
      </c>
      <c r="U632" s="1" t="str">
        <f>VLOOKUP(Bike_Sharing_Master6[[#This Row],[Weathersit]],[1]Lookup_Weather!A:B,2,FALSE)</f>
        <v>Mist</v>
      </c>
    </row>
    <row r="633" spans="1:21" x14ac:dyDescent="0.3">
      <c r="A633">
        <v>632</v>
      </c>
      <c r="B633" s="3">
        <v>40572</v>
      </c>
      <c r="C633" s="1">
        <v>1</v>
      </c>
      <c r="D633" s="1">
        <v>0</v>
      </c>
      <c r="E633" s="1">
        <v>1</v>
      </c>
      <c r="F633" s="1">
        <v>14</v>
      </c>
      <c r="G633" t="b">
        <v>0</v>
      </c>
      <c r="H633" s="1">
        <v>6</v>
      </c>
      <c r="I633" s="1">
        <v>2</v>
      </c>
      <c r="J633" s="2">
        <v>0.22</v>
      </c>
      <c r="K633" s="2">
        <v>0.2273</v>
      </c>
      <c r="L633" s="2">
        <v>0.6</v>
      </c>
      <c r="M633" s="2">
        <v>0.1343</v>
      </c>
      <c r="N633" s="1">
        <v>10</v>
      </c>
      <c r="O633" s="1">
        <v>89</v>
      </c>
      <c r="P633" s="1">
        <v>99</v>
      </c>
      <c r="Q633" s="1" t="str">
        <f>IF(WEEKDAY(Bike_Sharing_Master6[[#This Row],[Dteday]],2)&gt;=6,"Weekend","Weekday")</f>
        <v>Weekend</v>
      </c>
      <c r="R633" s="1" t="str">
        <f xml:space="preserve"> IF(Bike_Sharing_Master6[[#This Row],[Hr]]&lt;6,"Late Night", IF(Bike_Sharing_Master6[[#This Row],[Hr]]&lt;10,"Morning Peak", IF(Bike_Sharing_Master6[[#This Row],[Hr]]&lt;17,"Daytime", IF(Bike_Sharing_Master6[[#This Row],[Hr]]&lt;21,"Evening Peak","Night"))))</f>
        <v>Daytime</v>
      </c>
      <c r="S633" s="1" t="str">
        <f>IF(Bike_Sharing_Master6[[#This Row],[Holiday]]=1,"Holiday","Non-Holiday")</f>
        <v>Non-Holiday</v>
      </c>
      <c r="T633" s="1" t="str">
        <f>IF(Bike_Sharing_Master6[[#This Row],[Cnt]]&lt;80,"Low",IF(Bike_Sharing_Master6[[#This Row],[Cnt]]&lt;160,"Medium","High"))</f>
        <v>Medium</v>
      </c>
      <c r="U633" s="1" t="str">
        <f>VLOOKUP(Bike_Sharing_Master6[[#This Row],[Weathersit]],[1]Lookup_Weather!A:B,2,FALSE)</f>
        <v>Mist</v>
      </c>
    </row>
    <row r="634" spans="1:21" x14ac:dyDescent="0.3">
      <c r="A634">
        <v>633</v>
      </c>
      <c r="B634" s="3">
        <v>40572</v>
      </c>
      <c r="C634" s="1">
        <v>1</v>
      </c>
      <c r="D634" s="1">
        <v>0</v>
      </c>
      <c r="E634" s="1">
        <v>1</v>
      </c>
      <c r="F634" s="1">
        <v>15</v>
      </c>
      <c r="G634" t="b">
        <v>0</v>
      </c>
      <c r="H634" s="1">
        <v>6</v>
      </c>
      <c r="I634" s="1">
        <v>1</v>
      </c>
      <c r="J634" s="2">
        <v>0.22</v>
      </c>
      <c r="K634" s="2">
        <v>0.21210000000000001</v>
      </c>
      <c r="L634" s="2">
        <v>0.69</v>
      </c>
      <c r="M634" s="2">
        <v>0.25369999999999998</v>
      </c>
      <c r="N634" s="1">
        <v>22</v>
      </c>
      <c r="O634" s="1">
        <v>98</v>
      </c>
      <c r="P634" s="1">
        <v>120</v>
      </c>
      <c r="Q634" s="1" t="str">
        <f>IF(WEEKDAY(Bike_Sharing_Master6[[#This Row],[Dteday]],2)&gt;=6,"Weekend","Weekday")</f>
        <v>Weekend</v>
      </c>
      <c r="R634" s="1" t="str">
        <f xml:space="preserve"> IF(Bike_Sharing_Master6[[#This Row],[Hr]]&lt;6,"Late Night", IF(Bike_Sharing_Master6[[#This Row],[Hr]]&lt;10,"Morning Peak", IF(Bike_Sharing_Master6[[#This Row],[Hr]]&lt;17,"Daytime", IF(Bike_Sharing_Master6[[#This Row],[Hr]]&lt;21,"Evening Peak","Night"))))</f>
        <v>Daytime</v>
      </c>
      <c r="S634" s="1" t="str">
        <f>IF(Bike_Sharing_Master6[[#This Row],[Holiday]]=1,"Holiday","Non-Holiday")</f>
        <v>Non-Holiday</v>
      </c>
      <c r="T634" s="1" t="str">
        <f>IF(Bike_Sharing_Master6[[#This Row],[Cnt]]&lt;80,"Low",IF(Bike_Sharing_Master6[[#This Row],[Cnt]]&lt;160,"Medium","High"))</f>
        <v>Medium</v>
      </c>
      <c r="U634" s="1" t="str">
        <f>VLOOKUP(Bike_Sharing_Master6[[#This Row],[Weathersit]],[1]Lookup_Weather!A:B,2,FALSE)</f>
        <v>Clear</v>
      </c>
    </row>
    <row r="635" spans="1:21" x14ac:dyDescent="0.3">
      <c r="A635">
        <v>634</v>
      </c>
      <c r="B635" s="3">
        <v>40572</v>
      </c>
      <c r="C635" s="1">
        <v>1</v>
      </c>
      <c r="D635" s="1">
        <v>0</v>
      </c>
      <c r="E635" s="1">
        <v>1</v>
      </c>
      <c r="F635" s="1">
        <v>16</v>
      </c>
      <c r="G635" t="b">
        <v>0</v>
      </c>
      <c r="H635" s="1">
        <v>6</v>
      </c>
      <c r="I635" s="1">
        <v>1</v>
      </c>
      <c r="J635" s="2">
        <v>0.24</v>
      </c>
      <c r="K635" s="2">
        <v>0.2424</v>
      </c>
      <c r="L635" s="2">
        <v>0.6</v>
      </c>
      <c r="M635" s="2">
        <v>0.16420000000000001</v>
      </c>
      <c r="N635" s="1">
        <v>19</v>
      </c>
      <c r="O635" s="1">
        <v>88</v>
      </c>
      <c r="P635" s="1">
        <v>107</v>
      </c>
      <c r="Q635" s="1" t="str">
        <f>IF(WEEKDAY(Bike_Sharing_Master6[[#This Row],[Dteday]],2)&gt;=6,"Weekend","Weekday")</f>
        <v>Weekend</v>
      </c>
      <c r="R635" s="1" t="str">
        <f xml:space="preserve"> IF(Bike_Sharing_Master6[[#This Row],[Hr]]&lt;6,"Late Night", IF(Bike_Sharing_Master6[[#This Row],[Hr]]&lt;10,"Morning Peak", IF(Bike_Sharing_Master6[[#This Row],[Hr]]&lt;17,"Daytime", IF(Bike_Sharing_Master6[[#This Row],[Hr]]&lt;21,"Evening Peak","Night"))))</f>
        <v>Daytime</v>
      </c>
      <c r="S635" s="1" t="str">
        <f>IF(Bike_Sharing_Master6[[#This Row],[Holiday]]=1,"Holiday","Non-Holiday")</f>
        <v>Non-Holiday</v>
      </c>
      <c r="T635" s="1" t="str">
        <f>IF(Bike_Sharing_Master6[[#This Row],[Cnt]]&lt;80,"Low",IF(Bike_Sharing_Master6[[#This Row],[Cnt]]&lt;160,"Medium","High"))</f>
        <v>Medium</v>
      </c>
      <c r="U635" s="1" t="str">
        <f>VLOOKUP(Bike_Sharing_Master6[[#This Row],[Weathersit]],[1]Lookup_Weather!A:B,2,FALSE)</f>
        <v>Clear</v>
      </c>
    </row>
    <row r="636" spans="1:21" x14ac:dyDescent="0.3">
      <c r="A636">
        <v>635</v>
      </c>
      <c r="B636" s="3">
        <v>40572</v>
      </c>
      <c r="C636" s="1">
        <v>1</v>
      </c>
      <c r="D636" s="1">
        <v>0</v>
      </c>
      <c r="E636" s="1">
        <v>1</v>
      </c>
      <c r="F636" s="1">
        <v>17</v>
      </c>
      <c r="G636" t="b">
        <v>0</v>
      </c>
      <c r="H636" s="1">
        <v>6</v>
      </c>
      <c r="I636" s="1">
        <v>1</v>
      </c>
      <c r="J636" s="2">
        <v>0.24</v>
      </c>
      <c r="K636" s="2">
        <v>0.28789999999999999</v>
      </c>
      <c r="L636" s="2">
        <v>0.6</v>
      </c>
      <c r="M636" s="2">
        <v>0</v>
      </c>
      <c r="N636" s="1">
        <v>9</v>
      </c>
      <c r="O636" s="1">
        <v>82</v>
      </c>
      <c r="P636" s="1">
        <v>91</v>
      </c>
      <c r="Q636" s="1" t="str">
        <f>IF(WEEKDAY(Bike_Sharing_Master6[[#This Row],[Dteday]],2)&gt;=6,"Weekend","Weekday")</f>
        <v>Weekend</v>
      </c>
      <c r="R636" s="1" t="str">
        <f xml:space="preserve"> IF(Bike_Sharing_Master6[[#This Row],[Hr]]&lt;6,"Late Night", IF(Bike_Sharing_Master6[[#This Row],[Hr]]&lt;10,"Morning Peak", IF(Bike_Sharing_Master6[[#This Row],[Hr]]&lt;17,"Daytime", IF(Bike_Sharing_Master6[[#This Row],[Hr]]&lt;21,"Evening Peak","Night"))))</f>
        <v>Evening Peak</v>
      </c>
      <c r="S636" s="1" t="str">
        <f>IF(Bike_Sharing_Master6[[#This Row],[Holiday]]=1,"Holiday","Non-Holiday")</f>
        <v>Non-Holiday</v>
      </c>
      <c r="T636" s="1" t="str">
        <f>IF(Bike_Sharing_Master6[[#This Row],[Cnt]]&lt;80,"Low",IF(Bike_Sharing_Master6[[#This Row],[Cnt]]&lt;160,"Medium","High"))</f>
        <v>Medium</v>
      </c>
      <c r="U636" s="1" t="str">
        <f>VLOOKUP(Bike_Sharing_Master6[[#This Row],[Weathersit]],[1]Lookup_Weather!A:B,2,FALSE)</f>
        <v>Clear</v>
      </c>
    </row>
    <row r="637" spans="1:21" x14ac:dyDescent="0.3">
      <c r="A637">
        <v>636</v>
      </c>
      <c r="B637" s="3">
        <v>40572</v>
      </c>
      <c r="C637" s="1">
        <v>1</v>
      </c>
      <c r="D637" s="1">
        <v>0</v>
      </c>
      <c r="E637" s="1">
        <v>1</v>
      </c>
      <c r="F637" s="1">
        <v>18</v>
      </c>
      <c r="G637" t="b">
        <v>0</v>
      </c>
      <c r="H637" s="1">
        <v>6</v>
      </c>
      <c r="I637" s="1">
        <v>1</v>
      </c>
      <c r="J637" s="2">
        <v>0.22</v>
      </c>
      <c r="K637" s="2">
        <v>0.2273</v>
      </c>
      <c r="L637" s="2">
        <v>0.69</v>
      </c>
      <c r="M637" s="2">
        <v>0.1343</v>
      </c>
      <c r="N637" s="1">
        <v>9</v>
      </c>
      <c r="O637" s="1">
        <v>59</v>
      </c>
      <c r="P637" s="1">
        <v>68</v>
      </c>
      <c r="Q637" s="1" t="str">
        <f>IF(WEEKDAY(Bike_Sharing_Master6[[#This Row],[Dteday]],2)&gt;=6,"Weekend","Weekday")</f>
        <v>Weekend</v>
      </c>
      <c r="R637" s="1" t="str">
        <f xml:space="preserve"> IF(Bike_Sharing_Master6[[#This Row],[Hr]]&lt;6,"Late Night", IF(Bike_Sharing_Master6[[#This Row],[Hr]]&lt;10,"Morning Peak", IF(Bike_Sharing_Master6[[#This Row],[Hr]]&lt;17,"Daytime", IF(Bike_Sharing_Master6[[#This Row],[Hr]]&lt;21,"Evening Peak","Night"))))</f>
        <v>Evening Peak</v>
      </c>
      <c r="S637" s="1" t="str">
        <f>IF(Bike_Sharing_Master6[[#This Row],[Holiday]]=1,"Holiday","Non-Holiday")</f>
        <v>Non-Holiday</v>
      </c>
      <c r="T637" s="1" t="str">
        <f>IF(Bike_Sharing_Master6[[#This Row],[Cnt]]&lt;80,"Low",IF(Bike_Sharing_Master6[[#This Row],[Cnt]]&lt;160,"Medium","High"))</f>
        <v>Low</v>
      </c>
      <c r="U637" s="1" t="str">
        <f>VLOOKUP(Bike_Sharing_Master6[[#This Row],[Weathersit]],[1]Lookup_Weather!A:B,2,FALSE)</f>
        <v>Clear</v>
      </c>
    </row>
    <row r="638" spans="1:21" x14ac:dyDescent="0.3">
      <c r="A638">
        <v>637</v>
      </c>
      <c r="B638" s="3">
        <v>40572</v>
      </c>
      <c r="C638" s="1">
        <v>1</v>
      </c>
      <c r="D638" s="1">
        <v>0</v>
      </c>
      <c r="E638" s="1">
        <v>1</v>
      </c>
      <c r="F638" s="1">
        <v>19</v>
      </c>
      <c r="G638" t="b">
        <v>0</v>
      </c>
      <c r="H638" s="1">
        <v>6</v>
      </c>
      <c r="I638" s="1">
        <v>2</v>
      </c>
      <c r="J638" s="2">
        <v>0.22</v>
      </c>
      <c r="K638" s="2">
        <v>0.21210000000000001</v>
      </c>
      <c r="L638" s="2">
        <v>0.69</v>
      </c>
      <c r="M638" s="2">
        <v>0.25369999999999998</v>
      </c>
      <c r="N638" s="1">
        <v>6</v>
      </c>
      <c r="O638" s="1">
        <v>52</v>
      </c>
      <c r="P638" s="1">
        <v>58</v>
      </c>
      <c r="Q638" s="1" t="str">
        <f>IF(WEEKDAY(Bike_Sharing_Master6[[#This Row],[Dteday]],2)&gt;=6,"Weekend","Weekday")</f>
        <v>Weekend</v>
      </c>
      <c r="R638" s="1" t="str">
        <f xml:space="preserve"> IF(Bike_Sharing_Master6[[#This Row],[Hr]]&lt;6,"Late Night", IF(Bike_Sharing_Master6[[#This Row],[Hr]]&lt;10,"Morning Peak", IF(Bike_Sharing_Master6[[#This Row],[Hr]]&lt;17,"Daytime", IF(Bike_Sharing_Master6[[#This Row],[Hr]]&lt;21,"Evening Peak","Night"))))</f>
        <v>Evening Peak</v>
      </c>
      <c r="S638" s="1" t="str">
        <f>IF(Bike_Sharing_Master6[[#This Row],[Holiday]]=1,"Holiday","Non-Holiday")</f>
        <v>Non-Holiday</v>
      </c>
      <c r="T638" s="1" t="str">
        <f>IF(Bike_Sharing_Master6[[#This Row],[Cnt]]&lt;80,"Low",IF(Bike_Sharing_Master6[[#This Row],[Cnt]]&lt;160,"Medium","High"))</f>
        <v>Low</v>
      </c>
      <c r="U638" s="1" t="str">
        <f>VLOOKUP(Bike_Sharing_Master6[[#This Row],[Weathersit]],[1]Lookup_Weather!A:B,2,FALSE)</f>
        <v>Mist</v>
      </c>
    </row>
    <row r="639" spans="1:21" x14ac:dyDescent="0.3">
      <c r="A639">
        <v>638</v>
      </c>
      <c r="B639" s="3">
        <v>40572</v>
      </c>
      <c r="C639" s="1">
        <v>1</v>
      </c>
      <c r="D639" s="1">
        <v>0</v>
      </c>
      <c r="E639" s="1">
        <v>1</v>
      </c>
      <c r="F639" s="1">
        <v>20</v>
      </c>
      <c r="G639" t="b">
        <v>0</v>
      </c>
      <c r="H639" s="1">
        <v>6</v>
      </c>
      <c r="I639" s="1">
        <v>1</v>
      </c>
      <c r="J639" s="2">
        <v>0.18</v>
      </c>
      <c r="K639" s="2">
        <v>0.21210000000000001</v>
      </c>
      <c r="L639" s="2">
        <v>0.74</v>
      </c>
      <c r="M639" s="2">
        <v>8.9599999999999999E-2</v>
      </c>
      <c r="N639" s="1">
        <v>1</v>
      </c>
      <c r="O639" s="1">
        <v>42</v>
      </c>
      <c r="P639" s="1">
        <v>43</v>
      </c>
      <c r="Q639" s="1" t="str">
        <f>IF(WEEKDAY(Bike_Sharing_Master6[[#This Row],[Dteday]],2)&gt;=6,"Weekend","Weekday")</f>
        <v>Weekend</v>
      </c>
      <c r="R639" s="1" t="str">
        <f xml:space="preserve"> IF(Bike_Sharing_Master6[[#This Row],[Hr]]&lt;6,"Late Night", IF(Bike_Sharing_Master6[[#This Row],[Hr]]&lt;10,"Morning Peak", IF(Bike_Sharing_Master6[[#This Row],[Hr]]&lt;17,"Daytime", IF(Bike_Sharing_Master6[[#This Row],[Hr]]&lt;21,"Evening Peak","Night"))))</f>
        <v>Evening Peak</v>
      </c>
      <c r="S639" s="1" t="str">
        <f>IF(Bike_Sharing_Master6[[#This Row],[Holiday]]=1,"Holiday","Non-Holiday")</f>
        <v>Non-Holiday</v>
      </c>
      <c r="T639" s="1" t="str">
        <f>IF(Bike_Sharing_Master6[[#This Row],[Cnt]]&lt;80,"Low",IF(Bike_Sharing_Master6[[#This Row],[Cnt]]&lt;160,"Medium","High"))</f>
        <v>Low</v>
      </c>
      <c r="U639" s="1" t="str">
        <f>VLOOKUP(Bike_Sharing_Master6[[#This Row],[Weathersit]],[1]Lookup_Weather!A:B,2,FALSE)</f>
        <v>Clear</v>
      </c>
    </row>
    <row r="640" spans="1:21" x14ac:dyDescent="0.3">
      <c r="A640">
        <v>639</v>
      </c>
      <c r="B640" s="3">
        <v>40572</v>
      </c>
      <c r="C640" s="1">
        <v>1</v>
      </c>
      <c r="D640" s="1">
        <v>0</v>
      </c>
      <c r="E640" s="1">
        <v>1</v>
      </c>
      <c r="F640" s="1">
        <v>21</v>
      </c>
      <c r="G640" t="b">
        <v>0</v>
      </c>
      <c r="H640" s="1">
        <v>6</v>
      </c>
      <c r="I640" s="1">
        <v>1</v>
      </c>
      <c r="J640" s="2">
        <v>0.18</v>
      </c>
      <c r="K640" s="2">
        <v>0.21210000000000001</v>
      </c>
      <c r="L640" s="2">
        <v>0.74</v>
      </c>
      <c r="M640" s="2">
        <v>8.9599999999999999E-2</v>
      </c>
      <c r="N640" s="1">
        <v>1</v>
      </c>
      <c r="O640" s="1">
        <v>35</v>
      </c>
      <c r="P640" s="1">
        <v>36</v>
      </c>
      <c r="Q640" s="1" t="str">
        <f>IF(WEEKDAY(Bike_Sharing_Master6[[#This Row],[Dteday]],2)&gt;=6,"Weekend","Weekday")</f>
        <v>Weekend</v>
      </c>
      <c r="R640" s="1" t="str">
        <f xml:space="preserve"> IF(Bike_Sharing_Master6[[#This Row],[Hr]]&lt;6,"Late Night", IF(Bike_Sharing_Master6[[#This Row],[Hr]]&lt;10,"Morning Peak", IF(Bike_Sharing_Master6[[#This Row],[Hr]]&lt;17,"Daytime", IF(Bike_Sharing_Master6[[#This Row],[Hr]]&lt;21,"Evening Peak","Night"))))</f>
        <v>Night</v>
      </c>
      <c r="S640" s="1" t="str">
        <f>IF(Bike_Sharing_Master6[[#This Row],[Holiday]]=1,"Holiday","Non-Holiday")</f>
        <v>Non-Holiday</v>
      </c>
      <c r="T640" s="1" t="str">
        <f>IF(Bike_Sharing_Master6[[#This Row],[Cnt]]&lt;80,"Low",IF(Bike_Sharing_Master6[[#This Row],[Cnt]]&lt;160,"Medium","High"))</f>
        <v>Low</v>
      </c>
      <c r="U640" s="1" t="str">
        <f>VLOOKUP(Bike_Sharing_Master6[[#This Row],[Weathersit]],[1]Lookup_Weather!A:B,2,FALSE)</f>
        <v>Clear</v>
      </c>
    </row>
    <row r="641" spans="1:21" x14ac:dyDescent="0.3">
      <c r="A641">
        <v>640</v>
      </c>
      <c r="B641" s="3">
        <v>40572</v>
      </c>
      <c r="C641" s="1">
        <v>1</v>
      </c>
      <c r="D641" s="1">
        <v>0</v>
      </c>
      <c r="E641" s="1">
        <v>1</v>
      </c>
      <c r="F641" s="1">
        <v>22</v>
      </c>
      <c r="G641" t="b">
        <v>0</v>
      </c>
      <c r="H641" s="1">
        <v>6</v>
      </c>
      <c r="I641" s="1">
        <v>1</v>
      </c>
      <c r="J641" s="2">
        <v>0.16</v>
      </c>
      <c r="K641" s="2">
        <v>0.19700000000000001</v>
      </c>
      <c r="L641" s="2">
        <v>0.8</v>
      </c>
      <c r="M641" s="2">
        <v>8.9599999999999999E-2</v>
      </c>
      <c r="N641" s="1">
        <v>4</v>
      </c>
      <c r="O641" s="1">
        <v>28</v>
      </c>
      <c r="P641" s="1">
        <v>32</v>
      </c>
      <c r="Q641" s="1" t="str">
        <f>IF(WEEKDAY(Bike_Sharing_Master6[[#This Row],[Dteday]],2)&gt;=6,"Weekend","Weekday")</f>
        <v>Weekend</v>
      </c>
      <c r="R641" s="1" t="str">
        <f xml:space="preserve"> IF(Bike_Sharing_Master6[[#This Row],[Hr]]&lt;6,"Late Night", IF(Bike_Sharing_Master6[[#This Row],[Hr]]&lt;10,"Morning Peak", IF(Bike_Sharing_Master6[[#This Row],[Hr]]&lt;17,"Daytime", IF(Bike_Sharing_Master6[[#This Row],[Hr]]&lt;21,"Evening Peak","Night"))))</f>
        <v>Night</v>
      </c>
      <c r="S641" s="1" t="str">
        <f>IF(Bike_Sharing_Master6[[#This Row],[Holiday]]=1,"Holiday","Non-Holiday")</f>
        <v>Non-Holiday</v>
      </c>
      <c r="T641" s="1" t="str">
        <f>IF(Bike_Sharing_Master6[[#This Row],[Cnt]]&lt;80,"Low",IF(Bike_Sharing_Master6[[#This Row],[Cnt]]&lt;160,"Medium","High"))</f>
        <v>Low</v>
      </c>
      <c r="U641" s="1" t="str">
        <f>VLOOKUP(Bike_Sharing_Master6[[#This Row],[Weathersit]],[1]Lookup_Weather!A:B,2,FALSE)</f>
        <v>Clear</v>
      </c>
    </row>
    <row r="642" spans="1:21" x14ac:dyDescent="0.3">
      <c r="A642">
        <v>641</v>
      </c>
      <c r="B642" s="3">
        <v>40572</v>
      </c>
      <c r="C642" s="1">
        <v>1</v>
      </c>
      <c r="D642" s="1">
        <v>0</v>
      </c>
      <c r="E642" s="1">
        <v>1</v>
      </c>
      <c r="F642" s="1">
        <v>23</v>
      </c>
      <c r="G642" t="b">
        <v>0</v>
      </c>
      <c r="H642" s="1">
        <v>6</v>
      </c>
      <c r="I642" s="1">
        <v>1</v>
      </c>
      <c r="J642" s="2">
        <v>0.16</v>
      </c>
      <c r="K642" s="2">
        <v>0.19700000000000001</v>
      </c>
      <c r="L642" s="2">
        <v>0.8</v>
      </c>
      <c r="M642" s="2">
        <v>8.9599999999999999E-2</v>
      </c>
      <c r="N642" s="1">
        <v>3</v>
      </c>
      <c r="O642" s="1">
        <v>30</v>
      </c>
      <c r="P642" s="1">
        <v>33</v>
      </c>
      <c r="Q642" s="1" t="str">
        <f>IF(WEEKDAY(Bike_Sharing_Master6[[#This Row],[Dteday]],2)&gt;=6,"Weekend","Weekday")</f>
        <v>Weekend</v>
      </c>
      <c r="R642" s="1" t="str">
        <f xml:space="preserve"> IF(Bike_Sharing_Master6[[#This Row],[Hr]]&lt;6,"Late Night", IF(Bike_Sharing_Master6[[#This Row],[Hr]]&lt;10,"Morning Peak", IF(Bike_Sharing_Master6[[#This Row],[Hr]]&lt;17,"Daytime", IF(Bike_Sharing_Master6[[#This Row],[Hr]]&lt;21,"Evening Peak","Night"))))</f>
        <v>Night</v>
      </c>
      <c r="S642" s="1" t="str">
        <f>IF(Bike_Sharing_Master6[[#This Row],[Holiday]]=1,"Holiday","Non-Holiday")</f>
        <v>Non-Holiday</v>
      </c>
      <c r="T642" s="1" t="str">
        <f>IF(Bike_Sharing_Master6[[#This Row],[Cnt]]&lt;80,"Low",IF(Bike_Sharing_Master6[[#This Row],[Cnt]]&lt;160,"Medium","High"))</f>
        <v>Low</v>
      </c>
      <c r="U642" s="1" t="str">
        <f>VLOOKUP(Bike_Sharing_Master6[[#This Row],[Weathersit]],[1]Lookup_Weather!A:B,2,FALSE)</f>
        <v>Clear</v>
      </c>
    </row>
    <row r="643" spans="1:21" x14ac:dyDescent="0.3">
      <c r="A643">
        <v>642</v>
      </c>
      <c r="B643" s="3">
        <v>40573</v>
      </c>
      <c r="C643" s="1">
        <v>1</v>
      </c>
      <c r="D643" s="1">
        <v>0</v>
      </c>
      <c r="E643" s="1">
        <v>1</v>
      </c>
      <c r="F643" s="1">
        <v>0</v>
      </c>
      <c r="G643" t="b">
        <v>0</v>
      </c>
      <c r="H643" s="1">
        <v>0</v>
      </c>
      <c r="I643" s="1">
        <v>1</v>
      </c>
      <c r="J643" s="2">
        <v>0.16</v>
      </c>
      <c r="K643" s="2">
        <v>0.18179999999999999</v>
      </c>
      <c r="L643" s="2">
        <v>0.8</v>
      </c>
      <c r="M643" s="2">
        <v>0.1045</v>
      </c>
      <c r="N643" s="1">
        <v>0</v>
      </c>
      <c r="O643" s="1">
        <v>33</v>
      </c>
      <c r="P643" s="1">
        <v>33</v>
      </c>
      <c r="Q643" s="1" t="str">
        <f>IF(WEEKDAY(Bike_Sharing_Master6[[#This Row],[Dteday]],2)&gt;=6,"Weekend","Weekday")</f>
        <v>Weekend</v>
      </c>
      <c r="R643" s="1" t="str">
        <f xml:space="preserve"> IF(Bike_Sharing_Master6[[#This Row],[Hr]]&lt;6,"Late Night", IF(Bike_Sharing_Master6[[#This Row],[Hr]]&lt;10,"Morning Peak", IF(Bike_Sharing_Master6[[#This Row],[Hr]]&lt;17,"Daytime", IF(Bike_Sharing_Master6[[#This Row],[Hr]]&lt;21,"Evening Peak","Night"))))</f>
        <v>Late Night</v>
      </c>
      <c r="S643" s="1" t="str">
        <f>IF(Bike_Sharing_Master6[[#This Row],[Holiday]]=1,"Holiday","Non-Holiday")</f>
        <v>Non-Holiday</v>
      </c>
      <c r="T643" s="1" t="str">
        <f>IF(Bike_Sharing_Master6[[#This Row],[Cnt]]&lt;80,"Low",IF(Bike_Sharing_Master6[[#This Row],[Cnt]]&lt;160,"Medium","High"))</f>
        <v>Low</v>
      </c>
      <c r="U643" s="1" t="str">
        <f>VLOOKUP(Bike_Sharing_Master6[[#This Row],[Weathersit]],[1]Lookup_Weather!A:B,2,FALSE)</f>
        <v>Clear</v>
      </c>
    </row>
    <row r="644" spans="1:21" x14ac:dyDescent="0.3">
      <c r="A644">
        <v>643</v>
      </c>
      <c r="B644" s="3">
        <v>40573</v>
      </c>
      <c r="C644" s="1">
        <v>1</v>
      </c>
      <c r="D644" s="1">
        <v>0</v>
      </c>
      <c r="E644" s="1">
        <v>1</v>
      </c>
      <c r="F644" s="1">
        <v>1</v>
      </c>
      <c r="G644" t="b">
        <v>0</v>
      </c>
      <c r="H644" s="1">
        <v>0</v>
      </c>
      <c r="I644" s="1">
        <v>1</v>
      </c>
      <c r="J644" s="2">
        <v>0.14000000000000001</v>
      </c>
      <c r="K644" s="2">
        <v>0.21210000000000001</v>
      </c>
      <c r="L644" s="2">
        <v>0.8</v>
      </c>
      <c r="M644" s="2">
        <v>0</v>
      </c>
      <c r="N644" s="1">
        <v>7</v>
      </c>
      <c r="O644" s="1">
        <v>22</v>
      </c>
      <c r="P644" s="1">
        <v>29</v>
      </c>
      <c r="Q644" s="1" t="str">
        <f>IF(WEEKDAY(Bike_Sharing_Master6[[#This Row],[Dteday]],2)&gt;=6,"Weekend","Weekday")</f>
        <v>Weekend</v>
      </c>
      <c r="R644" s="1" t="str">
        <f xml:space="preserve"> IF(Bike_Sharing_Master6[[#This Row],[Hr]]&lt;6,"Late Night", IF(Bike_Sharing_Master6[[#This Row],[Hr]]&lt;10,"Morning Peak", IF(Bike_Sharing_Master6[[#This Row],[Hr]]&lt;17,"Daytime", IF(Bike_Sharing_Master6[[#This Row],[Hr]]&lt;21,"Evening Peak","Night"))))</f>
        <v>Late Night</v>
      </c>
      <c r="S644" s="1" t="str">
        <f>IF(Bike_Sharing_Master6[[#This Row],[Holiday]]=1,"Holiday","Non-Holiday")</f>
        <v>Non-Holiday</v>
      </c>
      <c r="T644" s="1" t="str">
        <f>IF(Bike_Sharing_Master6[[#This Row],[Cnt]]&lt;80,"Low",IF(Bike_Sharing_Master6[[#This Row],[Cnt]]&lt;160,"Medium","High"))</f>
        <v>Low</v>
      </c>
      <c r="U644" s="1" t="str">
        <f>VLOOKUP(Bike_Sharing_Master6[[#This Row],[Weathersit]],[1]Lookup_Weather!A:B,2,FALSE)</f>
        <v>Clear</v>
      </c>
    </row>
    <row r="645" spans="1:21" x14ac:dyDescent="0.3">
      <c r="A645">
        <v>644</v>
      </c>
      <c r="B645" s="3">
        <v>40573</v>
      </c>
      <c r="C645" s="1">
        <v>1</v>
      </c>
      <c r="D645" s="1">
        <v>0</v>
      </c>
      <c r="E645" s="1">
        <v>1</v>
      </c>
      <c r="F645" s="1">
        <v>2</v>
      </c>
      <c r="G645" t="b">
        <v>0</v>
      </c>
      <c r="H645" s="1">
        <v>0</v>
      </c>
      <c r="I645" s="1">
        <v>1</v>
      </c>
      <c r="J645" s="2">
        <v>0.16</v>
      </c>
      <c r="K645" s="2">
        <v>0.2273</v>
      </c>
      <c r="L645" s="2">
        <v>0.8</v>
      </c>
      <c r="M645" s="2">
        <v>0</v>
      </c>
      <c r="N645" s="1">
        <v>1</v>
      </c>
      <c r="O645" s="1">
        <v>10</v>
      </c>
      <c r="P645" s="1">
        <v>11</v>
      </c>
      <c r="Q645" s="1" t="str">
        <f>IF(WEEKDAY(Bike_Sharing_Master6[[#This Row],[Dteday]],2)&gt;=6,"Weekend","Weekday")</f>
        <v>Weekend</v>
      </c>
      <c r="R645" s="1" t="str">
        <f xml:space="preserve"> IF(Bike_Sharing_Master6[[#This Row],[Hr]]&lt;6,"Late Night", IF(Bike_Sharing_Master6[[#This Row],[Hr]]&lt;10,"Morning Peak", IF(Bike_Sharing_Master6[[#This Row],[Hr]]&lt;17,"Daytime", IF(Bike_Sharing_Master6[[#This Row],[Hr]]&lt;21,"Evening Peak","Night"))))</f>
        <v>Late Night</v>
      </c>
      <c r="S645" s="1" t="str">
        <f>IF(Bike_Sharing_Master6[[#This Row],[Holiday]]=1,"Holiday","Non-Holiday")</f>
        <v>Non-Holiday</v>
      </c>
      <c r="T645" s="1" t="str">
        <f>IF(Bike_Sharing_Master6[[#This Row],[Cnt]]&lt;80,"Low",IF(Bike_Sharing_Master6[[#This Row],[Cnt]]&lt;160,"Medium","High"))</f>
        <v>Low</v>
      </c>
      <c r="U645" s="1" t="str">
        <f>VLOOKUP(Bike_Sharing_Master6[[#This Row],[Weathersit]],[1]Lookup_Weather!A:B,2,FALSE)</f>
        <v>Clear</v>
      </c>
    </row>
    <row r="646" spans="1:21" x14ac:dyDescent="0.3">
      <c r="A646">
        <v>645</v>
      </c>
      <c r="B646" s="3">
        <v>40573</v>
      </c>
      <c r="C646" s="1">
        <v>1</v>
      </c>
      <c r="D646" s="1">
        <v>0</v>
      </c>
      <c r="E646" s="1">
        <v>1</v>
      </c>
      <c r="F646" s="1">
        <v>3</v>
      </c>
      <c r="G646" t="b">
        <v>0</v>
      </c>
      <c r="H646" s="1">
        <v>0</v>
      </c>
      <c r="I646" s="1">
        <v>1</v>
      </c>
      <c r="J646" s="2">
        <v>0.14000000000000001</v>
      </c>
      <c r="K646" s="2">
        <v>0.21210000000000001</v>
      </c>
      <c r="L646" s="2">
        <v>0.93</v>
      </c>
      <c r="M646" s="2">
        <v>0</v>
      </c>
      <c r="N646" s="1">
        <v>1</v>
      </c>
      <c r="O646" s="1">
        <v>7</v>
      </c>
      <c r="P646" s="1">
        <v>8</v>
      </c>
      <c r="Q646" s="1" t="str">
        <f>IF(WEEKDAY(Bike_Sharing_Master6[[#This Row],[Dteday]],2)&gt;=6,"Weekend","Weekday")</f>
        <v>Weekend</v>
      </c>
      <c r="R646" s="1" t="str">
        <f xml:space="preserve"> IF(Bike_Sharing_Master6[[#This Row],[Hr]]&lt;6,"Late Night", IF(Bike_Sharing_Master6[[#This Row],[Hr]]&lt;10,"Morning Peak", IF(Bike_Sharing_Master6[[#This Row],[Hr]]&lt;17,"Daytime", IF(Bike_Sharing_Master6[[#This Row],[Hr]]&lt;21,"Evening Peak","Night"))))</f>
        <v>Late Night</v>
      </c>
      <c r="S646" s="1" t="str">
        <f>IF(Bike_Sharing_Master6[[#This Row],[Holiday]]=1,"Holiday","Non-Holiday")</f>
        <v>Non-Holiday</v>
      </c>
      <c r="T646" s="1" t="str">
        <f>IF(Bike_Sharing_Master6[[#This Row],[Cnt]]&lt;80,"Low",IF(Bike_Sharing_Master6[[#This Row],[Cnt]]&lt;160,"Medium","High"))</f>
        <v>Low</v>
      </c>
      <c r="U646" s="1" t="str">
        <f>VLOOKUP(Bike_Sharing_Master6[[#This Row],[Weathersit]],[1]Lookup_Weather!A:B,2,FALSE)</f>
        <v>Clear</v>
      </c>
    </row>
    <row r="647" spans="1:21" x14ac:dyDescent="0.3">
      <c r="A647">
        <v>646</v>
      </c>
      <c r="B647" s="3">
        <v>40573</v>
      </c>
      <c r="C647" s="1">
        <v>1</v>
      </c>
      <c r="D647" s="1">
        <v>0</v>
      </c>
      <c r="E647" s="1">
        <v>1</v>
      </c>
      <c r="F647" s="1">
        <v>4</v>
      </c>
      <c r="G647" t="b">
        <v>0</v>
      </c>
      <c r="H647" s="1">
        <v>0</v>
      </c>
      <c r="I647" s="1">
        <v>1</v>
      </c>
      <c r="J647" s="2">
        <v>0.14000000000000001</v>
      </c>
      <c r="K647" s="2">
        <v>0.21210000000000001</v>
      </c>
      <c r="L647" s="2">
        <v>0.93</v>
      </c>
      <c r="M647" s="2">
        <v>0</v>
      </c>
      <c r="N647" s="1">
        <v>0</v>
      </c>
      <c r="O647" s="1">
        <v>1</v>
      </c>
      <c r="P647" s="1">
        <v>1</v>
      </c>
      <c r="Q647" s="1" t="str">
        <f>IF(WEEKDAY(Bike_Sharing_Master6[[#This Row],[Dteday]],2)&gt;=6,"Weekend","Weekday")</f>
        <v>Weekend</v>
      </c>
      <c r="R647" s="1" t="str">
        <f xml:space="preserve"> IF(Bike_Sharing_Master6[[#This Row],[Hr]]&lt;6,"Late Night", IF(Bike_Sharing_Master6[[#This Row],[Hr]]&lt;10,"Morning Peak", IF(Bike_Sharing_Master6[[#This Row],[Hr]]&lt;17,"Daytime", IF(Bike_Sharing_Master6[[#This Row],[Hr]]&lt;21,"Evening Peak","Night"))))</f>
        <v>Late Night</v>
      </c>
      <c r="S647" s="1" t="str">
        <f>IF(Bike_Sharing_Master6[[#This Row],[Holiday]]=1,"Holiday","Non-Holiday")</f>
        <v>Non-Holiday</v>
      </c>
      <c r="T647" s="1" t="str">
        <f>IF(Bike_Sharing_Master6[[#This Row],[Cnt]]&lt;80,"Low",IF(Bike_Sharing_Master6[[#This Row],[Cnt]]&lt;160,"Medium","High"))</f>
        <v>Low</v>
      </c>
      <c r="U647" s="1" t="str">
        <f>VLOOKUP(Bike_Sharing_Master6[[#This Row],[Weathersit]],[1]Lookup_Weather!A:B,2,FALSE)</f>
        <v>Clear</v>
      </c>
    </row>
    <row r="648" spans="1:21" x14ac:dyDescent="0.3">
      <c r="A648">
        <v>647</v>
      </c>
      <c r="B648" s="3">
        <v>40573</v>
      </c>
      <c r="C648" s="1">
        <v>1</v>
      </c>
      <c r="D648" s="1">
        <v>0</v>
      </c>
      <c r="E648" s="1">
        <v>1</v>
      </c>
      <c r="F648" s="1">
        <v>5</v>
      </c>
      <c r="G648" t="b">
        <v>0</v>
      </c>
      <c r="H648" s="1">
        <v>0</v>
      </c>
      <c r="I648" s="1">
        <v>1</v>
      </c>
      <c r="J648" s="2">
        <v>0.14000000000000001</v>
      </c>
      <c r="K648" s="2">
        <v>0.21210000000000001</v>
      </c>
      <c r="L648" s="2">
        <v>0.86</v>
      </c>
      <c r="M648" s="2">
        <v>0</v>
      </c>
      <c r="N648" s="1">
        <v>0</v>
      </c>
      <c r="O648" s="1">
        <v>3</v>
      </c>
      <c r="P648" s="1">
        <v>3</v>
      </c>
      <c r="Q648" s="1" t="str">
        <f>IF(WEEKDAY(Bike_Sharing_Master6[[#This Row],[Dteday]],2)&gt;=6,"Weekend","Weekday")</f>
        <v>Weekend</v>
      </c>
      <c r="R648" s="1" t="str">
        <f xml:space="preserve"> IF(Bike_Sharing_Master6[[#This Row],[Hr]]&lt;6,"Late Night", IF(Bike_Sharing_Master6[[#This Row],[Hr]]&lt;10,"Morning Peak", IF(Bike_Sharing_Master6[[#This Row],[Hr]]&lt;17,"Daytime", IF(Bike_Sharing_Master6[[#This Row],[Hr]]&lt;21,"Evening Peak","Night"))))</f>
        <v>Late Night</v>
      </c>
      <c r="S648" s="1" t="str">
        <f>IF(Bike_Sharing_Master6[[#This Row],[Holiday]]=1,"Holiday","Non-Holiday")</f>
        <v>Non-Holiday</v>
      </c>
      <c r="T648" s="1" t="str">
        <f>IF(Bike_Sharing_Master6[[#This Row],[Cnt]]&lt;80,"Low",IF(Bike_Sharing_Master6[[#This Row],[Cnt]]&lt;160,"Medium","High"))</f>
        <v>Low</v>
      </c>
      <c r="U648" s="1" t="str">
        <f>VLOOKUP(Bike_Sharing_Master6[[#This Row],[Weathersit]],[1]Lookup_Weather!A:B,2,FALSE)</f>
        <v>Clear</v>
      </c>
    </row>
    <row r="649" spans="1:21" x14ac:dyDescent="0.3">
      <c r="A649">
        <v>648</v>
      </c>
      <c r="B649" s="3">
        <v>40573</v>
      </c>
      <c r="C649" s="1">
        <v>1</v>
      </c>
      <c r="D649" s="1">
        <v>0</v>
      </c>
      <c r="E649" s="1">
        <v>1</v>
      </c>
      <c r="F649" s="1">
        <v>7</v>
      </c>
      <c r="G649" t="b">
        <v>0</v>
      </c>
      <c r="H649" s="1">
        <v>0</v>
      </c>
      <c r="I649" s="1">
        <v>1</v>
      </c>
      <c r="J649" s="2">
        <v>0.14000000000000001</v>
      </c>
      <c r="K649" s="2">
        <v>0.21210000000000001</v>
      </c>
      <c r="L649" s="2">
        <v>0.86</v>
      </c>
      <c r="M649" s="2">
        <v>0</v>
      </c>
      <c r="N649" s="1">
        <v>0</v>
      </c>
      <c r="O649" s="1">
        <v>3</v>
      </c>
      <c r="P649" s="1">
        <v>3</v>
      </c>
      <c r="Q649" s="1" t="str">
        <f>IF(WEEKDAY(Bike_Sharing_Master6[[#This Row],[Dteday]],2)&gt;=6,"Weekend","Weekday")</f>
        <v>Weekend</v>
      </c>
      <c r="R649" s="1" t="str">
        <f xml:space="preserve"> IF(Bike_Sharing_Master6[[#This Row],[Hr]]&lt;6,"Late Night", IF(Bike_Sharing_Master6[[#This Row],[Hr]]&lt;10,"Morning Peak", IF(Bike_Sharing_Master6[[#This Row],[Hr]]&lt;17,"Daytime", IF(Bike_Sharing_Master6[[#This Row],[Hr]]&lt;21,"Evening Peak","Night"))))</f>
        <v>Morning Peak</v>
      </c>
      <c r="S649" s="1" t="str">
        <f>IF(Bike_Sharing_Master6[[#This Row],[Holiday]]=1,"Holiday","Non-Holiday")</f>
        <v>Non-Holiday</v>
      </c>
      <c r="T649" s="1" t="str">
        <f>IF(Bike_Sharing_Master6[[#This Row],[Cnt]]&lt;80,"Low",IF(Bike_Sharing_Master6[[#This Row],[Cnt]]&lt;160,"Medium","High"))</f>
        <v>Low</v>
      </c>
      <c r="U649" s="1" t="str">
        <f>VLOOKUP(Bike_Sharing_Master6[[#This Row],[Weathersit]],[1]Lookup_Weather!A:B,2,FALSE)</f>
        <v>Clear</v>
      </c>
    </row>
    <row r="650" spans="1:21" x14ac:dyDescent="0.3">
      <c r="A650">
        <v>649</v>
      </c>
      <c r="B650" s="3">
        <v>40573</v>
      </c>
      <c r="C650" s="1">
        <v>1</v>
      </c>
      <c r="D650" s="1">
        <v>0</v>
      </c>
      <c r="E650" s="1">
        <v>1</v>
      </c>
      <c r="F650" s="1">
        <v>8</v>
      </c>
      <c r="G650" t="b">
        <v>0</v>
      </c>
      <c r="H650" s="1">
        <v>0</v>
      </c>
      <c r="I650" s="1">
        <v>2</v>
      </c>
      <c r="J650" s="2">
        <v>0.14000000000000001</v>
      </c>
      <c r="K650" s="2">
        <v>0.21210000000000001</v>
      </c>
      <c r="L650" s="2">
        <v>0.86</v>
      </c>
      <c r="M650" s="2">
        <v>0</v>
      </c>
      <c r="N650" s="1">
        <v>1</v>
      </c>
      <c r="O650" s="1">
        <v>11</v>
      </c>
      <c r="P650" s="1">
        <v>12</v>
      </c>
      <c r="Q650" s="1" t="str">
        <f>IF(WEEKDAY(Bike_Sharing_Master6[[#This Row],[Dteday]],2)&gt;=6,"Weekend","Weekday")</f>
        <v>Weekend</v>
      </c>
      <c r="R650" s="1" t="str">
        <f xml:space="preserve"> IF(Bike_Sharing_Master6[[#This Row],[Hr]]&lt;6,"Late Night", IF(Bike_Sharing_Master6[[#This Row],[Hr]]&lt;10,"Morning Peak", IF(Bike_Sharing_Master6[[#This Row],[Hr]]&lt;17,"Daytime", IF(Bike_Sharing_Master6[[#This Row],[Hr]]&lt;21,"Evening Peak","Night"))))</f>
        <v>Morning Peak</v>
      </c>
      <c r="S650" s="1" t="str">
        <f>IF(Bike_Sharing_Master6[[#This Row],[Holiday]]=1,"Holiday","Non-Holiday")</f>
        <v>Non-Holiday</v>
      </c>
      <c r="T650" s="1" t="str">
        <f>IF(Bike_Sharing_Master6[[#This Row],[Cnt]]&lt;80,"Low",IF(Bike_Sharing_Master6[[#This Row],[Cnt]]&lt;160,"Medium","High"))</f>
        <v>Low</v>
      </c>
      <c r="U650" s="1" t="str">
        <f>VLOOKUP(Bike_Sharing_Master6[[#This Row],[Weathersit]],[1]Lookup_Weather!A:B,2,FALSE)</f>
        <v>Mist</v>
      </c>
    </row>
    <row r="651" spans="1:21" x14ac:dyDescent="0.3">
      <c r="A651">
        <v>650</v>
      </c>
      <c r="B651" s="3">
        <v>40573</v>
      </c>
      <c r="C651" s="1">
        <v>1</v>
      </c>
      <c r="D651" s="1">
        <v>0</v>
      </c>
      <c r="E651" s="1">
        <v>1</v>
      </c>
      <c r="F651" s="1">
        <v>9</v>
      </c>
      <c r="G651" t="b">
        <v>0</v>
      </c>
      <c r="H651" s="1">
        <v>0</v>
      </c>
      <c r="I651" s="1">
        <v>2</v>
      </c>
      <c r="J651" s="2">
        <v>0.16</v>
      </c>
      <c r="K651" s="2">
        <v>0.2273</v>
      </c>
      <c r="L651" s="2">
        <v>0.8</v>
      </c>
      <c r="M651" s="2">
        <v>0</v>
      </c>
      <c r="N651" s="1">
        <v>4</v>
      </c>
      <c r="O651" s="1">
        <v>34</v>
      </c>
      <c r="P651" s="1">
        <v>38</v>
      </c>
      <c r="Q651" s="1" t="str">
        <f>IF(WEEKDAY(Bike_Sharing_Master6[[#This Row],[Dteday]],2)&gt;=6,"Weekend","Weekday")</f>
        <v>Weekend</v>
      </c>
      <c r="R651" s="1" t="str">
        <f xml:space="preserve"> IF(Bike_Sharing_Master6[[#This Row],[Hr]]&lt;6,"Late Night", IF(Bike_Sharing_Master6[[#This Row],[Hr]]&lt;10,"Morning Peak", IF(Bike_Sharing_Master6[[#This Row],[Hr]]&lt;17,"Daytime", IF(Bike_Sharing_Master6[[#This Row],[Hr]]&lt;21,"Evening Peak","Night"))))</f>
        <v>Morning Peak</v>
      </c>
      <c r="S651" s="1" t="str">
        <f>IF(Bike_Sharing_Master6[[#This Row],[Holiday]]=1,"Holiday","Non-Holiday")</f>
        <v>Non-Holiday</v>
      </c>
      <c r="T651" s="1" t="str">
        <f>IF(Bike_Sharing_Master6[[#This Row],[Cnt]]&lt;80,"Low",IF(Bike_Sharing_Master6[[#This Row],[Cnt]]&lt;160,"Medium","High"))</f>
        <v>Low</v>
      </c>
      <c r="U651" s="1" t="str">
        <f>VLOOKUP(Bike_Sharing_Master6[[#This Row],[Weathersit]],[1]Lookup_Weather!A:B,2,FALSE)</f>
        <v>Mist</v>
      </c>
    </row>
    <row r="652" spans="1:21" x14ac:dyDescent="0.3">
      <c r="A652">
        <v>651</v>
      </c>
      <c r="B652" s="3">
        <v>40573</v>
      </c>
      <c r="C652" s="1">
        <v>1</v>
      </c>
      <c r="D652" s="1">
        <v>0</v>
      </c>
      <c r="E652" s="1">
        <v>1</v>
      </c>
      <c r="F652" s="1">
        <v>10</v>
      </c>
      <c r="G652" t="b">
        <v>0</v>
      </c>
      <c r="H652" s="1">
        <v>0</v>
      </c>
      <c r="I652" s="1">
        <v>2</v>
      </c>
      <c r="J652" s="2">
        <v>0.18</v>
      </c>
      <c r="K652" s="2">
        <v>0.2424</v>
      </c>
      <c r="L652" s="2">
        <v>0.8</v>
      </c>
      <c r="M652" s="2">
        <v>0</v>
      </c>
      <c r="N652" s="1">
        <v>7</v>
      </c>
      <c r="O652" s="1">
        <v>57</v>
      </c>
      <c r="P652" s="1">
        <v>64</v>
      </c>
      <c r="Q652" s="1" t="str">
        <f>IF(WEEKDAY(Bike_Sharing_Master6[[#This Row],[Dteday]],2)&gt;=6,"Weekend","Weekday")</f>
        <v>Weekend</v>
      </c>
      <c r="R652" s="1" t="str">
        <f xml:space="preserve"> IF(Bike_Sharing_Master6[[#This Row],[Hr]]&lt;6,"Late Night", IF(Bike_Sharing_Master6[[#This Row],[Hr]]&lt;10,"Morning Peak", IF(Bike_Sharing_Master6[[#This Row],[Hr]]&lt;17,"Daytime", IF(Bike_Sharing_Master6[[#This Row],[Hr]]&lt;21,"Evening Peak","Night"))))</f>
        <v>Daytime</v>
      </c>
      <c r="S652" s="1" t="str">
        <f>IF(Bike_Sharing_Master6[[#This Row],[Holiday]]=1,"Holiday","Non-Holiday")</f>
        <v>Non-Holiday</v>
      </c>
      <c r="T652" s="1" t="str">
        <f>IF(Bike_Sharing_Master6[[#This Row],[Cnt]]&lt;80,"Low",IF(Bike_Sharing_Master6[[#This Row],[Cnt]]&lt;160,"Medium","High"))</f>
        <v>Low</v>
      </c>
      <c r="U652" s="1" t="str">
        <f>VLOOKUP(Bike_Sharing_Master6[[#This Row],[Weathersit]],[1]Lookup_Weather!A:B,2,FALSE)</f>
        <v>Mist</v>
      </c>
    </row>
    <row r="653" spans="1:21" x14ac:dyDescent="0.3">
      <c r="A653">
        <v>652</v>
      </c>
      <c r="B653" s="3">
        <v>40573</v>
      </c>
      <c r="C653" s="1">
        <v>1</v>
      </c>
      <c r="D653" s="1">
        <v>0</v>
      </c>
      <c r="E653" s="1">
        <v>1</v>
      </c>
      <c r="F653" s="1">
        <v>11</v>
      </c>
      <c r="G653" t="b">
        <v>0</v>
      </c>
      <c r="H653" s="1">
        <v>0</v>
      </c>
      <c r="I653" s="1">
        <v>1</v>
      </c>
      <c r="J653" s="2">
        <v>0.22</v>
      </c>
      <c r="K653" s="2">
        <v>0.2727</v>
      </c>
      <c r="L653" s="2">
        <v>0.75</v>
      </c>
      <c r="M653" s="2">
        <v>0</v>
      </c>
      <c r="N653" s="1">
        <v>9</v>
      </c>
      <c r="O653" s="1">
        <v>50</v>
      </c>
      <c r="P653" s="1">
        <v>59</v>
      </c>
      <c r="Q653" s="1" t="str">
        <f>IF(WEEKDAY(Bike_Sharing_Master6[[#This Row],[Dteday]],2)&gt;=6,"Weekend","Weekday")</f>
        <v>Weekend</v>
      </c>
      <c r="R653" s="1" t="str">
        <f xml:space="preserve"> IF(Bike_Sharing_Master6[[#This Row],[Hr]]&lt;6,"Late Night", IF(Bike_Sharing_Master6[[#This Row],[Hr]]&lt;10,"Morning Peak", IF(Bike_Sharing_Master6[[#This Row],[Hr]]&lt;17,"Daytime", IF(Bike_Sharing_Master6[[#This Row],[Hr]]&lt;21,"Evening Peak","Night"))))</f>
        <v>Daytime</v>
      </c>
      <c r="S653" s="1" t="str">
        <f>IF(Bike_Sharing_Master6[[#This Row],[Holiday]]=1,"Holiday","Non-Holiday")</f>
        <v>Non-Holiday</v>
      </c>
      <c r="T653" s="1" t="str">
        <f>IF(Bike_Sharing_Master6[[#This Row],[Cnt]]&lt;80,"Low",IF(Bike_Sharing_Master6[[#This Row],[Cnt]]&lt;160,"Medium","High"))</f>
        <v>Low</v>
      </c>
      <c r="U653" s="1" t="str">
        <f>VLOOKUP(Bike_Sharing_Master6[[#This Row],[Weathersit]],[1]Lookup_Weather!A:B,2,FALSE)</f>
        <v>Clear</v>
      </c>
    </row>
    <row r="654" spans="1:21" x14ac:dyDescent="0.3">
      <c r="A654">
        <v>653</v>
      </c>
      <c r="B654" s="3">
        <v>40573</v>
      </c>
      <c r="C654" s="1">
        <v>1</v>
      </c>
      <c r="D654" s="1">
        <v>0</v>
      </c>
      <c r="E654" s="1">
        <v>1</v>
      </c>
      <c r="F654" s="1">
        <v>12</v>
      </c>
      <c r="G654" t="b">
        <v>0</v>
      </c>
      <c r="H654" s="1">
        <v>0</v>
      </c>
      <c r="I654" s="1">
        <v>1</v>
      </c>
      <c r="J654" s="2">
        <v>0.3</v>
      </c>
      <c r="K654" s="2">
        <v>0.31819999999999998</v>
      </c>
      <c r="L654" s="2">
        <v>0.52</v>
      </c>
      <c r="M654" s="2">
        <v>0.1045</v>
      </c>
      <c r="N654" s="1">
        <v>10</v>
      </c>
      <c r="O654" s="1">
        <v>87</v>
      </c>
      <c r="P654" s="1">
        <v>97</v>
      </c>
      <c r="Q654" s="1" t="str">
        <f>IF(WEEKDAY(Bike_Sharing_Master6[[#This Row],[Dteday]],2)&gt;=6,"Weekend","Weekday")</f>
        <v>Weekend</v>
      </c>
      <c r="R654" s="1" t="str">
        <f xml:space="preserve"> IF(Bike_Sharing_Master6[[#This Row],[Hr]]&lt;6,"Late Night", IF(Bike_Sharing_Master6[[#This Row],[Hr]]&lt;10,"Morning Peak", IF(Bike_Sharing_Master6[[#This Row],[Hr]]&lt;17,"Daytime", IF(Bike_Sharing_Master6[[#This Row],[Hr]]&lt;21,"Evening Peak","Night"))))</f>
        <v>Daytime</v>
      </c>
      <c r="S654" s="1" t="str">
        <f>IF(Bike_Sharing_Master6[[#This Row],[Holiday]]=1,"Holiday","Non-Holiday")</f>
        <v>Non-Holiday</v>
      </c>
      <c r="T654" s="1" t="str">
        <f>IF(Bike_Sharing_Master6[[#This Row],[Cnt]]&lt;80,"Low",IF(Bike_Sharing_Master6[[#This Row],[Cnt]]&lt;160,"Medium","High"))</f>
        <v>Medium</v>
      </c>
      <c r="U654" s="1" t="str">
        <f>VLOOKUP(Bike_Sharing_Master6[[#This Row],[Weathersit]],[1]Lookup_Weather!A:B,2,FALSE)</f>
        <v>Clear</v>
      </c>
    </row>
    <row r="655" spans="1:21" x14ac:dyDescent="0.3">
      <c r="A655">
        <v>654</v>
      </c>
      <c r="B655" s="3">
        <v>40573</v>
      </c>
      <c r="C655" s="1">
        <v>1</v>
      </c>
      <c r="D655" s="1">
        <v>0</v>
      </c>
      <c r="E655" s="1">
        <v>1</v>
      </c>
      <c r="F655" s="1">
        <v>13</v>
      </c>
      <c r="G655" t="b">
        <v>0</v>
      </c>
      <c r="H655" s="1">
        <v>0</v>
      </c>
      <c r="I655" s="1">
        <v>1</v>
      </c>
      <c r="J655" s="2">
        <v>0.28000000000000003</v>
      </c>
      <c r="K655" s="2">
        <v>0.28789999999999999</v>
      </c>
      <c r="L655" s="2">
        <v>0.61</v>
      </c>
      <c r="M655" s="2">
        <v>0.1045</v>
      </c>
      <c r="N655" s="1">
        <v>13</v>
      </c>
      <c r="O655" s="1">
        <v>71</v>
      </c>
      <c r="P655" s="1">
        <v>84</v>
      </c>
      <c r="Q655" s="1" t="str">
        <f>IF(WEEKDAY(Bike_Sharing_Master6[[#This Row],[Dteday]],2)&gt;=6,"Weekend","Weekday")</f>
        <v>Weekend</v>
      </c>
      <c r="R655" s="1" t="str">
        <f xml:space="preserve"> IF(Bike_Sharing_Master6[[#This Row],[Hr]]&lt;6,"Late Night", IF(Bike_Sharing_Master6[[#This Row],[Hr]]&lt;10,"Morning Peak", IF(Bike_Sharing_Master6[[#This Row],[Hr]]&lt;17,"Daytime", IF(Bike_Sharing_Master6[[#This Row],[Hr]]&lt;21,"Evening Peak","Night"))))</f>
        <v>Daytime</v>
      </c>
      <c r="S655" s="1" t="str">
        <f>IF(Bike_Sharing_Master6[[#This Row],[Holiday]]=1,"Holiday","Non-Holiday")</f>
        <v>Non-Holiday</v>
      </c>
      <c r="T655" s="1" t="str">
        <f>IF(Bike_Sharing_Master6[[#This Row],[Cnt]]&lt;80,"Low",IF(Bike_Sharing_Master6[[#This Row],[Cnt]]&lt;160,"Medium","High"))</f>
        <v>Medium</v>
      </c>
      <c r="U655" s="1" t="str">
        <f>VLOOKUP(Bike_Sharing_Master6[[#This Row],[Weathersit]],[1]Lookup_Weather!A:B,2,FALSE)</f>
        <v>Clear</v>
      </c>
    </row>
    <row r="656" spans="1:21" x14ac:dyDescent="0.3">
      <c r="A656">
        <v>655</v>
      </c>
      <c r="B656" s="3">
        <v>40573</v>
      </c>
      <c r="C656" s="1">
        <v>1</v>
      </c>
      <c r="D656" s="1">
        <v>0</v>
      </c>
      <c r="E656" s="1">
        <v>1</v>
      </c>
      <c r="F656" s="1">
        <v>14</v>
      </c>
      <c r="G656" t="b">
        <v>0</v>
      </c>
      <c r="H656" s="1">
        <v>0</v>
      </c>
      <c r="I656" s="1">
        <v>1</v>
      </c>
      <c r="J656" s="2">
        <v>0.28000000000000003</v>
      </c>
      <c r="K656" s="2">
        <v>0.30299999999999999</v>
      </c>
      <c r="L656" s="2">
        <v>0.61</v>
      </c>
      <c r="M656" s="2">
        <v>8.9599999999999999E-2</v>
      </c>
      <c r="N656" s="1">
        <v>18</v>
      </c>
      <c r="O656" s="1">
        <v>104</v>
      </c>
      <c r="P656" s="1">
        <v>122</v>
      </c>
      <c r="Q656" s="1" t="str">
        <f>IF(WEEKDAY(Bike_Sharing_Master6[[#This Row],[Dteday]],2)&gt;=6,"Weekend","Weekday")</f>
        <v>Weekend</v>
      </c>
      <c r="R656" s="1" t="str">
        <f xml:space="preserve"> IF(Bike_Sharing_Master6[[#This Row],[Hr]]&lt;6,"Late Night", IF(Bike_Sharing_Master6[[#This Row],[Hr]]&lt;10,"Morning Peak", IF(Bike_Sharing_Master6[[#This Row],[Hr]]&lt;17,"Daytime", IF(Bike_Sharing_Master6[[#This Row],[Hr]]&lt;21,"Evening Peak","Night"))))</f>
        <v>Daytime</v>
      </c>
      <c r="S656" s="1" t="str">
        <f>IF(Bike_Sharing_Master6[[#This Row],[Holiday]]=1,"Holiday","Non-Holiday")</f>
        <v>Non-Holiday</v>
      </c>
      <c r="T656" s="1" t="str">
        <f>IF(Bike_Sharing_Master6[[#This Row],[Cnt]]&lt;80,"Low",IF(Bike_Sharing_Master6[[#This Row],[Cnt]]&lt;160,"Medium","High"))</f>
        <v>Medium</v>
      </c>
      <c r="U656" s="1" t="str">
        <f>VLOOKUP(Bike_Sharing_Master6[[#This Row],[Weathersit]],[1]Lookup_Weather!A:B,2,FALSE)</f>
        <v>Clear</v>
      </c>
    </row>
    <row r="657" spans="1:21" x14ac:dyDescent="0.3">
      <c r="A657">
        <v>656</v>
      </c>
      <c r="B657" s="3">
        <v>40573</v>
      </c>
      <c r="C657" s="1">
        <v>1</v>
      </c>
      <c r="D657" s="1">
        <v>0</v>
      </c>
      <c r="E657" s="1">
        <v>1</v>
      </c>
      <c r="F657" s="1">
        <v>15</v>
      </c>
      <c r="G657" t="b">
        <v>0</v>
      </c>
      <c r="H657" s="1">
        <v>0</v>
      </c>
      <c r="I657" s="1">
        <v>1</v>
      </c>
      <c r="J657" s="2">
        <v>0.3</v>
      </c>
      <c r="K657" s="2">
        <v>0.33329999999999999</v>
      </c>
      <c r="L657" s="2">
        <v>0.56000000000000005</v>
      </c>
      <c r="M657" s="2">
        <v>0</v>
      </c>
      <c r="N657" s="1">
        <v>14</v>
      </c>
      <c r="O657" s="1">
        <v>95</v>
      </c>
      <c r="P657" s="1">
        <v>109</v>
      </c>
      <c r="Q657" s="1" t="str">
        <f>IF(WEEKDAY(Bike_Sharing_Master6[[#This Row],[Dteday]],2)&gt;=6,"Weekend","Weekday")</f>
        <v>Weekend</v>
      </c>
      <c r="R657" s="1" t="str">
        <f xml:space="preserve"> IF(Bike_Sharing_Master6[[#This Row],[Hr]]&lt;6,"Late Night", IF(Bike_Sharing_Master6[[#This Row],[Hr]]&lt;10,"Morning Peak", IF(Bike_Sharing_Master6[[#This Row],[Hr]]&lt;17,"Daytime", IF(Bike_Sharing_Master6[[#This Row],[Hr]]&lt;21,"Evening Peak","Night"))))</f>
        <v>Daytime</v>
      </c>
      <c r="S657" s="1" t="str">
        <f>IF(Bike_Sharing_Master6[[#This Row],[Holiday]]=1,"Holiday","Non-Holiday")</f>
        <v>Non-Holiday</v>
      </c>
      <c r="T657" s="1" t="str">
        <f>IF(Bike_Sharing_Master6[[#This Row],[Cnt]]&lt;80,"Low",IF(Bike_Sharing_Master6[[#This Row],[Cnt]]&lt;160,"Medium","High"))</f>
        <v>Medium</v>
      </c>
      <c r="U657" s="1" t="str">
        <f>VLOOKUP(Bike_Sharing_Master6[[#This Row],[Weathersit]],[1]Lookup_Weather!A:B,2,FALSE)</f>
        <v>Clear</v>
      </c>
    </row>
    <row r="658" spans="1:21" x14ac:dyDescent="0.3">
      <c r="A658">
        <v>657</v>
      </c>
      <c r="B658" s="3">
        <v>40573</v>
      </c>
      <c r="C658" s="1">
        <v>1</v>
      </c>
      <c r="D658" s="1">
        <v>0</v>
      </c>
      <c r="E658" s="1">
        <v>1</v>
      </c>
      <c r="F658" s="1">
        <v>16</v>
      </c>
      <c r="G658" t="b">
        <v>0</v>
      </c>
      <c r="H658" s="1">
        <v>0</v>
      </c>
      <c r="I658" s="1">
        <v>1</v>
      </c>
      <c r="J658" s="2">
        <v>0.3</v>
      </c>
      <c r="K658" s="2">
        <v>0.33329999999999999</v>
      </c>
      <c r="L658" s="2">
        <v>0.56000000000000005</v>
      </c>
      <c r="M658" s="2">
        <v>0</v>
      </c>
      <c r="N658" s="1">
        <v>19</v>
      </c>
      <c r="O658" s="1">
        <v>104</v>
      </c>
      <c r="P658" s="1">
        <v>123</v>
      </c>
      <c r="Q658" s="1" t="str">
        <f>IF(WEEKDAY(Bike_Sharing_Master6[[#This Row],[Dteday]],2)&gt;=6,"Weekend","Weekday")</f>
        <v>Weekend</v>
      </c>
      <c r="R658" s="1" t="str">
        <f xml:space="preserve"> IF(Bike_Sharing_Master6[[#This Row],[Hr]]&lt;6,"Late Night", IF(Bike_Sharing_Master6[[#This Row],[Hr]]&lt;10,"Morning Peak", IF(Bike_Sharing_Master6[[#This Row],[Hr]]&lt;17,"Daytime", IF(Bike_Sharing_Master6[[#This Row],[Hr]]&lt;21,"Evening Peak","Night"))))</f>
        <v>Daytime</v>
      </c>
      <c r="S658" s="1" t="str">
        <f>IF(Bike_Sharing_Master6[[#This Row],[Holiday]]=1,"Holiday","Non-Holiday")</f>
        <v>Non-Holiday</v>
      </c>
      <c r="T658" s="1" t="str">
        <f>IF(Bike_Sharing_Master6[[#This Row],[Cnt]]&lt;80,"Low",IF(Bike_Sharing_Master6[[#This Row],[Cnt]]&lt;160,"Medium","High"))</f>
        <v>Medium</v>
      </c>
      <c r="U658" s="1" t="str">
        <f>VLOOKUP(Bike_Sharing_Master6[[#This Row],[Weathersit]],[1]Lookup_Weather!A:B,2,FALSE)</f>
        <v>Clear</v>
      </c>
    </row>
    <row r="659" spans="1:21" x14ac:dyDescent="0.3">
      <c r="A659">
        <v>658</v>
      </c>
      <c r="B659" s="3">
        <v>40573</v>
      </c>
      <c r="C659" s="1">
        <v>1</v>
      </c>
      <c r="D659" s="1">
        <v>0</v>
      </c>
      <c r="E659" s="1">
        <v>1</v>
      </c>
      <c r="F659" s="1">
        <v>17</v>
      </c>
      <c r="G659" t="b">
        <v>0</v>
      </c>
      <c r="H659" s="1">
        <v>0</v>
      </c>
      <c r="I659" s="1">
        <v>1</v>
      </c>
      <c r="J659" s="2">
        <v>0.3</v>
      </c>
      <c r="K659" s="2">
        <v>0.28789999999999999</v>
      </c>
      <c r="L659" s="2">
        <v>0.56000000000000005</v>
      </c>
      <c r="M659" s="2">
        <v>0.19400000000000001</v>
      </c>
      <c r="N659" s="1">
        <v>6</v>
      </c>
      <c r="O659" s="1">
        <v>71</v>
      </c>
      <c r="P659" s="1">
        <v>77</v>
      </c>
      <c r="Q659" s="1" t="str">
        <f>IF(WEEKDAY(Bike_Sharing_Master6[[#This Row],[Dteday]],2)&gt;=6,"Weekend","Weekday")</f>
        <v>Weekend</v>
      </c>
      <c r="R659" s="1" t="str">
        <f xml:space="preserve"> IF(Bike_Sharing_Master6[[#This Row],[Hr]]&lt;6,"Late Night", IF(Bike_Sharing_Master6[[#This Row],[Hr]]&lt;10,"Morning Peak", IF(Bike_Sharing_Master6[[#This Row],[Hr]]&lt;17,"Daytime", IF(Bike_Sharing_Master6[[#This Row],[Hr]]&lt;21,"Evening Peak","Night"))))</f>
        <v>Evening Peak</v>
      </c>
      <c r="S659" s="1" t="str">
        <f>IF(Bike_Sharing_Master6[[#This Row],[Holiday]]=1,"Holiday","Non-Holiday")</f>
        <v>Non-Holiday</v>
      </c>
      <c r="T659" s="1" t="str">
        <f>IF(Bike_Sharing_Master6[[#This Row],[Cnt]]&lt;80,"Low",IF(Bike_Sharing_Master6[[#This Row],[Cnt]]&lt;160,"Medium","High"))</f>
        <v>Low</v>
      </c>
      <c r="U659" s="1" t="str">
        <f>VLOOKUP(Bike_Sharing_Master6[[#This Row],[Weathersit]],[1]Lookup_Weather!A:B,2,FALSE)</f>
        <v>Clear</v>
      </c>
    </row>
    <row r="660" spans="1:21" x14ac:dyDescent="0.3">
      <c r="A660">
        <v>659</v>
      </c>
      <c r="B660" s="3">
        <v>40573</v>
      </c>
      <c r="C660" s="1">
        <v>1</v>
      </c>
      <c r="D660" s="1">
        <v>0</v>
      </c>
      <c r="E660" s="1">
        <v>1</v>
      </c>
      <c r="F660" s="1">
        <v>18</v>
      </c>
      <c r="G660" t="b">
        <v>0</v>
      </c>
      <c r="H660" s="1">
        <v>0</v>
      </c>
      <c r="I660" s="1">
        <v>1</v>
      </c>
      <c r="J660" s="2">
        <v>0.26</v>
      </c>
      <c r="K660" s="2">
        <v>0.2576</v>
      </c>
      <c r="L660" s="2">
        <v>0.65</v>
      </c>
      <c r="M660" s="2">
        <v>0.16420000000000001</v>
      </c>
      <c r="N660" s="1">
        <v>8</v>
      </c>
      <c r="O660" s="1">
        <v>57</v>
      </c>
      <c r="P660" s="1">
        <v>65</v>
      </c>
      <c r="Q660" s="1" t="str">
        <f>IF(WEEKDAY(Bike_Sharing_Master6[[#This Row],[Dteday]],2)&gt;=6,"Weekend","Weekday")</f>
        <v>Weekend</v>
      </c>
      <c r="R660" s="1" t="str">
        <f xml:space="preserve"> IF(Bike_Sharing_Master6[[#This Row],[Hr]]&lt;6,"Late Night", IF(Bike_Sharing_Master6[[#This Row],[Hr]]&lt;10,"Morning Peak", IF(Bike_Sharing_Master6[[#This Row],[Hr]]&lt;17,"Daytime", IF(Bike_Sharing_Master6[[#This Row],[Hr]]&lt;21,"Evening Peak","Night"))))</f>
        <v>Evening Peak</v>
      </c>
      <c r="S660" s="1" t="str">
        <f>IF(Bike_Sharing_Master6[[#This Row],[Holiday]]=1,"Holiday","Non-Holiday")</f>
        <v>Non-Holiday</v>
      </c>
      <c r="T660" s="1" t="str">
        <f>IF(Bike_Sharing_Master6[[#This Row],[Cnt]]&lt;80,"Low",IF(Bike_Sharing_Master6[[#This Row],[Cnt]]&lt;160,"Medium","High"))</f>
        <v>Low</v>
      </c>
      <c r="U660" s="1" t="str">
        <f>VLOOKUP(Bike_Sharing_Master6[[#This Row],[Weathersit]],[1]Lookup_Weather!A:B,2,FALSE)</f>
        <v>Clear</v>
      </c>
    </row>
    <row r="661" spans="1:21" x14ac:dyDescent="0.3">
      <c r="A661">
        <v>660</v>
      </c>
      <c r="B661" s="3">
        <v>40573</v>
      </c>
      <c r="C661" s="1">
        <v>1</v>
      </c>
      <c r="D661" s="1">
        <v>0</v>
      </c>
      <c r="E661" s="1">
        <v>1</v>
      </c>
      <c r="F661" s="1">
        <v>19</v>
      </c>
      <c r="G661" t="b">
        <v>0</v>
      </c>
      <c r="H661" s="1">
        <v>0</v>
      </c>
      <c r="I661" s="1">
        <v>1</v>
      </c>
      <c r="J661" s="2">
        <v>0.26</v>
      </c>
      <c r="K661" s="2">
        <v>0.2576</v>
      </c>
      <c r="L661" s="2">
        <v>0.65</v>
      </c>
      <c r="M661" s="2">
        <v>0.19400000000000001</v>
      </c>
      <c r="N661" s="1">
        <v>9</v>
      </c>
      <c r="O661" s="1">
        <v>46</v>
      </c>
      <c r="P661" s="1">
        <v>55</v>
      </c>
      <c r="Q661" s="1" t="str">
        <f>IF(WEEKDAY(Bike_Sharing_Master6[[#This Row],[Dteday]],2)&gt;=6,"Weekend","Weekday")</f>
        <v>Weekend</v>
      </c>
      <c r="R661" s="1" t="str">
        <f xml:space="preserve"> IF(Bike_Sharing_Master6[[#This Row],[Hr]]&lt;6,"Late Night", IF(Bike_Sharing_Master6[[#This Row],[Hr]]&lt;10,"Morning Peak", IF(Bike_Sharing_Master6[[#This Row],[Hr]]&lt;17,"Daytime", IF(Bike_Sharing_Master6[[#This Row],[Hr]]&lt;21,"Evening Peak","Night"))))</f>
        <v>Evening Peak</v>
      </c>
      <c r="S661" s="1" t="str">
        <f>IF(Bike_Sharing_Master6[[#This Row],[Holiday]]=1,"Holiday","Non-Holiday")</f>
        <v>Non-Holiday</v>
      </c>
      <c r="T661" s="1" t="str">
        <f>IF(Bike_Sharing_Master6[[#This Row],[Cnt]]&lt;80,"Low",IF(Bike_Sharing_Master6[[#This Row],[Cnt]]&lt;160,"Medium","High"))</f>
        <v>Low</v>
      </c>
      <c r="U661" s="1" t="str">
        <f>VLOOKUP(Bike_Sharing_Master6[[#This Row],[Weathersit]],[1]Lookup_Weather!A:B,2,FALSE)</f>
        <v>Clear</v>
      </c>
    </row>
    <row r="662" spans="1:21" x14ac:dyDescent="0.3">
      <c r="A662">
        <v>661</v>
      </c>
      <c r="B662" s="3">
        <v>40573</v>
      </c>
      <c r="C662" s="1">
        <v>1</v>
      </c>
      <c r="D662" s="1">
        <v>0</v>
      </c>
      <c r="E662" s="1">
        <v>1</v>
      </c>
      <c r="F662" s="1">
        <v>20</v>
      </c>
      <c r="G662" t="b">
        <v>0</v>
      </c>
      <c r="H662" s="1">
        <v>0</v>
      </c>
      <c r="I662" s="1">
        <v>2</v>
      </c>
      <c r="J662" s="2">
        <v>0.26</v>
      </c>
      <c r="K662" s="2">
        <v>0.2727</v>
      </c>
      <c r="L662" s="2">
        <v>0.65</v>
      </c>
      <c r="M662" s="2">
        <v>0.1045</v>
      </c>
      <c r="N662" s="1">
        <v>3</v>
      </c>
      <c r="O662" s="1">
        <v>30</v>
      </c>
      <c r="P662" s="1">
        <v>33</v>
      </c>
      <c r="Q662" s="1" t="str">
        <f>IF(WEEKDAY(Bike_Sharing_Master6[[#This Row],[Dteday]],2)&gt;=6,"Weekend","Weekday")</f>
        <v>Weekend</v>
      </c>
      <c r="R662" s="1" t="str">
        <f xml:space="preserve"> IF(Bike_Sharing_Master6[[#This Row],[Hr]]&lt;6,"Late Night", IF(Bike_Sharing_Master6[[#This Row],[Hr]]&lt;10,"Morning Peak", IF(Bike_Sharing_Master6[[#This Row],[Hr]]&lt;17,"Daytime", IF(Bike_Sharing_Master6[[#This Row],[Hr]]&lt;21,"Evening Peak","Night"))))</f>
        <v>Evening Peak</v>
      </c>
      <c r="S662" s="1" t="str">
        <f>IF(Bike_Sharing_Master6[[#This Row],[Holiday]]=1,"Holiday","Non-Holiday")</f>
        <v>Non-Holiday</v>
      </c>
      <c r="T662" s="1" t="str">
        <f>IF(Bike_Sharing_Master6[[#This Row],[Cnt]]&lt;80,"Low",IF(Bike_Sharing_Master6[[#This Row],[Cnt]]&lt;160,"Medium","High"))</f>
        <v>Low</v>
      </c>
      <c r="U662" s="1" t="str">
        <f>VLOOKUP(Bike_Sharing_Master6[[#This Row],[Weathersit]],[1]Lookup_Weather!A:B,2,FALSE)</f>
        <v>Mist</v>
      </c>
    </row>
    <row r="663" spans="1:21" x14ac:dyDescent="0.3">
      <c r="A663">
        <v>662</v>
      </c>
      <c r="B663" s="3">
        <v>40573</v>
      </c>
      <c r="C663" s="1">
        <v>1</v>
      </c>
      <c r="D663" s="1">
        <v>0</v>
      </c>
      <c r="E663" s="1">
        <v>1</v>
      </c>
      <c r="F663" s="1">
        <v>21</v>
      </c>
      <c r="G663" t="b">
        <v>0</v>
      </c>
      <c r="H663" s="1">
        <v>0</v>
      </c>
      <c r="I663" s="1">
        <v>2</v>
      </c>
      <c r="J663" s="2">
        <v>0.24</v>
      </c>
      <c r="K663" s="2">
        <v>0.2424</v>
      </c>
      <c r="L663" s="2">
        <v>0.7</v>
      </c>
      <c r="M663" s="2">
        <v>0.16420000000000001</v>
      </c>
      <c r="N663" s="1">
        <v>3</v>
      </c>
      <c r="O663" s="1">
        <v>25</v>
      </c>
      <c r="P663" s="1">
        <v>28</v>
      </c>
      <c r="Q663" s="1" t="str">
        <f>IF(WEEKDAY(Bike_Sharing_Master6[[#This Row],[Dteday]],2)&gt;=6,"Weekend","Weekday")</f>
        <v>Weekend</v>
      </c>
      <c r="R663" s="1" t="str">
        <f xml:space="preserve"> IF(Bike_Sharing_Master6[[#This Row],[Hr]]&lt;6,"Late Night", IF(Bike_Sharing_Master6[[#This Row],[Hr]]&lt;10,"Morning Peak", IF(Bike_Sharing_Master6[[#This Row],[Hr]]&lt;17,"Daytime", IF(Bike_Sharing_Master6[[#This Row],[Hr]]&lt;21,"Evening Peak","Night"))))</f>
        <v>Night</v>
      </c>
      <c r="S663" s="1" t="str">
        <f>IF(Bike_Sharing_Master6[[#This Row],[Holiday]]=1,"Holiday","Non-Holiday")</f>
        <v>Non-Holiday</v>
      </c>
      <c r="T663" s="1" t="str">
        <f>IF(Bike_Sharing_Master6[[#This Row],[Cnt]]&lt;80,"Low",IF(Bike_Sharing_Master6[[#This Row],[Cnt]]&lt;160,"Medium","High"))</f>
        <v>Low</v>
      </c>
      <c r="U663" s="1" t="str">
        <f>VLOOKUP(Bike_Sharing_Master6[[#This Row],[Weathersit]],[1]Lookup_Weather!A:B,2,FALSE)</f>
        <v>Mist</v>
      </c>
    </row>
    <row r="664" spans="1:21" x14ac:dyDescent="0.3">
      <c r="A664">
        <v>663</v>
      </c>
      <c r="B664" s="3">
        <v>40573</v>
      </c>
      <c r="C664" s="1">
        <v>1</v>
      </c>
      <c r="D664" s="1">
        <v>0</v>
      </c>
      <c r="E664" s="1">
        <v>1</v>
      </c>
      <c r="F664" s="1">
        <v>22</v>
      </c>
      <c r="G664" t="b">
        <v>0</v>
      </c>
      <c r="H664" s="1">
        <v>0</v>
      </c>
      <c r="I664" s="1">
        <v>2</v>
      </c>
      <c r="J664" s="2">
        <v>0.24</v>
      </c>
      <c r="K664" s="2">
        <v>0.2273</v>
      </c>
      <c r="L664" s="2">
        <v>0.7</v>
      </c>
      <c r="M664" s="2">
        <v>0.19400000000000001</v>
      </c>
      <c r="N664" s="1">
        <v>2</v>
      </c>
      <c r="O664" s="1">
        <v>19</v>
      </c>
      <c r="P664" s="1">
        <v>21</v>
      </c>
      <c r="Q664" s="1" t="str">
        <f>IF(WEEKDAY(Bike_Sharing_Master6[[#This Row],[Dteday]],2)&gt;=6,"Weekend","Weekday")</f>
        <v>Weekend</v>
      </c>
      <c r="R664" s="1" t="str">
        <f xml:space="preserve"> IF(Bike_Sharing_Master6[[#This Row],[Hr]]&lt;6,"Late Night", IF(Bike_Sharing_Master6[[#This Row],[Hr]]&lt;10,"Morning Peak", IF(Bike_Sharing_Master6[[#This Row],[Hr]]&lt;17,"Daytime", IF(Bike_Sharing_Master6[[#This Row],[Hr]]&lt;21,"Evening Peak","Night"))))</f>
        <v>Night</v>
      </c>
      <c r="S664" s="1" t="str">
        <f>IF(Bike_Sharing_Master6[[#This Row],[Holiday]]=1,"Holiday","Non-Holiday")</f>
        <v>Non-Holiday</v>
      </c>
      <c r="T664" s="1" t="str">
        <f>IF(Bike_Sharing_Master6[[#This Row],[Cnt]]&lt;80,"Low",IF(Bike_Sharing_Master6[[#This Row],[Cnt]]&lt;160,"Medium","High"))</f>
        <v>Low</v>
      </c>
      <c r="U664" s="1" t="str">
        <f>VLOOKUP(Bike_Sharing_Master6[[#This Row],[Weathersit]],[1]Lookup_Weather!A:B,2,FALSE)</f>
        <v>Mist</v>
      </c>
    </row>
    <row r="665" spans="1:21" x14ac:dyDescent="0.3">
      <c r="A665">
        <v>664</v>
      </c>
      <c r="B665" s="3">
        <v>40573</v>
      </c>
      <c r="C665" s="1">
        <v>1</v>
      </c>
      <c r="D665" s="1">
        <v>0</v>
      </c>
      <c r="E665" s="1">
        <v>1</v>
      </c>
      <c r="F665" s="1">
        <v>23</v>
      </c>
      <c r="G665" t="b">
        <v>0</v>
      </c>
      <c r="H665" s="1">
        <v>0</v>
      </c>
      <c r="I665" s="1">
        <v>2</v>
      </c>
      <c r="J665" s="2">
        <v>0.24</v>
      </c>
      <c r="K665" s="2">
        <v>0.21210000000000001</v>
      </c>
      <c r="L665" s="2">
        <v>0.65</v>
      </c>
      <c r="M665" s="2">
        <v>0.28360000000000002</v>
      </c>
      <c r="N665" s="1">
        <v>5</v>
      </c>
      <c r="O665" s="1">
        <v>16</v>
      </c>
      <c r="P665" s="1">
        <v>21</v>
      </c>
      <c r="Q665" s="1" t="str">
        <f>IF(WEEKDAY(Bike_Sharing_Master6[[#This Row],[Dteday]],2)&gt;=6,"Weekend","Weekday")</f>
        <v>Weekend</v>
      </c>
      <c r="R665" s="1" t="str">
        <f xml:space="preserve"> IF(Bike_Sharing_Master6[[#This Row],[Hr]]&lt;6,"Late Night", IF(Bike_Sharing_Master6[[#This Row],[Hr]]&lt;10,"Morning Peak", IF(Bike_Sharing_Master6[[#This Row],[Hr]]&lt;17,"Daytime", IF(Bike_Sharing_Master6[[#This Row],[Hr]]&lt;21,"Evening Peak","Night"))))</f>
        <v>Night</v>
      </c>
      <c r="S665" s="1" t="str">
        <f>IF(Bike_Sharing_Master6[[#This Row],[Holiday]]=1,"Holiday","Non-Holiday")</f>
        <v>Non-Holiday</v>
      </c>
      <c r="T665" s="1" t="str">
        <f>IF(Bike_Sharing_Master6[[#This Row],[Cnt]]&lt;80,"Low",IF(Bike_Sharing_Master6[[#This Row],[Cnt]]&lt;160,"Medium","High"))</f>
        <v>Low</v>
      </c>
      <c r="U665" s="1" t="str">
        <f>VLOOKUP(Bike_Sharing_Master6[[#This Row],[Weathersit]],[1]Lookup_Weather!A:B,2,FALSE)</f>
        <v>Mist</v>
      </c>
    </row>
    <row r="666" spans="1:21" x14ac:dyDescent="0.3">
      <c r="A666">
        <v>665</v>
      </c>
      <c r="B666" s="3">
        <v>40574</v>
      </c>
      <c r="C666" s="1">
        <v>1</v>
      </c>
      <c r="D666" s="1">
        <v>0</v>
      </c>
      <c r="E666" s="1">
        <v>1</v>
      </c>
      <c r="F666" s="1">
        <v>0</v>
      </c>
      <c r="G666" t="b">
        <v>0</v>
      </c>
      <c r="H666" s="1">
        <v>1</v>
      </c>
      <c r="I666" s="1">
        <v>2</v>
      </c>
      <c r="J666" s="2">
        <v>0.24</v>
      </c>
      <c r="K666" s="2">
        <v>0.2273</v>
      </c>
      <c r="L666" s="2">
        <v>0.65</v>
      </c>
      <c r="M666" s="2">
        <v>0.22389999999999999</v>
      </c>
      <c r="N666" s="1">
        <v>1</v>
      </c>
      <c r="O666" s="1">
        <v>6</v>
      </c>
      <c r="P666" s="1">
        <v>7</v>
      </c>
      <c r="Q666" s="1" t="str">
        <f>IF(WEEKDAY(Bike_Sharing_Master6[[#This Row],[Dteday]],2)&gt;=6,"Weekend","Weekday")</f>
        <v>Weekday</v>
      </c>
      <c r="R666" s="1" t="str">
        <f xml:space="preserve"> IF(Bike_Sharing_Master6[[#This Row],[Hr]]&lt;6,"Late Night", IF(Bike_Sharing_Master6[[#This Row],[Hr]]&lt;10,"Morning Peak", IF(Bike_Sharing_Master6[[#This Row],[Hr]]&lt;17,"Daytime", IF(Bike_Sharing_Master6[[#This Row],[Hr]]&lt;21,"Evening Peak","Night"))))</f>
        <v>Late Night</v>
      </c>
      <c r="S666" s="1" t="str">
        <f>IF(Bike_Sharing_Master6[[#This Row],[Holiday]]=1,"Holiday","Non-Holiday")</f>
        <v>Non-Holiday</v>
      </c>
      <c r="T666" s="1" t="str">
        <f>IF(Bike_Sharing_Master6[[#This Row],[Cnt]]&lt;80,"Low",IF(Bike_Sharing_Master6[[#This Row],[Cnt]]&lt;160,"Medium","High"))</f>
        <v>Low</v>
      </c>
      <c r="U666" s="1" t="str">
        <f>VLOOKUP(Bike_Sharing_Master6[[#This Row],[Weathersit]],[1]Lookup_Weather!A:B,2,FALSE)</f>
        <v>Mist</v>
      </c>
    </row>
    <row r="667" spans="1:21" x14ac:dyDescent="0.3">
      <c r="A667">
        <v>666</v>
      </c>
      <c r="B667" s="3">
        <v>40574</v>
      </c>
      <c r="C667" s="1">
        <v>1</v>
      </c>
      <c r="D667" s="1">
        <v>0</v>
      </c>
      <c r="E667" s="1">
        <v>1</v>
      </c>
      <c r="F667" s="1">
        <v>1</v>
      </c>
      <c r="G667" t="b">
        <v>0</v>
      </c>
      <c r="H667" s="1">
        <v>1</v>
      </c>
      <c r="I667" s="1">
        <v>1</v>
      </c>
      <c r="J667" s="2">
        <v>0.22</v>
      </c>
      <c r="K667" s="2">
        <v>0.21210000000000001</v>
      </c>
      <c r="L667" s="2">
        <v>0.64</v>
      </c>
      <c r="M667" s="2">
        <v>0.25369999999999998</v>
      </c>
      <c r="N667" s="1">
        <v>2</v>
      </c>
      <c r="O667" s="1">
        <v>5</v>
      </c>
      <c r="P667" s="1">
        <v>7</v>
      </c>
      <c r="Q667" s="1" t="str">
        <f>IF(WEEKDAY(Bike_Sharing_Master6[[#This Row],[Dteday]],2)&gt;=6,"Weekend","Weekday")</f>
        <v>Weekday</v>
      </c>
      <c r="R667" s="1" t="str">
        <f xml:space="preserve"> IF(Bike_Sharing_Master6[[#This Row],[Hr]]&lt;6,"Late Night", IF(Bike_Sharing_Master6[[#This Row],[Hr]]&lt;10,"Morning Peak", IF(Bike_Sharing_Master6[[#This Row],[Hr]]&lt;17,"Daytime", IF(Bike_Sharing_Master6[[#This Row],[Hr]]&lt;21,"Evening Peak","Night"))))</f>
        <v>Late Night</v>
      </c>
      <c r="S667" s="1" t="str">
        <f>IF(Bike_Sharing_Master6[[#This Row],[Holiday]]=1,"Holiday","Non-Holiday")</f>
        <v>Non-Holiday</v>
      </c>
      <c r="T667" s="1" t="str">
        <f>IF(Bike_Sharing_Master6[[#This Row],[Cnt]]&lt;80,"Low",IF(Bike_Sharing_Master6[[#This Row],[Cnt]]&lt;160,"Medium","High"))</f>
        <v>Low</v>
      </c>
      <c r="U667" s="1" t="str">
        <f>VLOOKUP(Bike_Sharing_Master6[[#This Row],[Weathersit]],[1]Lookup_Weather!A:B,2,FALSE)</f>
        <v>Clear</v>
      </c>
    </row>
    <row r="668" spans="1:21" x14ac:dyDescent="0.3">
      <c r="A668">
        <v>667</v>
      </c>
      <c r="B668" s="3">
        <v>40574</v>
      </c>
      <c r="C668" s="1">
        <v>1</v>
      </c>
      <c r="D668" s="1">
        <v>0</v>
      </c>
      <c r="E668" s="1">
        <v>1</v>
      </c>
      <c r="F668" s="1">
        <v>2</v>
      </c>
      <c r="G668" t="b">
        <v>0</v>
      </c>
      <c r="H668" s="1">
        <v>1</v>
      </c>
      <c r="I668" s="1">
        <v>1</v>
      </c>
      <c r="J668" s="2">
        <v>0.22</v>
      </c>
      <c r="K668" s="2">
        <v>0.2273</v>
      </c>
      <c r="L668" s="2">
        <v>0.64</v>
      </c>
      <c r="M668" s="2">
        <v>0.19400000000000001</v>
      </c>
      <c r="N668" s="1">
        <v>0</v>
      </c>
      <c r="O668" s="1">
        <v>1</v>
      </c>
      <c r="P668" s="1">
        <v>1</v>
      </c>
      <c r="Q668" s="1" t="str">
        <f>IF(WEEKDAY(Bike_Sharing_Master6[[#This Row],[Dteday]],2)&gt;=6,"Weekend","Weekday")</f>
        <v>Weekday</v>
      </c>
      <c r="R668" s="1" t="str">
        <f xml:space="preserve"> IF(Bike_Sharing_Master6[[#This Row],[Hr]]&lt;6,"Late Night", IF(Bike_Sharing_Master6[[#This Row],[Hr]]&lt;10,"Morning Peak", IF(Bike_Sharing_Master6[[#This Row],[Hr]]&lt;17,"Daytime", IF(Bike_Sharing_Master6[[#This Row],[Hr]]&lt;21,"Evening Peak","Night"))))</f>
        <v>Late Night</v>
      </c>
      <c r="S668" s="1" t="str">
        <f>IF(Bike_Sharing_Master6[[#This Row],[Holiday]]=1,"Holiday","Non-Holiday")</f>
        <v>Non-Holiday</v>
      </c>
      <c r="T668" s="1" t="str">
        <f>IF(Bike_Sharing_Master6[[#This Row],[Cnt]]&lt;80,"Low",IF(Bike_Sharing_Master6[[#This Row],[Cnt]]&lt;160,"Medium","High"))</f>
        <v>Low</v>
      </c>
      <c r="U668" s="1" t="str">
        <f>VLOOKUP(Bike_Sharing_Master6[[#This Row],[Weathersit]],[1]Lookup_Weather!A:B,2,FALSE)</f>
        <v>Clear</v>
      </c>
    </row>
    <row r="669" spans="1:21" x14ac:dyDescent="0.3">
      <c r="A669">
        <v>668</v>
      </c>
      <c r="B669" s="3">
        <v>40574</v>
      </c>
      <c r="C669" s="1">
        <v>1</v>
      </c>
      <c r="D669" s="1">
        <v>0</v>
      </c>
      <c r="E669" s="1">
        <v>1</v>
      </c>
      <c r="F669" s="1">
        <v>3</v>
      </c>
      <c r="G669" t="b">
        <v>0</v>
      </c>
      <c r="H669" s="1">
        <v>1</v>
      </c>
      <c r="I669" s="1">
        <v>1</v>
      </c>
      <c r="J669" s="2">
        <v>0.22</v>
      </c>
      <c r="K669" s="2">
        <v>0.2273</v>
      </c>
      <c r="L669" s="2">
        <v>0.64</v>
      </c>
      <c r="M669" s="2">
        <v>0.19400000000000001</v>
      </c>
      <c r="N669" s="1">
        <v>0</v>
      </c>
      <c r="O669" s="1">
        <v>2</v>
      </c>
      <c r="P669" s="1">
        <v>2</v>
      </c>
      <c r="Q669" s="1" t="str">
        <f>IF(WEEKDAY(Bike_Sharing_Master6[[#This Row],[Dteday]],2)&gt;=6,"Weekend","Weekday")</f>
        <v>Weekday</v>
      </c>
      <c r="R669" s="1" t="str">
        <f xml:space="preserve"> IF(Bike_Sharing_Master6[[#This Row],[Hr]]&lt;6,"Late Night", IF(Bike_Sharing_Master6[[#This Row],[Hr]]&lt;10,"Morning Peak", IF(Bike_Sharing_Master6[[#This Row],[Hr]]&lt;17,"Daytime", IF(Bike_Sharing_Master6[[#This Row],[Hr]]&lt;21,"Evening Peak","Night"))))</f>
        <v>Late Night</v>
      </c>
      <c r="S669" s="1" t="str">
        <f>IF(Bike_Sharing_Master6[[#This Row],[Holiday]]=1,"Holiday","Non-Holiday")</f>
        <v>Non-Holiday</v>
      </c>
      <c r="T669" s="1" t="str">
        <f>IF(Bike_Sharing_Master6[[#This Row],[Cnt]]&lt;80,"Low",IF(Bike_Sharing_Master6[[#This Row],[Cnt]]&lt;160,"Medium","High"))</f>
        <v>Low</v>
      </c>
      <c r="U669" s="1" t="str">
        <f>VLOOKUP(Bike_Sharing_Master6[[#This Row],[Weathersit]],[1]Lookup_Weather!A:B,2,FALSE)</f>
        <v>Clear</v>
      </c>
    </row>
    <row r="670" spans="1:21" x14ac:dyDescent="0.3">
      <c r="A670">
        <v>669</v>
      </c>
      <c r="B670" s="3">
        <v>40574</v>
      </c>
      <c r="C670" s="1">
        <v>1</v>
      </c>
      <c r="D670" s="1">
        <v>0</v>
      </c>
      <c r="E670" s="1">
        <v>1</v>
      </c>
      <c r="F670" s="1">
        <v>4</v>
      </c>
      <c r="G670" t="b">
        <v>0</v>
      </c>
      <c r="H670" s="1">
        <v>1</v>
      </c>
      <c r="I670" s="1">
        <v>1</v>
      </c>
      <c r="J670" s="2">
        <v>0.2</v>
      </c>
      <c r="K670" s="2">
        <v>0.19700000000000001</v>
      </c>
      <c r="L670" s="2">
        <v>0.59</v>
      </c>
      <c r="M670" s="2">
        <v>0.22389999999999999</v>
      </c>
      <c r="N670" s="1">
        <v>0</v>
      </c>
      <c r="O670" s="1">
        <v>2</v>
      </c>
      <c r="P670" s="1">
        <v>2</v>
      </c>
      <c r="Q670" s="1" t="str">
        <f>IF(WEEKDAY(Bike_Sharing_Master6[[#This Row],[Dteday]],2)&gt;=6,"Weekend","Weekday")</f>
        <v>Weekday</v>
      </c>
      <c r="R670" s="1" t="str">
        <f xml:space="preserve"> IF(Bike_Sharing_Master6[[#This Row],[Hr]]&lt;6,"Late Night", IF(Bike_Sharing_Master6[[#This Row],[Hr]]&lt;10,"Morning Peak", IF(Bike_Sharing_Master6[[#This Row],[Hr]]&lt;17,"Daytime", IF(Bike_Sharing_Master6[[#This Row],[Hr]]&lt;21,"Evening Peak","Night"))))</f>
        <v>Late Night</v>
      </c>
      <c r="S670" s="1" t="str">
        <f>IF(Bike_Sharing_Master6[[#This Row],[Holiday]]=1,"Holiday","Non-Holiday")</f>
        <v>Non-Holiday</v>
      </c>
      <c r="T670" s="1" t="str">
        <f>IF(Bike_Sharing_Master6[[#This Row],[Cnt]]&lt;80,"Low",IF(Bike_Sharing_Master6[[#This Row],[Cnt]]&lt;160,"Medium","High"))</f>
        <v>Low</v>
      </c>
      <c r="U670" s="1" t="str">
        <f>VLOOKUP(Bike_Sharing_Master6[[#This Row],[Weathersit]],[1]Lookup_Weather!A:B,2,FALSE)</f>
        <v>Clear</v>
      </c>
    </row>
    <row r="671" spans="1:21" x14ac:dyDescent="0.3">
      <c r="A671">
        <v>670</v>
      </c>
      <c r="B671" s="3">
        <v>40574</v>
      </c>
      <c r="C671" s="1">
        <v>1</v>
      </c>
      <c r="D671" s="1">
        <v>0</v>
      </c>
      <c r="E671" s="1">
        <v>1</v>
      </c>
      <c r="F671" s="1">
        <v>5</v>
      </c>
      <c r="G671" t="b">
        <v>0</v>
      </c>
      <c r="H671" s="1">
        <v>1</v>
      </c>
      <c r="I671" s="1">
        <v>1</v>
      </c>
      <c r="J671" s="2">
        <v>0.18</v>
      </c>
      <c r="K671" s="2">
        <v>0.16669999999999999</v>
      </c>
      <c r="L671" s="2">
        <v>0.64</v>
      </c>
      <c r="M671" s="2">
        <v>0.28360000000000002</v>
      </c>
      <c r="N671" s="1">
        <v>0</v>
      </c>
      <c r="O671" s="1">
        <v>8</v>
      </c>
      <c r="P671" s="1">
        <v>8</v>
      </c>
      <c r="Q671" s="1" t="str">
        <f>IF(WEEKDAY(Bike_Sharing_Master6[[#This Row],[Dteday]],2)&gt;=6,"Weekend","Weekday")</f>
        <v>Weekday</v>
      </c>
      <c r="R671" s="1" t="str">
        <f xml:space="preserve"> IF(Bike_Sharing_Master6[[#This Row],[Hr]]&lt;6,"Late Night", IF(Bike_Sharing_Master6[[#This Row],[Hr]]&lt;10,"Morning Peak", IF(Bike_Sharing_Master6[[#This Row],[Hr]]&lt;17,"Daytime", IF(Bike_Sharing_Master6[[#This Row],[Hr]]&lt;21,"Evening Peak","Night"))))</f>
        <v>Late Night</v>
      </c>
      <c r="S671" s="1" t="str">
        <f>IF(Bike_Sharing_Master6[[#This Row],[Holiday]]=1,"Holiday","Non-Holiday")</f>
        <v>Non-Holiday</v>
      </c>
      <c r="T671" s="1" t="str">
        <f>IF(Bike_Sharing_Master6[[#This Row],[Cnt]]&lt;80,"Low",IF(Bike_Sharing_Master6[[#This Row],[Cnt]]&lt;160,"Medium","High"))</f>
        <v>Low</v>
      </c>
      <c r="U671" s="1" t="str">
        <f>VLOOKUP(Bike_Sharing_Master6[[#This Row],[Weathersit]],[1]Lookup_Weather!A:B,2,FALSE)</f>
        <v>Clear</v>
      </c>
    </row>
    <row r="672" spans="1:21" x14ac:dyDescent="0.3">
      <c r="A672">
        <v>671</v>
      </c>
      <c r="B672" s="3">
        <v>40574</v>
      </c>
      <c r="C672" s="1">
        <v>1</v>
      </c>
      <c r="D672" s="1">
        <v>0</v>
      </c>
      <c r="E672" s="1">
        <v>1</v>
      </c>
      <c r="F672" s="1">
        <v>6</v>
      </c>
      <c r="G672" t="b">
        <v>0</v>
      </c>
      <c r="H672" s="1">
        <v>1</v>
      </c>
      <c r="I672" s="1">
        <v>1</v>
      </c>
      <c r="J672" s="2">
        <v>0.16</v>
      </c>
      <c r="K672" s="2">
        <v>0.13639999999999999</v>
      </c>
      <c r="L672" s="2">
        <v>0.69</v>
      </c>
      <c r="M672" s="2">
        <v>0.32840000000000003</v>
      </c>
      <c r="N672" s="1">
        <v>0</v>
      </c>
      <c r="O672" s="1">
        <v>37</v>
      </c>
      <c r="P672" s="1">
        <v>37</v>
      </c>
      <c r="Q672" s="1" t="str">
        <f>IF(WEEKDAY(Bike_Sharing_Master6[[#This Row],[Dteday]],2)&gt;=6,"Weekend","Weekday")</f>
        <v>Weekday</v>
      </c>
      <c r="R672" s="1" t="str">
        <f xml:space="preserve"> IF(Bike_Sharing_Master6[[#This Row],[Hr]]&lt;6,"Late Night", IF(Bike_Sharing_Master6[[#This Row],[Hr]]&lt;10,"Morning Peak", IF(Bike_Sharing_Master6[[#This Row],[Hr]]&lt;17,"Daytime", IF(Bike_Sharing_Master6[[#This Row],[Hr]]&lt;21,"Evening Peak","Night"))))</f>
        <v>Morning Peak</v>
      </c>
      <c r="S672" s="1" t="str">
        <f>IF(Bike_Sharing_Master6[[#This Row],[Holiday]]=1,"Holiday","Non-Holiday")</f>
        <v>Non-Holiday</v>
      </c>
      <c r="T672" s="1" t="str">
        <f>IF(Bike_Sharing_Master6[[#This Row],[Cnt]]&lt;80,"Low",IF(Bike_Sharing_Master6[[#This Row],[Cnt]]&lt;160,"Medium","High"))</f>
        <v>Low</v>
      </c>
      <c r="U672" s="1" t="str">
        <f>VLOOKUP(Bike_Sharing_Master6[[#This Row],[Weathersit]],[1]Lookup_Weather!A:B,2,FALSE)</f>
        <v>Clear</v>
      </c>
    </row>
    <row r="673" spans="1:21" x14ac:dyDescent="0.3">
      <c r="A673">
        <v>672</v>
      </c>
      <c r="B673" s="3">
        <v>40574</v>
      </c>
      <c r="C673" s="1">
        <v>1</v>
      </c>
      <c r="D673" s="1">
        <v>0</v>
      </c>
      <c r="E673" s="1">
        <v>1</v>
      </c>
      <c r="F673" s="1">
        <v>7</v>
      </c>
      <c r="G673" t="b">
        <v>0</v>
      </c>
      <c r="H673" s="1">
        <v>1</v>
      </c>
      <c r="I673" s="1">
        <v>2</v>
      </c>
      <c r="J673" s="2">
        <v>0.16</v>
      </c>
      <c r="K673" s="2">
        <v>0.13639999999999999</v>
      </c>
      <c r="L673" s="2">
        <v>0.64</v>
      </c>
      <c r="M673" s="2">
        <v>0.28360000000000002</v>
      </c>
      <c r="N673" s="1">
        <v>1</v>
      </c>
      <c r="O673" s="1">
        <v>71</v>
      </c>
      <c r="P673" s="1">
        <v>72</v>
      </c>
      <c r="Q673" s="1" t="str">
        <f>IF(WEEKDAY(Bike_Sharing_Master6[[#This Row],[Dteday]],2)&gt;=6,"Weekend","Weekday")</f>
        <v>Weekday</v>
      </c>
      <c r="R673" s="1" t="str">
        <f xml:space="preserve"> IF(Bike_Sharing_Master6[[#This Row],[Hr]]&lt;6,"Late Night", IF(Bike_Sharing_Master6[[#This Row],[Hr]]&lt;10,"Morning Peak", IF(Bike_Sharing_Master6[[#This Row],[Hr]]&lt;17,"Daytime", IF(Bike_Sharing_Master6[[#This Row],[Hr]]&lt;21,"Evening Peak","Night"))))</f>
        <v>Morning Peak</v>
      </c>
      <c r="S673" s="1" t="str">
        <f>IF(Bike_Sharing_Master6[[#This Row],[Holiday]]=1,"Holiday","Non-Holiday")</f>
        <v>Non-Holiday</v>
      </c>
      <c r="T673" s="1" t="str">
        <f>IF(Bike_Sharing_Master6[[#This Row],[Cnt]]&lt;80,"Low",IF(Bike_Sharing_Master6[[#This Row],[Cnt]]&lt;160,"Medium","High"))</f>
        <v>Low</v>
      </c>
      <c r="U673" s="1" t="str">
        <f>VLOOKUP(Bike_Sharing_Master6[[#This Row],[Weathersit]],[1]Lookup_Weather!A:B,2,FALSE)</f>
        <v>Mist</v>
      </c>
    </row>
    <row r="674" spans="1:21" x14ac:dyDescent="0.3">
      <c r="A674">
        <v>673</v>
      </c>
      <c r="B674" s="3">
        <v>40574</v>
      </c>
      <c r="C674" s="1">
        <v>1</v>
      </c>
      <c r="D674" s="1">
        <v>0</v>
      </c>
      <c r="E674" s="1">
        <v>1</v>
      </c>
      <c r="F674" s="1">
        <v>8</v>
      </c>
      <c r="G674" t="b">
        <v>0</v>
      </c>
      <c r="H674" s="1">
        <v>1</v>
      </c>
      <c r="I674" s="1">
        <v>2</v>
      </c>
      <c r="J674" s="2">
        <v>0.16</v>
      </c>
      <c r="K674" s="2">
        <v>0.13639999999999999</v>
      </c>
      <c r="L674" s="2">
        <v>0.59</v>
      </c>
      <c r="M674" s="2">
        <v>0.28360000000000002</v>
      </c>
      <c r="N674" s="1">
        <v>3</v>
      </c>
      <c r="O674" s="1">
        <v>182</v>
      </c>
      <c r="P674" s="1">
        <v>185</v>
      </c>
      <c r="Q674" s="1" t="str">
        <f>IF(WEEKDAY(Bike_Sharing_Master6[[#This Row],[Dteday]],2)&gt;=6,"Weekend","Weekday")</f>
        <v>Weekday</v>
      </c>
      <c r="R674" s="1" t="str">
        <f xml:space="preserve"> IF(Bike_Sharing_Master6[[#This Row],[Hr]]&lt;6,"Late Night", IF(Bike_Sharing_Master6[[#This Row],[Hr]]&lt;10,"Morning Peak", IF(Bike_Sharing_Master6[[#This Row],[Hr]]&lt;17,"Daytime", IF(Bike_Sharing_Master6[[#This Row],[Hr]]&lt;21,"Evening Peak","Night"))))</f>
        <v>Morning Peak</v>
      </c>
      <c r="S674" s="1" t="str">
        <f>IF(Bike_Sharing_Master6[[#This Row],[Holiday]]=1,"Holiday","Non-Holiday")</f>
        <v>Non-Holiday</v>
      </c>
      <c r="T674" s="1" t="str">
        <f>IF(Bike_Sharing_Master6[[#This Row],[Cnt]]&lt;80,"Low",IF(Bike_Sharing_Master6[[#This Row],[Cnt]]&lt;160,"Medium","High"))</f>
        <v>High</v>
      </c>
      <c r="U674" s="1" t="str">
        <f>VLOOKUP(Bike_Sharing_Master6[[#This Row],[Weathersit]],[1]Lookup_Weather!A:B,2,FALSE)</f>
        <v>Mist</v>
      </c>
    </row>
    <row r="675" spans="1:21" x14ac:dyDescent="0.3">
      <c r="A675">
        <v>674</v>
      </c>
      <c r="B675" s="3">
        <v>40574</v>
      </c>
      <c r="C675" s="1">
        <v>1</v>
      </c>
      <c r="D675" s="1">
        <v>0</v>
      </c>
      <c r="E675" s="1">
        <v>1</v>
      </c>
      <c r="F675" s="1">
        <v>9</v>
      </c>
      <c r="G675" t="b">
        <v>0</v>
      </c>
      <c r="H675" s="1">
        <v>1</v>
      </c>
      <c r="I675" s="1">
        <v>2</v>
      </c>
      <c r="J675" s="2">
        <v>0.16</v>
      </c>
      <c r="K675" s="2">
        <v>0.13639999999999999</v>
      </c>
      <c r="L675" s="2">
        <v>0.59</v>
      </c>
      <c r="M675" s="2">
        <v>0.29849999999999999</v>
      </c>
      <c r="N675" s="1">
        <v>0</v>
      </c>
      <c r="O675" s="1">
        <v>112</v>
      </c>
      <c r="P675" s="1">
        <v>112</v>
      </c>
      <c r="Q675" s="1" t="str">
        <f>IF(WEEKDAY(Bike_Sharing_Master6[[#This Row],[Dteday]],2)&gt;=6,"Weekend","Weekday")</f>
        <v>Weekday</v>
      </c>
      <c r="R675" s="1" t="str">
        <f xml:space="preserve"> IF(Bike_Sharing_Master6[[#This Row],[Hr]]&lt;6,"Late Night", IF(Bike_Sharing_Master6[[#This Row],[Hr]]&lt;10,"Morning Peak", IF(Bike_Sharing_Master6[[#This Row],[Hr]]&lt;17,"Daytime", IF(Bike_Sharing_Master6[[#This Row],[Hr]]&lt;21,"Evening Peak","Night"))))</f>
        <v>Morning Peak</v>
      </c>
      <c r="S675" s="1" t="str">
        <f>IF(Bike_Sharing_Master6[[#This Row],[Holiday]]=1,"Holiday","Non-Holiday")</f>
        <v>Non-Holiday</v>
      </c>
      <c r="T675" s="1" t="str">
        <f>IF(Bike_Sharing_Master6[[#This Row],[Cnt]]&lt;80,"Low",IF(Bike_Sharing_Master6[[#This Row],[Cnt]]&lt;160,"Medium","High"))</f>
        <v>Medium</v>
      </c>
      <c r="U675" s="1" t="str">
        <f>VLOOKUP(Bike_Sharing_Master6[[#This Row],[Weathersit]],[1]Lookup_Weather!A:B,2,FALSE)</f>
        <v>Mist</v>
      </c>
    </row>
    <row r="676" spans="1:21" x14ac:dyDescent="0.3">
      <c r="A676">
        <v>675</v>
      </c>
      <c r="B676" s="3">
        <v>40574</v>
      </c>
      <c r="C676" s="1">
        <v>1</v>
      </c>
      <c r="D676" s="1">
        <v>0</v>
      </c>
      <c r="E676" s="1">
        <v>1</v>
      </c>
      <c r="F676" s="1">
        <v>10</v>
      </c>
      <c r="G676" t="b">
        <v>0</v>
      </c>
      <c r="H676" s="1">
        <v>1</v>
      </c>
      <c r="I676" s="1">
        <v>2</v>
      </c>
      <c r="J676" s="2">
        <v>0.16</v>
      </c>
      <c r="K676" s="2">
        <v>0.1515</v>
      </c>
      <c r="L676" s="2">
        <v>0.59</v>
      </c>
      <c r="M676" s="2">
        <v>0.19400000000000001</v>
      </c>
      <c r="N676" s="1">
        <v>1</v>
      </c>
      <c r="O676" s="1">
        <v>68</v>
      </c>
      <c r="P676" s="1">
        <v>69</v>
      </c>
      <c r="Q676" s="1" t="str">
        <f>IF(WEEKDAY(Bike_Sharing_Master6[[#This Row],[Dteday]],2)&gt;=6,"Weekend","Weekday")</f>
        <v>Weekday</v>
      </c>
      <c r="R676" s="1" t="str">
        <f xml:space="preserve"> IF(Bike_Sharing_Master6[[#This Row],[Hr]]&lt;6,"Late Night", IF(Bike_Sharing_Master6[[#This Row],[Hr]]&lt;10,"Morning Peak", IF(Bike_Sharing_Master6[[#This Row],[Hr]]&lt;17,"Daytime", IF(Bike_Sharing_Master6[[#This Row],[Hr]]&lt;21,"Evening Peak","Night"))))</f>
        <v>Daytime</v>
      </c>
      <c r="S676" s="1" t="str">
        <f>IF(Bike_Sharing_Master6[[#This Row],[Holiday]]=1,"Holiday","Non-Holiday")</f>
        <v>Non-Holiday</v>
      </c>
      <c r="T676" s="1" t="str">
        <f>IF(Bike_Sharing_Master6[[#This Row],[Cnt]]&lt;80,"Low",IF(Bike_Sharing_Master6[[#This Row],[Cnt]]&lt;160,"Medium","High"))</f>
        <v>Low</v>
      </c>
      <c r="U676" s="1" t="str">
        <f>VLOOKUP(Bike_Sharing_Master6[[#This Row],[Weathersit]],[1]Lookup_Weather!A:B,2,FALSE)</f>
        <v>Mist</v>
      </c>
    </row>
    <row r="677" spans="1:21" x14ac:dyDescent="0.3">
      <c r="A677">
        <v>676</v>
      </c>
      <c r="B677" s="3">
        <v>40574</v>
      </c>
      <c r="C677" s="1">
        <v>1</v>
      </c>
      <c r="D677" s="1">
        <v>0</v>
      </c>
      <c r="E677" s="1">
        <v>1</v>
      </c>
      <c r="F677" s="1">
        <v>11</v>
      </c>
      <c r="G677" t="b">
        <v>0</v>
      </c>
      <c r="H677" s="1">
        <v>1</v>
      </c>
      <c r="I677" s="1">
        <v>2</v>
      </c>
      <c r="J677" s="2">
        <v>0.16</v>
      </c>
      <c r="K677" s="2">
        <v>0.1515</v>
      </c>
      <c r="L677" s="2">
        <v>0.59</v>
      </c>
      <c r="M677" s="2">
        <v>0.19400000000000001</v>
      </c>
      <c r="N677" s="1">
        <v>2</v>
      </c>
      <c r="O677" s="1">
        <v>46</v>
      </c>
      <c r="P677" s="1">
        <v>48</v>
      </c>
      <c r="Q677" s="1" t="str">
        <f>IF(WEEKDAY(Bike_Sharing_Master6[[#This Row],[Dteday]],2)&gt;=6,"Weekend","Weekday")</f>
        <v>Weekday</v>
      </c>
      <c r="R677" s="1" t="str">
        <f xml:space="preserve"> IF(Bike_Sharing_Master6[[#This Row],[Hr]]&lt;6,"Late Night", IF(Bike_Sharing_Master6[[#This Row],[Hr]]&lt;10,"Morning Peak", IF(Bike_Sharing_Master6[[#This Row],[Hr]]&lt;17,"Daytime", IF(Bike_Sharing_Master6[[#This Row],[Hr]]&lt;21,"Evening Peak","Night"))))</f>
        <v>Daytime</v>
      </c>
      <c r="S677" s="1" t="str">
        <f>IF(Bike_Sharing_Master6[[#This Row],[Holiday]]=1,"Holiday","Non-Holiday")</f>
        <v>Non-Holiday</v>
      </c>
      <c r="T677" s="1" t="str">
        <f>IF(Bike_Sharing_Master6[[#This Row],[Cnt]]&lt;80,"Low",IF(Bike_Sharing_Master6[[#This Row],[Cnt]]&lt;160,"Medium","High"))</f>
        <v>Low</v>
      </c>
      <c r="U677" s="1" t="str">
        <f>VLOOKUP(Bike_Sharing_Master6[[#This Row],[Weathersit]],[1]Lookup_Weather!A:B,2,FALSE)</f>
        <v>Mist</v>
      </c>
    </row>
    <row r="678" spans="1:21" x14ac:dyDescent="0.3">
      <c r="A678">
        <v>677</v>
      </c>
      <c r="B678" s="3">
        <v>40574</v>
      </c>
      <c r="C678" s="1">
        <v>1</v>
      </c>
      <c r="D678" s="1">
        <v>0</v>
      </c>
      <c r="E678" s="1">
        <v>1</v>
      </c>
      <c r="F678" s="1">
        <v>12</v>
      </c>
      <c r="G678" t="b">
        <v>0</v>
      </c>
      <c r="H678" s="1">
        <v>1</v>
      </c>
      <c r="I678" s="1">
        <v>2</v>
      </c>
      <c r="J678" s="2">
        <v>0.18</v>
      </c>
      <c r="K678" s="2">
        <v>0.21210000000000001</v>
      </c>
      <c r="L678" s="2">
        <v>0.55000000000000004</v>
      </c>
      <c r="M678" s="2">
        <v>0.1045</v>
      </c>
      <c r="N678" s="1">
        <v>6</v>
      </c>
      <c r="O678" s="1">
        <v>62</v>
      </c>
      <c r="P678" s="1">
        <v>68</v>
      </c>
      <c r="Q678" s="1" t="str">
        <f>IF(WEEKDAY(Bike_Sharing_Master6[[#This Row],[Dteday]],2)&gt;=6,"Weekend","Weekday")</f>
        <v>Weekday</v>
      </c>
      <c r="R678" s="1" t="str">
        <f xml:space="preserve"> IF(Bike_Sharing_Master6[[#This Row],[Hr]]&lt;6,"Late Night", IF(Bike_Sharing_Master6[[#This Row],[Hr]]&lt;10,"Morning Peak", IF(Bike_Sharing_Master6[[#This Row],[Hr]]&lt;17,"Daytime", IF(Bike_Sharing_Master6[[#This Row],[Hr]]&lt;21,"Evening Peak","Night"))))</f>
        <v>Daytime</v>
      </c>
      <c r="S678" s="1" t="str">
        <f>IF(Bike_Sharing_Master6[[#This Row],[Holiday]]=1,"Holiday","Non-Holiday")</f>
        <v>Non-Holiday</v>
      </c>
      <c r="T678" s="1" t="str">
        <f>IF(Bike_Sharing_Master6[[#This Row],[Cnt]]&lt;80,"Low",IF(Bike_Sharing_Master6[[#This Row],[Cnt]]&lt;160,"Medium","High"))</f>
        <v>Low</v>
      </c>
      <c r="U678" s="1" t="str">
        <f>VLOOKUP(Bike_Sharing_Master6[[#This Row],[Weathersit]],[1]Lookup_Weather!A:B,2,FALSE)</f>
        <v>Mist</v>
      </c>
    </row>
    <row r="679" spans="1:21" x14ac:dyDescent="0.3">
      <c r="A679">
        <v>678</v>
      </c>
      <c r="B679" s="3">
        <v>40574</v>
      </c>
      <c r="C679" s="1">
        <v>1</v>
      </c>
      <c r="D679" s="1">
        <v>0</v>
      </c>
      <c r="E679" s="1">
        <v>1</v>
      </c>
      <c r="F679" s="1">
        <v>13</v>
      </c>
      <c r="G679" t="b">
        <v>0</v>
      </c>
      <c r="H679" s="1">
        <v>1</v>
      </c>
      <c r="I679" s="1">
        <v>2</v>
      </c>
      <c r="J679" s="2">
        <v>0.16</v>
      </c>
      <c r="K679" s="2">
        <v>0.2273</v>
      </c>
      <c r="L679" s="2">
        <v>0.59</v>
      </c>
      <c r="M679" s="2">
        <v>0</v>
      </c>
      <c r="N679" s="1">
        <v>2</v>
      </c>
      <c r="O679" s="1">
        <v>52</v>
      </c>
      <c r="P679" s="1">
        <v>54</v>
      </c>
      <c r="Q679" s="1" t="str">
        <f>IF(WEEKDAY(Bike_Sharing_Master6[[#This Row],[Dteday]],2)&gt;=6,"Weekend","Weekday")</f>
        <v>Weekday</v>
      </c>
      <c r="R679" s="1" t="str">
        <f xml:space="preserve"> IF(Bike_Sharing_Master6[[#This Row],[Hr]]&lt;6,"Late Night", IF(Bike_Sharing_Master6[[#This Row],[Hr]]&lt;10,"Morning Peak", IF(Bike_Sharing_Master6[[#This Row],[Hr]]&lt;17,"Daytime", IF(Bike_Sharing_Master6[[#This Row],[Hr]]&lt;21,"Evening Peak","Night"))))</f>
        <v>Daytime</v>
      </c>
      <c r="S679" s="1" t="str">
        <f>IF(Bike_Sharing_Master6[[#This Row],[Holiday]]=1,"Holiday","Non-Holiday")</f>
        <v>Non-Holiday</v>
      </c>
      <c r="T679" s="1" t="str">
        <f>IF(Bike_Sharing_Master6[[#This Row],[Cnt]]&lt;80,"Low",IF(Bike_Sharing_Master6[[#This Row],[Cnt]]&lt;160,"Medium","High"))</f>
        <v>Low</v>
      </c>
      <c r="U679" s="1" t="str">
        <f>VLOOKUP(Bike_Sharing_Master6[[#This Row],[Weathersit]],[1]Lookup_Weather!A:B,2,FALSE)</f>
        <v>Mist</v>
      </c>
    </row>
    <row r="680" spans="1:21" x14ac:dyDescent="0.3">
      <c r="A680">
        <v>679</v>
      </c>
      <c r="B680" s="3">
        <v>40574</v>
      </c>
      <c r="C680" s="1">
        <v>1</v>
      </c>
      <c r="D680" s="1">
        <v>0</v>
      </c>
      <c r="E680" s="1">
        <v>1</v>
      </c>
      <c r="F680" s="1">
        <v>14</v>
      </c>
      <c r="G680" t="b">
        <v>0</v>
      </c>
      <c r="H680" s="1">
        <v>1</v>
      </c>
      <c r="I680" s="1">
        <v>2</v>
      </c>
      <c r="J680" s="2">
        <v>0.18</v>
      </c>
      <c r="K680" s="2">
        <v>0.19700000000000001</v>
      </c>
      <c r="L680" s="2">
        <v>0.55000000000000004</v>
      </c>
      <c r="M680" s="2">
        <v>0.1343</v>
      </c>
      <c r="N680" s="1">
        <v>1</v>
      </c>
      <c r="O680" s="1">
        <v>85</v>
      </c>
      <c r="P680" s="1">
        <v>86</v>
      </c>
      <c r="Q680" s="1" t="str">
        <f>IF(WEEKDAY(Bike_Sharing_Master6[[#This Row],[Dteday]],2)&gt;=6,"Weekend","Weekday")</f>
        <v>Weekday</v>
      </c>
      <c r="R680" s="1" t="str">
        <f xml:space="preserve"> IF(Bike_Sharing_Master6[[#This Row],[Hr]]&lt;6,"Late Night", IF(Bike_Sharing_Master6[[#This Row],[Hr]]&lt;10,"Morning Peak", IF(Bike_Sharing_Master6[[#This Row],[Hr]]&lt;17,"Daytime", IF(Bike_Sharing_Master6[[#This Row],[Hr]]&lt;21,"Evening Peak","Night"))))</f>
        <v>Daytime</v>
      </c>
      <c r="S680" s="1" t="str">
        <f>IF(Bike_Sharing_Master6[[#This Row],[Holiday]]=1,"Holiday","Non-Holiday")</f>
        <v>Non-Holiday</v>
      </c>
      <c r="T680" s="1" t="str">
        <f>IF(Bike_Sharing_Master6[[#This Row],[Cnt]]&lt;80,"Low",IF(Bike_Sharing_Master6[[#This Row],[Cnt]]&lt;160,"Medium","High"))</f>
        <v>Medium</v>
      </c>
      <c r="U680" s="1" t="str">
        <f>VLOOKUP(Bike_Sharing_Master6[[#This Row],[Weathersit]],[1]Lookup_Weather!A:B,2,FALSE)</f>
        <v>Mist</v>
      </c>
    </row>
    <row r="681" spans="1:21" x14ac:dyDescent="0.3">
      <c r="A681">
        <v>680</v>
      </c>
      <c r="B681" s="3">
        <v>40574</v>
      </c>
      <c r="C681" s="1">
        <v>1</v>
      </c>
      <c r="D681" s="1">
        <v>0</v>
      </c>
      <c r="E681" s="1">
        <v>1</v>
      </c>
      <c r="F681" s="1">
        <v>15</v>
      </c>
      <c r="G681" t="b">
        <v>0</v>
      </c>
      <c r="H681" s="1">
        <v>1</v>
      </c>
      <c r="I681" s="1">
        <v>2</v>
      </c>
      <c r="J681" s="2">
        <v>0.16</v>
      </c>
      <c r="K681" s="2">
        <v>0.18179999999999999</v>
      </c>
      <c r="L681" s="2">
        <v>0.59</v>
      </c>
      <c r="M681" s="2">
        <v>0.1343</v>
      </c>
      <c r="N681" s="1">
        <v>3</v>
      </c>
      <c r="O681" s="1">
        <v>41</v>
      </c>
      <c r="P681" s="1">
        <v>44</v>
      </c>
      <c r="Q681" s="1" t="str">
        <f>IF(WEEKDAY(Bike_Sharing_Master6[[#This Row],[Dteday]],2)&gt;=6,"Weekend","Weekday")</f>
        <v>Weekday</v>
      </c>
      <c r="R681" s="1" t="str">
        <f xml:space="preserve"> IF(Bike_Sharing_Master6[[#This Row],[Hr]]&lt;6,"Late Night", IF(Bike_Sharing_Master6[[#This Row],[Hr]]&lt;10,"Morning Peak", IF(Bike_Sharing_Master6[[#This Row],[Hr]]&lt;17,"Daytime", IF(Bike_Sharing_Master6[[#This Row],[Hr]]&lt;21,"Evening Peak","Night"))))</f>
        <v>Daytime</v>
      </c>
      <c r="S681" s="1" t="str">
        <f>IF(Bike_Sharing_Master6[[#This Row],[Holiday]]=1,"Holiday","Non-Holiday")</f>
        <v>Non-Holiday</v>
      </c>
      <c r="T681" s="1" t="str">
        <f>IF(Bike_Sharing_Master6[[#This Row],[Cnt]]&lt;80,"Low",IF(Bike_Sharing_Master6[[#This Row],[Cnt]]&lt;160,"Medium","High"))</f>
        <v>Low</v>
      </c>
      <c r="U681" s="1" t="str">
        <f>VLOOKUP(Bike_Sharing_Master6[[#This Row],[Weathersit]],[1]Lookup_Weather!A:B,2,FALSE)</f>
        <v>Mist</v>
      </c>
    </row>
    <row r="682" spans="1:21" x14ac:dyDescent="0.3">
      <c r="A682">
        <v>681</v>
      </c>
      <c r="B682" s="3">
        <v>40574</v>
      </c>
      <c r="C682" s="1">
        <v>1</v>
      </c>
      <c r="D682" s="1">
        <v>0</v>
      </c>
      <c r="E682" s="1">
        <v>1</v>
      </c>
      <c r="F682" s="1">
        <v>16</v>
      </c>
      <c r="G682" t="b">
        <v>0</v>
      </c>
      <c r="H682" s="1">
        <v>1</v>
      </c>
      <c r="I682" s="1">
        <v>2</v>
      </c>
      <c r="J682" s="2">
        <v>0.16</v>
      </c>
      <c r="K682" s="2">
        <v>0.18179999999999999</v>
      </c>
      <c r="L682" s="2">
        <v>0.56000000000000005</v>
      </c>
      <c r="M682" s="2">
        <v>0.19400000000000001</v>
      </c>
      <c r="N682" s="1">
        <v>3</v>
      </c>
      <c r="O682" s="1">
        <v>83</v>
      </c>
      <c r="P682" s="1">
        <v>86</v>
      </c>
      <c r="Q682" s="1" t="str">
        <f>IF(WEEKDAY(Bike_Sharing_Master6[[#This Row],[Dteday]],2)&gt;=6,"Weekend","Weekday")</f>
        <v>Weekday</v>
      </c>
      <c r="R682" s="1" t="str">
        <f xml:space="preserve"> IF(Bike_Sharing_Master6[[#This Row],[Hr]]&lt;6,"Late Night", IF(Bike_Sharing_Master6[[#This Row],[Hr]]&lt;10,"Morning Peak", IF(Bike_Sharing_Master6[[#This Row],[Hr]]&lt;17,"Daytime", IF(Bike_Sharing_Master6[[#This Row],[Hr]]&lt;21,"Evening Peak","Night"))))</f>
        <v>Daytime</v>
      </c>
      <c r="S682" s="1" t="str">
        <f>IF(Bike_Sharing_Master6[[#This Row],[Holiday]]=1,"Holiday","Non-Holiday")</f>
        <v>Non-Holiday</v>
      </c>
      <c r="T682" s="1" t="str">
        <f>IF(Bike_Sharing_Master6[[#This Row],[Cnt]]&lt;80,"Low",IF(Bike_Sharing_Master6[[#This Row],[Cnt]]&lt;160,"Medium","High"))</f>
        <v>Medium</v>
      </c>
      <c r="U682" s="1" t="str">
        <f>VLOOKUP(Bike_Sharing_Master6[[#This Row],[Weathersit]],[1]Lookup_Weather!A:B,2,FALSE)</f>
        <v>Mist</v>
      </c>
    </row>
    <row r="683" spans="1:21" x14ac:dyDescent="0.3">
      <c r="A683">
        <v>682</v>
      </c>
      <c r="B683" s="3">
        <v>40574</v>
      </c>
      <c r="C683" s="1">
        <v>1</v>
      </c>
      <c r="D683" s="1">
        <v>0</v>
      </c>
      <c r="E683" s="1">
        <v>1</v>
      </c>
      <c r="F683" s="1">
        <v>17</v>
      </c>
      <c r="G683" t="b">
        <v>0</v>
      </c>
      <c r="H683" s="1">
        <v>1</v>
      </c>
      <c r="I683" s="1">
        <v>2</v>
      </c>
      <c r="J683" s="2">
        <v>0.16</v>
      </c>
      <c r="K683" s="2">
        <v>0.1515</v>
      </c>
      <c r="L683" s="2">
        <v>0.59</v>
      </c>
      <c r="M683" s="2">
        <v>0.19400000000000001</v>
      </c>
      <c r="N683" s="1">
        <v>6</v>
      </c>
      <c r="O683" s="1">
        <v>155</v>
      </c>
      <c r="P683" s="1">
        <v>161</v>
      </c>
      <c r="Q683" s="1" t="str">
        <f>IF(WEEKDAY(Bike_Sharing_Master6[[#This Row],[Dteday]],2)&gt;=6,"Weekend","Weekday")</f>
        <v>Weekday</v>
      </c>
      <c r="R683" s="1" t="str">
        <f xml:space="preserve"> IF(Bike_Sharing_Master6[[#This Row],[Hr]]&lt;6,"Late Night", IF(Bike_Sharing_Master6[[#This Row],[Hr]]&lt;10,"Morning Peak", IF(Bike_Sharing_Master6[[#This Row],[Hr]]&lt;17,"Daytime", IF(Bike_Sharing_Master6[[#This Row],[Hr]]&lt;21,"Evening Peak","Night"))))</f>
        <v>Evening Peak</v>
      </c>
      <c r="S683" s="1" t="str">
        <f>IF(Bike_Sharing_Master6[[#This Row],[Holiday]]=1,"Holiday","Non-Holiday")</f>
        <v>Non-Holiday</v>
      </c>
      <c r="T683" s="1" t="str">
        <f>IF(Bike_Sharing_Master6[[#This Row],[Cnt]]&lt;80,"Low",IF(Bike_Sharing_Master6[[#This Row],[Cnt]]&lt;160,"Medium","High"))</f>
        <v>High</v>
      </c>
      <c r="U683" s="1" t="str">
        <f>VLOOKUP(Bike_Sharing_Master6[[#This Row],[Weathersit]],[1]Lookup_Weather!A:B,2,FALSE)</f>
        <v>Mist</v>
      </c>
    </row>
    <row r="684" spans="1:21" x14ac:dyDescent="0.3">
      <c r="A684">
        <v>683</v>
      </c>
      <c r="B684" s="3">
        <v>40574</v>
      </c>
      <c r="C684" s="1">
        <v>1</v>
      </c>
      <c r="D684" s="1">
        <v>0</v>
      </c>
      <c r="E684" s="1">
        <v>1</v>
      </c>
      <c r="F684" s="1">
        <v>18</v>
      </c>
      <c r="G684" t="b">
        <v>0</v>
      </c>
      <c r="H684" s="1">
        <v>1</v>
      </c>
      <c r="I684" s="1">
        <v>2</v>
      </c>
      <c r="J684" s="2">
        <v>0.16</v>
      </c>
      <c r="K684" s="2">
        <v>0.1515</v>
      </c>
      <c r="L684" s="2">
        <v>0.55000000000000004</v>
      </c>
      <c r="M684" s="2">
        <v>0.22389999999999999</v>
      </c>
      <c r="N684" s="1">
        <v>3</v>
      </c>
      <c r="O684" s="1">
        <v>153</v>
      </c>
      <c r="P684" s="1">
        <v>156</v>
      </c>
      <c r="Q684" s="1" t="str">
        <f>IF(WEEKDAY(Bike_Sharing_Master6[[#This Row],[Dteday]],2)&gt;=6,"Weekend","Weekday")</f>
        <v>Weekday</v>
      </c>
      <c r="R684" s="1" t="str">
        <f xml:space="preserve"> IF(Bike_Sharing_Master6[[#This Row],[Hr]]&lt;6,"Late Night", IF(Bike_Sharing_Master6[[#This Row],[Hr]]&lt;10,"Morning Peak", IF(Bike_Sharing_Master6[[#This Row],[Hr]]&lt;17,"Daytime", IF(Bike_Sharing_Master6[[#This Row],[Hr]]&lt;21,"Evening Peak","Night"))))</f>
        <v>Evening Peak</v>
      </c>
      <c r="S684" s="1" t="str">
        <f>IF(Bike_Sharing_Master6[[#This Row],[Holiday]]=1,"Holiday","Non-Holiday")</f>
        <v>Non-Holiday</v>
      </c>
      <c r="T684" s="1" t="str">
        <f>IF(Bike_Sharing_Master6[[#This Row],[Cnt]]&lt;80,"Low",IF(Bike_Sharing_Master6[[#This Row],[Cnt]]&lt;160,"Medium","High"))</f>
        <v>Medium</v>
      </c>
      <c r="U684" s="1" t="str">
        <f>VLOOKUP(Bike_Sharing_Master6[[#This Row],[Weathersit]],[1]Lookup_Weather!A:B,2,FALSE)</f>
        <v>Mist</v>
      </c>
    </row>
    <row r="685" spans="1:21" x14ac:dyDescent="0.3">
      <c r="A685">
        <v>684</v>
      </c>
      <c r="B685" s="3">
        <v>40574</v>
      </c>
      <c r="C685" s="1">
        <v>1</v>
      </c>
      <c r="D685" s="1">
        <v>0</v>
      </c>
      <c r="E685" s="1">
        <v>1</v>
      </c>
      <c r="F685" s="1">
        <v>19</v>
      </c>
      <c r="G685" t="b">
        <v>0</v>
      </c>
      <c r="H685" s="1">
        <v>1</v>
      </c>
      <c r="I685" s="1">
        <v>1</v>
      </c>
      <c r="J685" s="2">
        <v>0.3</v>
      </c>
      <c r="K685" s="2">
        <v>0.31819999999999998</v>
      </c>
      <c r="L685" s="2">
        <v>0.61</v>
      </c>
      <c r="M685" s="2">
        <v>0.1045</v>
      </c>
      <c r="N685" s="1">
        <v>3</v>
      </c>
      <c r="O685" s="1">
        <v>108</v>
      </c>
      <c r="P685" s="1">
        <v>111</v>
      </c>
      <c r="Q685" s="1" t="str">
        <f>IF(WEEKDAY(Bike_Sharing_Master6[[#This Row],[Dteday]],2)&gt;=6,"Weekend","Weekday")</f>
        <v>Weekday</v>
      </c>
      <c r="R685" s="1" t="str">
        <f xml:space="preserve"> IF(Bike_Sharing_Master6[[#This Row],[Hr]]&lt;6,"Late Night", IF(Bike_Sharing_Master6[[#This Row],[Hr]]&lt;10,"Morning Peak", IF(Bike_Sharing_Master6[[#This Row],[Hr]]&lt;17,"Daytime", IF(Bike_Sharing_Master6[[#This Row],[Hr]]&lt;21,"Evening Peak","Night"))))</f>
        <v>Evening Peak</v>
      </c>
      <c r="S685" s="1" t="str">
        <f>IF(Bike_Sharing_Master6[[#This Row],[Holiday]]=1,"Holiday","Non-Holiday")</f>
        <v>Non-Holiday</v>
      </c>
      <c r="T685" s="1" t="str">
        <f>IF(Bike_Sharing_Master6[[#This Row],[Cnt]]&lt;80,"Low",IF(Bike_Sharing_Master6[[#This Row],[Cnt]]&lt;160,"Medium","High"))</f>
        <v>Medium</v>
      </c>
      <c r="U685" s="1" t="str">
        <f>VLOOKUP(Bike_Sharing_Master6[[#This Row],[Weathersit]],[1]Lookup_Weather!A:B,2,FALSE)</f>
        <v>Clear</v>
      </c>
    </row>
    <row r="686" spans="1:21" x14ac:dyDescent="0.3">
      <c r="A686">
        <v>685</v>
      </c>
      <c r="B686" s="3">
        <v>40574</v>
      </c>
      <c r="C686" s="1">
        <v>1</v>
      </c>
      <c r="D686" s="1">
        <v>0</v>
      </c>
      <c r="E686" s="1">
        <v>1</v>
      </c>
      <c r="F686" s="1">
        <v>20</v>
      </c>
      <c r="G686" t="b">
        <v>0</v>
      </c>
      <c r="H686" s="1">
        <v>1</v>
      </c>
      <c r="I686" s="1">
        <v>3</v>
      </c>
      <c r="J686" s="2">
        <v>0.16</v>
      </c>
      <c r="K686" s="2">
        <v>0.16669999999999999</v>
      </c>
      <c r="L686" s="2">
        <v>0.59</v>
      </c>
      <c r="M686" s="2">
        <v>0.16420000000000001</v>
      </c>
      <c r="N686" s="1">
        <v>0</v>
      </c>
      <c r="O686" s="1">
        <v>78</v>
      </c>
      <c r="P686" s="1">
        <v>78</v>
      </c>
      <c r="Q686" s="1" t="str">
        <f>IF(WEEKDAY(Bike_Sharing_Master6[[#This Row],[Dteday]],2)&gt;=6,"Weekend","Weekday")</f>
        <v>Weekday</v>
      </c>
      <c r="R686" s="1" t="str">
        <f xml:space="preserve"> IF(Bike_Sharing_Master6[[#This Row],[Hr]]&lt;6,"Late Night", IF(Bike_Sharing_Master6[[#This Row],[Hr]]&lt;10,"Morning Peak", IF(Bike_Sharing_Master6[[#This Row],[Hr]]&lt;17,"Daytime", IF(Bike_Sharing_Master6[[#This Row],[Hr]]&lt;21,"Evening Peak","Night"))))</f>
        <v>Evening Peak</v>
      </c>
      <c r="S686" s="1" t="str">
        <f>IF(Bike_Sharing_Master6[[#This Row],[Holiday]]=1,"Holiday","Non-Holiday")</f>
        <v>Non-Holiday</v>
      </c>
      <c r="T686" s="1" t="str">
        <f>IF(Bike_Sharing_Master6[[#This Row],[Cnt]]&lt;80,"Low",IF(Bike_Sharing_Master6[[#This Row],[Cnt]]&lt;160,"Medium","High"))</f>
        <v>Low</v>
      </c>
      <c r="U686" s="1" t="str">
        <f>VLOOKUP(Bike_Sharing_Master6[[#This Row],[Weathersit]],[1]Lookup_Weather!A:B,2,FALSE)</f>
        <v>Light Rain</v>
      </c>
    </row>
    <row r="687" spans="1:21" x14ac:dyDescent="0.3">
      <c r="A687">
        <v>686</v>
      </c>
      <c r="B687" s="3">
        <v>40574</v>
      </c>
      <c r="C687" s="1">
        <v>1</v>
      </c>
      <c r="D687" s="1">
        <v>0</v>
      </c>
      <c r="E687" s="1">
        <v>1</v>
      </c>
      <c r="F687" s="1">
        <v>21</v>
      </c>
      <c r="G687" t="b">
        <v>0</v>
      </c>
      <c r="H687" s="1">
        <v>1</v>
      </c>
      <c r="I687" s="1">
        <v>3</v>
      </c>
      <c r="J687" s="2">
        <v>0.16</v>
      </c>
      <c r="K687" s="2">
        <v>0.19700000000000001</v>
      </c>
      <c r="L687" s="2">
        <v>0.59</v>
      </c>
      <c r="M687" s="2">
        <v>8.9599999999999999E-2</v>
      </c>
      <c r="N687" s="1">
        <v>3</v>
      </c>
      <c r="O687" s="1">
        <v>53</v>
      </c>
      <c r="P687" s="1">
        <v>56</v>
      </c>
      <c r="Q687" s="1" t="str">
        <f>IF(WEEKDAY(Bike_Sharing_Master6[[#This Row],[Dteday]],2)&gt;=6,"Weekend","Weekday")</f>
        <v>Weekday</v>
      </c>
      <c r="R687" s="1" t="str">
        <f xml:space="preserve"> IF(Bike_Sharing_Master6[[#This Row],[Hr]]&lt;6,"Late Night", IF(Bike_Sharing_Master6[[#This Row],[Hr]]&lt;10,"Morning Peak", IF(Bike_Sharing_Master6[[#This Row],[Hr]]&lt;17,"Daytime", IF(Bike_Sharing_Master6[[#This Row],[Hr]]&lt;21,"Evening Peak","Night"))))</f>
        <v>Night</v>
      </c>
      <c r="S687" s="1" t="str">
        <f>IF(Bike_Sharing_Master6[[#This Row],[Holiday]]=1,"Holiday","Non-Holiday")</f>
        <v>Non-Holiday</v>
      </c>
      <c r="T687" s="1" t="str">
        <f>IF(Bike_Sharing_Master6[[#This Row],[Cnt]]&lt;80,"Low",IF(Bike_Sharing_Master6[[#This Row],[Cnt]]&lt;160,"Medium","High"))</f>
        <v>Low</v>
      </c>
      <c r="U687" s="1" t="str">
        <f>VLOOKUP(Bike_Sharing_Master6[[#This Row],[Weathersit]],[1]Lookup_Weather!A:B,2,FALSE)</f>
        <v>Light Rain</v>
      </c>
    </row>
    <row r="688" spans="1:21" x14ac:dyDescent="0.3">
      <c r="A688">
        <v>687</v>
      </c>
      <c r="B688" s="3">
        <v>40574</v>
      </c>
      <c r="C688" s="1">
        <v>1</v>
      </c>
      <c r="D688" s="1">
        <v>0</v>
      </c>
      <c r="E688" s="1">
        <v>1</v>
      </c>
      <c r="F688" s="1">
        <v>22</v>
      </c>
      <c r="G688" t="b">
        <v>0</v>
      </c>
      <c r="H688" s="1">
        <v>1</v>
      </c>
      <c r="I688" s="1">
        <v>2</v>
      </c>
      <c r="J688" s="2">
        <v>0.16</v>
      </c>
      <c r="K688" s="2">
        <v>0.18179999999999999</v>
      </c>
      <c r="L688" s="2">
        <v>0.59</v>
      </c>
      <c r="M688" s="2">
        <v>0.1045</v>
      </c>
      <c r="N688" s="1">
        <v>0</v>
      </c>
      <c r="O688" s="1">
        <v>34</v>
      </c>
      <c r="P688" s="1">
        <v>34</v>
      </c>
      <c r="Q688" s="1" t="str">
        <f>IF(WEEKDAY(Bike_Sharing_Master6[[#This Row],[Dteday]],2)&gt;=6,"Weekend","Weekday")</f>
        <v>Weekday</v>
      </c>
      <c r="R688" s="1" t="str">
        <f xml:space="preserve"> IF(Bike_Sharing_Master6[[#This Row],[Hr]]&lt;6,"Late Night", IF(Bike_Sharing_Master6[[#This Row],[Hr]]&lt;10,"Morning Peak", IF(Bike_Sharing_Master6[[#This Row],[Hr]]&lt;17,"Daytime", IF(Bike_Sharing_Master6[[#This Row],[Hr]]&lt;21,"Evening Peak","Night"))))</f>
        <v>Night</v>
      </c>
      <c r="S688" s="1" t="str">
        <f>IF(Bike_Sharing_Master6[[#This Row],[Holiday]]=1,"Holiday","Non-Holiday")</f>
        <v>Non-Holiday</v>
      </c>
      <c r="T688" s="1" t="str">
        <f>IF(Bike_Sharing_Master6[[#This Row],[Cnt]]&lt;80,"Low",IF(Bike_Sharing_Master6[[#This Row],[Cnt]]&lt;160,"Medium","High"))</f>
        <v>Low</v>
      </c>
      <c r="U688" s="1" t="str">
        <f>VLOOKUP(Bike_Sharing_Master6[[#This Row],[Weathersit]],[1]Lookup_Weather!A:B,2,FALSE)</f>
        <v>Mist</v>
      </c>
    </row>
    <row r="689" spans="1:21" x14ac:dyDescent="0.3">
      <c r="A689">
        <v>688</v>
      </c>
      <c r="B689" s="3">
        <v>40574</v>
      </c>
      <c r="C689" s="1">
        <v>1</v>
      </c>
      <c r="D689" s="1">
        <v>0</v>
      </c>
      <c r="E689" s="1">
        <v>1</v>
      </c>
      <c r="F689" s="1">
        <v>23</v>
      </c>
      <c r="G689" t="b">
        <v>0</v>
      </c>
      <c r="H689" s="1">
        <v>1</v>
      </c>
      <c r="I689" s="1">
        <v>2</v>
      </c>
      <c r="J689" s="2">
        <v>0.16</v>
      </c>
      <c r="K689" s="2">
        <v>0.19700000000000001</v>
      </c>
      <c r="L689" s="2">
        <v>0.64</v>
      </c>
      <c r="M689" s="2">
        <v>8.9599999999999999E-2</v>
      </c>
      <c r="N689" s="1">
        <v>2</v>
      </c>
      <c r="O689" s="1">
        <v>15</v>
      </c>
      <c r="P689" s="1">
        <v>17</v>
      </c>
      <c r="Q689" s="1" t="str">
        <f>IF(WEEKDAY(Bike_Sharing_Master6[[#This Row],[Dteday]],2)&gt;=6,"Weekend","Weekday")</f>
        <v>Weekday</v>
      </c>
      <c r="R689" s="1" t="str">
        <f xml:space="preserve"> IF(Bike_Sharing_Master6[[#This Row],[Hr]]&lt;6,"Late Night", IF(Bike_Sharing_Master6[[#This Row],[Hr]]&lt;10,"Morning Peak", IF(Bike_Sharing_Master6[[#This Row],[Hr]]&lt;17,"Daytime", IF(Bike_Sharing_Master6[[#This Row],[Hr]]&lt;21,"Evening Peak","Night"))))</f>
        <v>Night</v>
      </c>
      <c r="S689" s="1" t="str">
        <f>IF(Bike_Sharing_Master6[[#This Row],[Holiday]]=1,"Holiday","Non-Holiday")</f>
        <v>Non-Holiday</v>
      </c>
      <c r="T689" s="1" t="str">
        <f>IF(Bike_Sharing_Master6[[#This Row],[Cnt]]&lt;80,"Low",IF(Bike_Sharing_Master6[[#This Row],[Cnt]]&lt;160,"Medium","High"))</f>
        <v>Low</v>
      </c>
      <c r="U689" s="1" t="str">
        <f>VLOOKUP(Bike_Sharing_Master6[[#This Row],[Weathersit]],[1]Lookup_Weather!A:B,2,FALSE)</f>
        <v>Mist</v>
      </c>
    </row>
    <row r="690" spans="1:21" x14ac:dyDescent="0.3">
      <c r="A690">
        <v>689</v>
      </c>
      <c r="B690" s="3">
        <v>40575</v>
      </c>
      <c r="C690" s="1">
        <v>1</v>
      </c>
      <c r="D690" s="1">
        <v>0</v>
      </c>
      <c r="E690" s="1">
        <v>2</v>
      </c>
      <c r="F690" s="1">
        <v>0</v>
      </c>
      <c r="G690" t="b">
        <v>0</v>
      </c>
      <c r="H690" s="1">
        <v>2</v>
      </c>
      <c r="I690" s="1">
        <v>2</v>
      </c>
      <c r="J690" s="2">
        <v>0.16</v>
      </c>
      <c r="K690" s="2">
        <v>0.18179999999999999</v>
      </c>
      <c r="L690" s="2">
        <v>0.64</v>
      </c>
      <c r="M690" s="2">
        <v>0.1045</v>
      </c>
      <c r="N690" s="1">
        <v>2</v>
      </c>
      <c r="O690" s="1">
        <v>6</v>
      </c>
      <c r="P690" s="1">
        <v>8</v>
      </c>
      <c r="Q690" s="1" t="str">
        <f>IF(WEEKDAY(Bike_Sharing_Master6[[#This Row],[Dteday]],2)&gt;=6,"Weekend","Weekday")</f>
        <v>Weekday</v>
      </c>
      <c r="R690" s="1" t="str">
        <f xml:space="preserve"> IF(Bike_Sharing_Master6[[#This Row],[Hr]]&lt;6,"Late Night", IF(Bike_Sharing_Master6[[#This Row],[Hr]]&lt;10,"Morning Peak", IF(Bike_Sharing_Master6[[#This Row],[Hr]]&lt;17,"Daytime", IF(Bike_Sharing_Master6[[#This Row],[Hr]]&lt;21,"Evening Peak","Night"))))</f>
        <v>Late Night</v>
      </c>
      <c r="S690" s="1" t="str">
        <f>IF(Bike_Sharing_Master6[[#This Row],[Holiday]]=1,"Holiday","Non-Holiday")</f>
        <v>Non-Holiday</v>
      </c>
      <c r="T690" s="1" t="str">
        <f>IF(Bike_Sharing_Master6[[#This Row],[Cnt]]&lt;80,"Low",IF(Bike_Sharing_Master6[[#This Row],[Cnt]]&lt;160,"Medium","High"))</f>
        <v>Low</v>
      </c>
      <c r="U690" s="1" t="str">
        <f>VLOOKUP(Bike_Sharing_Master6[[#This Row],[Weathersit]],[1]Lookup_Weather!A:B,2,FALSE)</f>
        <v>Mist</v>
      </c>
    </row>
    <row r="691" spans="1:21" x14ac:dyDescent="0.3">
      <c r="A691">
        <v>690</v>
      </c>
      <c r="B691" s="3">
        <v>40575</v>
      </c>
      <c r="C691" s="1">
        <v>1</v>
      </c>
      <c r="D691" s="1">
        <v>0</v>
      </c>
      <c r="E691" s="1">
        <v>2</v>
      </c>
      <c r="F691" s="1">
        <v>1</v>
      </c>
      <c r="G691" t="b">
        <v>0</v>
      </c>
      <c r="H691" s="1">
        <v>2</v>
      </c>
      <c r="I691" s="1">
        <v>2</v>
      </c>
      <c r="J691" s="2">
        <v>0.16</v>
      </c>
      <c r="K691" s="2">
        <v>0.18179999999999999</v>
      </c>
      <c r="L691" s="2">
        <v>0.69</v>
      </c>
      <c r="M691" s="2">
        <v>0.1045</v>
      </c>
      <c r="N691" s="1">
        <v>0</v>
      </c>
      <c r="O691" s="1">
        <v>3</v>
      </c>
      <c r="P691" s="1">
        <v>3</v>
      </c>
      <c r="Q691" s="1" t="str">
        <f>IF(WEEKDAY(Bike_Sharing_Master6[[#This Row],[Dteday]],2)&gt;=6,"Weekend","Weekday")</f>
        <v>Weekday</v>
      </c>
      <c r="R691" s="1" t="str">
        <f xml:space="preserve"> IF(Bike_Sharing_Master6[[#This Row],[Hr]]&lt;6,"Late Night", IF(Bike_Sharing_Master6[[#This Row],[Hr]]&lt;10,"Morning Peak", IF(Bike_Sharing_Master6[[#This Row],[Hr]]&lt;17,"Daytime", IF(Bike_Sharing_Master6[[#This Row],[Hr]]&lt;21,"Evening Peak","Night"))))</f>
        <v>Late Night</v>
      </c>
      <c r="S691" s="1" t="str">
        <f>IF(Bike_Sharing_Master6[[#This Row],[Holiday]]=1,"Holiday","Non-Holiday")</f>
        <v>Non-Holiday</v>
      </c>
      <c r="T691" s="1" t="str">
        <f>IF(Bike_Sharing_Master6[[#This Row],[Cnt]]&lt;80,"Low",IF(Bike_Sharing_Master6[[#This Row],[Cnt]]&lt;160,"Medium","High"))</f>
        <v>Low</v>
      </c>
      <c r="U691" s="1" t="str">
        <f>VLOOKUP(Bike_Sharing_Master6[[#This Row],[Weathersit]],[1]Lookup_Weather!A:B,2,FALSE)</f>
        <v>Mist</v>
      </c>
    </row>
    <row r="692" spans="1:21" x14ac:dyDescent="0.3">
      <c r="A692">
        <v>691</v>
      </c>
      <c r="B692" s="3">
        <v>40575</v>
      </c>
      <c r="C692" s="1">
        <v>1</v>
      </c>
      <c r="D692" s="1">
        <v>0</v>
      </c>
      <c r="E692" s="1">
        <v>2</v>
      </c>
      <c r="F692" s="1">
        <v>2</v>
      </c>
      <c r="G692" t="b">
        <v>0</v>
      </c>
      <c r="H692" s="1">
        <v>2</v>
      </c>
      <c r="I692" s="1">
        <v>2</v>
      </c>
      <c r="J692" s="2">
        <v>0.16</v>
      </c>
      <c r="K692" s="2">
        <v>0.2273</v>
      </c>
      <c r="L692" s="2">
        <v>0.69</v>
      </c>
      <c r="M692" s="2">
        <v>0</v>
      </c>
      <c r="N692" s="1">
        <v>0</v>
      </c>
      <c r="O692" s="1">
        <v>2</v>
      </c>
      <c r="P692" s="1">
        <v>2</v>
      </c>
      <c r="Q692" s="1" t="str">
        <f>IF(WEEKDAY(Bike_Sharing_Master6[[#This Row],[Dteday]],2)&gt;=6,"Weekend","Weekday")</f>
        <v>Weekday</v>
      </c>
      <c r="R692" s="1" t="str">
        <f xml:space="preserve"> IF(Bike_Sharing_Master6[[#This Row],[Hr]]&lt;6,"Late Night", IF(Bike_Sharing_Master6[[#This Row],[Hr]]&lt;10,"Morning Peak", IF(Bike_Sharing_Master6[[#This Row],[Hr]]&lt;17,"Daytime", IF(Bike_Sharing_Master6[[#This Row],[Hr]]&lt;21,"Evening Peak","Night"))))</f>
        <v>Late Night</v>
      </c>
      <c r="S692" s="1" t="str">
        <f>IF(Bike_Sharing_Master6[[#This Row],[Holiday]]=1,"Holiday","Non-Holiday")</f>
        <v>Non-Holiday</v>
      </c>
      <c r="T692" s="1" t="str">
        <f>IF(Bike_Sharing_Master6[[#This Row],[Cnt]]&lt;80,"Low",IF(Bike_Sharing_Master6[[#This Row],[Cnt]]&lt;160,"Medium","High"))</f>
        <v>Low</v>
      </c>
      <c r="U692" s="1" t="str">
        <f>VLOOKUP(Bike_Sharing_Master6[[#This Row],[Weathersit]],[1]Lookup_Weather!A:B,2,FALSE)</f>
        <v>Mist</v>
      </c>
    </row>
    <row r="693" spans="1:21" x14ac:dyDescent="0.3">
      <c r="A693">
        <v>692</v>
      </c>
      <c r="B693" s="3">
        <v>40575</v>
      </c>
      <c r="C693" s="1">
        <v>1</v>
      </c>
      <c r="D693" s="1">
        <v>0</v>
      </c>
      <c r="E693" s="1">
        <v>2</v>
      </c>
      <c r="F693" s="1">
        <v>3</v>
      </c>
      <c r="G693" t="b">
        <v>0</v>
      </c>
      <c r="H693" s="1">
        <v>2</v>
      </c>
      <c r="I693" s="1">
        <v>2</v>
      </c>
      <c r="J693" s="2">
        <v>0.16</v>
      </c>
      <c r="K693" s="2">
        <v>0.2273</v>
      </c>
      <c r="L693" s="2">
        <v>0.69</v>
      </c>
      <c r="M693" s="2">
        <v>0</v>
      </c>
      <c r="N693" s="1">
        <v>0</v>
      </c>
      <c r="O693" s="1">
        <v>2</v>
      </c>
      <c r="P693" s="1">
        <v>2</v>
      </c>
      <c r="Q693" s="1" t="str">
        <f>IF(WEEKDAY(Bike_Sharing_Master6[[#This Row],[Dteday]],2)&gt;=6,"Weekend","Weekday")</f>
        <v>Weekday</v>
      </c>
      <c r="R693" s="1" t="str">
        <f xml:space="preserve"> IF(Bike_Sharing_Master6[[#This Row],[Hr]]&lt;6,"Late Night", IF(Bike_Sharing_Master6[[#This Row],[Hr]]&lt;10,"Morning Peak", IF(Bike_Sharing_Master6[[#This Row],[Hr]]&lt;17,"Daytime", IF(Bike_Sharing_Master6[[#This Row],[Hr]]&lt;21,"Evening Peak","Night"))))</f>
        <v>Late Night</v>
      </c>
      <c r="S693" s="1" t="str">
        <f>IF(Bike_Sharing_Master6[[#This Row],[Holiday]]=1,"Holiday","Non-Holiday")</f>
        <v>Non-Holiday</v>
      </c>
      <c r="T693" s="1" t="str">
        <f>IF(Bike_Sharing_Master6[[#This Row],[Cnt]]&lt;80,"Low",IF(Bike_Sharing_Master6[[#This Row],[Cnt]]&lt;160,"Medium","High"))</f>
        <v>Low</v>
      </c>
      <c r="U693" s="1" t="str">
        <f>VLOOKUP(Bike_Sharing_Master6[[#This Row],[Weathersit]],[1]Lookup_Weather!A:B,2,FALSE)</f>
        <v>Mist</v>
      </c>
    </row>
    <row r="694" spans="1:21" x14ac:dyDescent="0.3">
      <c r="A694">
        <v>693</v>
      </c>
      <c r="B694" s="3">
        <v>40575</v>
      </c>
      <c r="C694" s="1">
        <v>1</v>
      </c>
      <c r="D694" s="1">
        <v>0</v>
      </c>
      <c r="E694" s="1">
        <v>2</v>
      </c>
      <c r="F694" s="1">
        <v>5</v>
      </c>
      <c r="G694" t="b">
        <v>0</v>
      </c>
      <c r="H694" s="1">
        <v>2</v>
      </c>
      <c r="I694" s="1">
        <v>3</v>
      </c>
      <c r="J694" s="2">
        <v>0.14000000000000001</v>
      </c>
      <c r="K694" s="2">
        <v>0.21210000000000001</v>
      </c>
      <c r="L694" s="2">
        <v>0.93</v>
      </c>
      <c r="M694" s="2">
        <v>0</v>
      </c>
      <c r="N694" s="1">
        <v>0</v>
      </c>
      <c r="O694" s="1">
        <v>3</v>
      </c>
      <c r="P694" s="1">
        <v>3</v>
      </c>
      <c r="Q694" s="1" t="str">
        <f>IF(WEEKDAY(Bike_Sharing_Master6[[#This Row],[Dteday]],2)&gt;=6,"Weekend","Weekday")</f>
        <v>Weekday</v>
      </c>
      <c r="R694" s="1" t="str">
        <f xml:space="preserve"> IF(Bike_Sharing_Master6[[#This Row],[Hr]]&lt;6,"Late Night", IF(Bike_Sharing_Master6[[#This Row],[Hr]]&lt;10,"Morning Peak", IF(Bike_Sharing_Master6[[#This Row],[Hr]]&lt;17,"Daytime", IF(Bike_Sharing_Master6[[#This Row],[Hr]]&lt;21,"Evening Peak","Night"))))</f>
        <v>Late Night</v>
      </c>
      <c r="S694" s="1" t="str">
        <f>IF(Bike_Sharing_Master6[[#This Row],[Holiday]]=1,"Holiday","Non-Holiday")</f>
        <v>Non-Holiday</v>
      </c>
      <c r="T694" s="1" t="str">
        <f>IF(Bike_Sharing_Master6[[#This Row],[Cnt]]&lt;80,"Low",IF(Bike_Sharing_Master6[[#This Row],[Cnt]]&lt;160,"Medium","High"))</f>
        <v>Low</v>
      </c>
      <c r="U694" s="1" t="str">
        <f>VLOOKUP(Bike_Sharing_Master6[[#This Row],[Weathersit]],[1]Lookup_Weather!A:B,2,FALSE)</f>
        <v>Light Rain</v>
      </c>
    </row>
    <row r="695" spans="1:21" x14ac:dyDescent="0.3">
      <c r="A695">
        <v>694</v>
      </c>
      <c r="B695" s="3">
        <v>40575</v>
      </c>
      <c r="C695" s="1">
        <v>1</v>
      </c>
      <c r="D695" s="1">
        <v>0</v>
      </c>
      <c r="E695" s="1">
        <v>2</v>
      </c>
      <c r="F695" s="1">
        <v>6</v>
      </c>
      <c r="G695" t="b">
        <v>0</v>
      </c>
      <c r="H695" s="1">
        <v>2</v>
      </c>
      <c r="I695" s="1">
        <v>3</v>
      </c>
      <c r="J695" s="2">
        <v>0.14000000000000001</v>
      </c>
      <c r="K695" s="2">
        <v>0.21210000000000001</v>
      </c>
      <c r="L695" s="2">
        <v>0.93</v>
      </c>
      <c r="M695" s="2">
        <v>0</v>
      </c>
      <c r="N695" s="1">
        <v>0</v>
      </c>
      <c r="O695" s="1">
        <v>22</v>
      </c>
      <c r="P695" s="1">
        <v>22</v>
      </c>
      <c r="Q695" s="1" t="str">
        <f>IF(WEEKDAY(Bike_Sharing_Master6[[#This Row],[Dteday]],2)&gt;=6,"Weekend","Weekday")</f>
        <v>Weekday</v>
      </c>
      <c r="R695" s="1" t="str">
        <f xml:space="preserve"> IF(Bike_Sharing_Master6[[#This Row],[Hr]]&lt;6,"Late Night", IF(Bike_Sharing_Master6[[#This Row],[Hr]]&lt;10,"Morning Peak", IF(Bike_Sharing_Master6[[#This Row],[Hr]]&lt;17,"Daytime", IF(Bike_Sharing_Master6[[#This Row],[Hr]]&lt;21,"Evening Peak","Night"))))</f>
        <v>Morning Peak</v>
      </c>
      <c r="S695" s="1" t="str">
        <f>IF(Bike_Sharing_Master6[[#This Row],[Holiday]]=1,"Holiday","Non-Holiday")</f>
        <v>Non-Holiday</v>
      </c>
      <c r="T695" s="1" t="str">
        <f>IF(Bike_Sharing_Master6[[#This Row],[Cnt]]&lt;80,"Low",IF(Bike_Sharing_Master6[[#This Row],[Cnt]]&lt;160,"Medium","High"))</f>
        <v>Low</v>
      </c>
      <c r="U695" s="1" t="str">
        <f>VLOOKUP(Bike_Sharing_Master6[[#This Row],[Weathersit]],[1]Lookup_Weather!A:B,2,FALSE)</f>
        <v>Light Rain</v>
      </c>
    </row>
    <row r="696" spans="1:21" x14ac:dyDescent="0.3">
      <c r="A696">
        <v>695</v>
      </c>
      <c r="B696" s="3">
        <v>40575</v>
      </c>
      <c r="C696" s="1">
        <v>1</v>
      </c>
      <c r="D696" s="1">
        <v>0</v>
      </c>
      <c r="E696" s="1">
        <v>2</v>
      </c>
      <c r="F696" s="1">
        <v>7</v>
      </c>
      <c r="G696" t="b">
        <v>0</v>
      </c>
      <c r="H696" s="1">
        <v>2</v>
      </c>
      <c r="I696" s="1">
        <v>3</v>
      </c>
      <c r="J696" s="2">
        <v>0.16</v>
      </c>
      <c r="K696" s="2">
        <v>0.2273</v>
      </c>
      <c r="L696" s="2">
        <v>0.93</v>
      </c>
      <c r="M696" s="2">
        <v>0</v>
      </c>
      <c r="N696" s="1">
        <v>0</v>
      </c>
      <c r="O696" s="1">
        <v>52</v>
      </c>
      <c r="P696" s="1">
        <v>52</v>
      </c>
      <c r="Q696" s="1" t="str">
        <f>IF(WEEKDAY(Bike_Sharing_Master6[[#This Row],[Dteday]],2)&gt;=6,"Weekend","Weekday")</f>
        <v>Weekday</v>
      </c>
      <c r="R696" s="1" t="str">
        <f xml:space="preserve"> IF(Bike_Sharing_Master6[[#This Row],[Hr]]&lt;6,"Late Night", IF(Bike_Sharing_Master6[[#This Row],[Hr]]&lt;10,"Morning Peak", IF(Bike_Sharing_Master6[[#This Row],[Hr]]&lt;17,"Daytime", IF(Bike_Sharing_Master6[[#This Row],[Hr]]&lt;21,"Evening Peak","Night"))))</f>
        <v>Morning Peak</v>
      </c>
      <c r="S696" s="1" t="str">
        <f>IF(Bike_Sharing_Master6[[#This Row],[Holiday]]=1,"Holiday","Non-Holiday")</f>
        <v>Non-Holiday</v>
      </c>
      <c r="T696" s="1" t="str">
        <f>IF(Bike_Sharing_Master6[[#This Row],[Cnt]]&lt;80,"Low",IF(Bike_Sharing_Master6[[#This Row],[Cnt]]&lt;160,"Medium","High"))</f>
        <v>Low</v>
      </c>
      <c r="U696" s="1" t="str">
        <f>VLOOKUP(Bike_Sharing_Master6[[#This Row],[Weathersit]],[1]Lookup_Weather!A:B,2,FALSE)</f>
        <v>Light Rain</v>
      </c>
    </row>
    <row r="697" spans="1:21" x14ac:dyDescent="0.3">
      <c r="A697">
        <v>696</v>
      </c>
      <c r="B697" s="3">
        <v>40575</v>
      </c>
      <c r="C697" s="1">
        <v>1</v>
      </c>
      <c r="D697" s="1">
        <v>0</v>
      </c>
      <c r="E697" s="1">
        <v>2</v>
      </c>
      <c r="F697" s="1">
        <v>8</v>
      </c>
      <c r="G697" t="b">
        <v>0</v>
      </c>
      <c r="H697" s="1">
        <v>2</v>
      </c>
      <c r="I697" s="1">
        <v>3</v>
      </c>
      <c r="J697" s="2">
        <v>0.16</v>
      </c>
      <c r="K697" s="2">
        <v>0.2273</v>
      </c>
      <c r="L697" s="2">
        <v>0.93</v>
      </c>
      <c r="M697" s="2">
        <v>0</v>
      </c>
      <c r="N697" s="1">
        <v>3</v>
      </c>
      <c r="O697" s="1">
        <v>132</v>
      </c>
      <c r="P697" s="1">
        <v>135</v>
      </c>
      <c r="Q697" s="1" t="str">
        <f>IF(WEEKDAY(Bike_Sharing_Master6[[#This Row],[Dteday]],2)&gt;=6,"Weekend","Weekday")</f>
        <v>Weekday</v>
      </c>
      <c r="R697" s="1" t="str">
        <f xml:space="preserve"> IF(Bike_Sharing_Master6[[#This Row],[Hr]]&lt;6,"Late Night", IF(Bike_Sharing_Master6[[#This Row],[Hr]]&lt;10,"Morning Peak", IF(Bike_Sharing_Master6[[#This Row],[Hr]]&lt;17,"Daytime", IF(Bike_Sharing_Master6[[#This Row],[Hr]]&lt;21,"Evening Peak","Night"))))</f>
        <v>Morning Peak</v>
      </c>
      <c r="S697" s="1" t="str">
        <f>IF(Bike_Sharing_Master6[[#This Row],[Holiday]]=1,"Holiday","Non-Holiday")</f>
        <v>Non-Holiday</v>
      </c>
      <c r="T697" s="1" t="str">
        <f>IF(Bike_Sharing_Master6[[#This Row],[Cnt]]&lt;80,"Low",IF(Bike_Sharing_Master6[[#This Row],[Cnt]]&lt;160,"Medium","High"))</f>
        <v>Medium</v>
      </c>
      <c r="U697" s="1" t="str">
        <f>VLOOKUP(Bike_Sharing_Master6[[#This Row],[Weathersit]],[1]Lookup_Weather!A:B,2,FALSE)</f>
        <v>Light Rain</v>
      </c>
    </row>
    <row r="698" spans="1:21" x14ac:dyDescent="0.3">
      <c r="A698">
        <v>697</v>
      </c>
      <c r="B698" s="3">
        <v>40575</v>
      </c>
      <c r="C698" s="1">
        <v>1</v>
      </c>
      <c r="D698" s="1">
        <v>0</v>
      </c>
      <c r="E698" s="1">
        <v>2</v>
      </c>
      <c r="F698" s="1">
        <v>9</v>
      </c>
      <c r="G698" t="b">
        <v>0</v>
      </c>
      <c r="H698" s="1">
        <v>2</v>
      </c>
      <c r="I698" s="1">
        <v>2</v>
      </c>
      <c r="J698" s="2">
        <v>0.16</v>
      </c>
      <c r="K698" s="2">
        <v>0.2273</v>
      </c>
      <c r="L698" s="2">
        <v>0.93</v>
      </c>
      <c r="M698" s="2">
        <v>0</v>
      </c>
      <c r="N698" s="1">
        <v>2</v>
      </c>
      <c r="O698" s="1">
        <v>114</v>
      </c>
      <c r="P698" s="1">
        <v>116</v>
      </c>
      <c r="Q698" s="1" t="str">
        <f>IF(WEEKDAY(Bike_Sharing_Master6[[#This Row],[Dteday]],2)&gt;=6,"Weekend","Weekday")</f>
        <v>Weekday</v>
      </c>
      <c r="R698" s="1" t="str">
        <f xml:space="preserve"> IF(Bike_Sharing_Master6[[#This Row],[Hr]]&lt;6,"Late Night", IF(Bike_Sharing_Master6[[#This Row],[Hr]]&lt;10,"Morning Peak", IF(Bike_Sharing_Master6[[#This Row],[Hr]]&lt;17,"Daytime", IF(Bike_Sharing_Master6[[#This Row],[Hr]]&lt;21,"Evening Peak","Night"))))</f>
        <v>Morning Peak</v>
      </c>
      <c r="S698" s="1" t="str">
        <f>IF(Bike_Sharing_Master6[[#This Row],[Holiday]]=1,"Holiday","Non-Holiday")</f>
        <v>Non-Holiday</v>
      </c>
      <c r="T698" s="1" t="str">
        <f>IF(Bike_Sharing_Master6[[#This Row],[Cnt]]&lt;80,"Low",IF(Bike_Sharing_Master6[[#This Row],[Cnt]]&lt;160,"Medium","High"))</f>
        <v>Medium</v>
      </c>
      <c r="U698" s="1" t="str">
        <f>VLOOKUP(Bike_Sharing_Master6[[#This Row],[Weathersit]],[1]Lookup_Weather!A:B,2,FALSE)</f>
        <v>Mist</v>
      </c>
    </row>
    <row r="699" spans="1:21" x14ac:dyDescent="0.3">
      <c r="A699">
        <v>698</v>
      </c>
      <c r="B699" s="3">
        <v>40575</v>
      </c>
      <c r="C699" s="1">
        <v>1</v>
      </c>
      <c r="D699" s="1">
        <v>0</v>
      </c>
      <c r="E699" s="1">
        <v>2</v>
      </c>
      <c r="F699" s="1">
        <v>10</v>
      </c>
      <c r="G699" t="b">
        <v>0</v>
      </c>
      <c r="H699" s="1">
        <v>2</v>
      </c>
      <c r="I699" s="1">
        <v>2</v>
      </c>
      <c r="J699" s="2">
        <v>0.16</v>
      </c>
      <c r="K699" s="2">
        <v>0.2273</v>
      </c>
      <c r="L699" s="2">
        <v>0.93</v>
      </c>
      <c r="M699" s="2">
        <v>0</v>
      </c>
      <c r="N699" s="1">
        <v>0</v>
      </c>
      <c r="O699" s="1">
        <v>47</v>
      </c>
      <c r="P699" s="1">
        <v>47</v>
      </c>
      <c r="Q699" s="1" t="str">
        <f>IF(WEEKDAY(Bike_Sharing_Master6[[#This Row],[Dteday]],2)&gt;=6,"Weekend","Weekday")</f>
        <v>Weekday</v>
      </c>
      <c r="R699" s="1" t="str">
        <f xml:space="preserve"> IF(Bike_Sharing_Master6[[#This Row],[Hr]]&lt;6,"Late Night", IF(Bike_Sharing_Master6[[#This Row],[Hr]]&lt;10,"Morning Peak", IF(Bike_Sharing_Master6[[#This Row],[Hr]]&lt;17,"Daytime", IF(Bike_Sharing_Master6[[#This Row],[Hr]]&lt;21,"Evening Peak","Night"))))</f>
        <v>Daytime</v>
      </c>
      <c r="S699" s="1" t="str">
        <f>IF(Bike_Sharing_Master6[[#This Row],[Holiday]]=1,"Holiday","Non-Holiday")</f>
        <v>Non-Holiday</v>
      </c>
      <c r="T699" s="1" t="str">
        <f>IF(Bike_Sharing_Master6[[#This Row],[Cnt]]&lt;80,"Low",IF(Bike_Sharing_Master6[[#This Row],[Cnt]]&lt;160,"Medium","High"))</f>
        <v>Low</v>
      </c>
      <c r="U699" s="1" t="str">
        <f>VLOOKUP(Bike_Sharing_Master6[[#This Row],[Weathersit]],[1]Lookup_Weather!A:B,2,FALSE)</f>
        <v>Mist</v>
      </c>
    </row>
    <row r="700" spans="1:21" x14ac:dyDescent="0.3">
      <c r="A700">
        <v>699</v>
      </c>
      <c r="B700" s="3">
        <v>40575</v>
      </c>
      <c r="C700" s="1">
        <v>1</v>
      </c>
      <c r="D700" s="1">
        <v>0</v>
      </c>
      <c r="E700" s="1">
        <v>2</v>
      </c>
      <c r="F700" s="1">
        <v>11</v>
      </c>
      <c r="G700" t="b">
        <v>0</v>
      </c>
      <c r="H700" s="1">
        <v>2</v>
      </c>
      <c r="I700" s="1">
        <v>2</v>
      </c>
      <c r="J700" s="2">
        <v>0.18</v>
      </c>
      <c r="K700" s="2">
        <v>0.2424</v>
      </c>
      <c r="L700" s="2">
        <v>0.86</v>
      </c>
      <c r="M700" s="2">
        <v>0</v>
      </c>
      <c r="N700" s="1">
        <v>2</v>
      </c>
      <c r="O700" s="1">
        <v>49</v>
      </c>
      <c r="P700" s="1">
        <v>51</v>
      </c>
      <c r="Q700" s="1" t="str">
        <f>IF(WEEKDAY(Bike_Sharing_Master6[[#This Row],[Dteday]],2)&gt;=6,"Weekend","Weekday")</f>
        <v>Weekday</v>
      </c>
      <c r="R700" s="1" t="str">
        <f xml:space="preserve"> IF(Bike_Sharing_Master6[[#This Row],[Hr]]&lt;6,"Late Night", IF(Bike_Sharing_Master6[[#This Row],[Hr]]&lt;10,"Morning Peak", IF(Bike_Sharing_Master6[[#This Row],[Hr]]&lt;17,"Daytime", IF(Bike_Sharing_Master6[[#This Row],[Hr]]&lt;21,"Evening Peak","Night"))))</f>
        <v>Daytime</v>
      </c>
      <c r="S700" s="1" t="str">
        <f>IF(Bike_Sharing_Master6[[#This Row],[Holiday]]=1,"Holiday","Non-Holiday")</f>
        <v>Non-Holiday</v>
      </c>
      <c r="T700" s="1" t="str">
        <f>IF(Bike_Sharing_Master6[[#This Row],[Cnt]]&lt;80,"Low",IF(Bike_Sharing_Master6[[#This Row],[Cnt]]&lt;160,"Medium","High"))</f>
        <v>Low</v>
      </c>
      <c r="U700" s="1" t="str">
        <f>VLOOKUP(Bike_Sharing_Master6[[#This Row],[Weathersit]],[1]Lookup_Weather!A:B,2,FALSE)</f>
        <v>Mist</v>
      </c>
    </row>
    <row r="701" spans="1:21" x14ac:dyDescent="0.3">
      <c r="A701">
        <v>700</v>
      </c>
      <c r="B701" s="3">
        <v>40575</v>
      </c>
      <c r="C701" s="1">
        <v>1</v>
      </c>
      <c r="D701" s="1">
        <v>0</v>
      </c>
      <c r="E701" s="1">
        <v>2</v>
      </c>
      <c r="F701" s="1">
        <v>12</v>
      </c>
      <c r="G701" t="b">
        <v>0</v>
      </c>
      <c r="H701" s="1">
        <v>2</v>
      </c>
      <c r="I701" s="1">
        <v>2</v>
      </c>
      <c r="J701" s="2">
        <v>0.2</v>
      </c>
      <c r="K701" s="2">
        <v>0.2576</v>
      </c>
      <c r="L701" s="2">
        <v>0.86</v>
      </c>
      <c r="M701" s="2">
        <v>0</v>
      </c>
      <c r="N701" s="1">
        <v>2</v>
      </c>
      <c r="O701" s="1">
        <v>53</v>
      </c>
      <c r="P701" s="1">
        <v>55</v>
      </c>
      <c r="Q701" s="1" t="str">
        <f>IF(WEEKDAY(Bike_Sharing_Master6[[#This Row],[Dteday]],2)&gt;=6,"Weekend","Weekday")</f>
        <v>Weekday</v>
      </c>
      <c r="R701" s="1" t="str">
        <f xml:space="preserve"> IF(Bike_Sharing_Master6[[#This Row],[Hr]]&lt;6,"Late Night", IF(Bike_Sharing_Master6[[#This Row],[Hr]]&lt;10,"Morning Peak", IF(Bike_Sharing_Master6[[#This Row],[Hr]]&lt;17,"Daytime", IF(Bike_Sharing_Master6[[#This Row],[Hr]]&lt;21,"Evening Peak","Night"))))</f>
        <v>Daytime</v>
      </c>
      <c r="S701" s="1" t="str">
        <f>IF(Bike_Sharing_Master6[[#This Row],[Holiday]]=1,"Holiday","Non-Holiday")</f>
        <v>Non-Holiday</v>
      </c>
      <c r="T701" s="1" t="str">
        <f>IF(Bike_Sharing_Master6[[#This Row],[Cnt]]&lt;80,"Low",IF(Bike_Sharing_Master6[[#This Row],[Cnt]]&lt;160,"Medium","High"))</f>
        <v>Low</v>
      </c>
      <c r="U701" s="1" t="str">
        <f>VLOOKUP(Bike_Sharing_Master6[[#This Row],[Weathersit]],[1]Lookup_Weather!A:B,2,FALSE)</f>
        <v>Mist</v>
      </c>
    </row>
    <row r="702" spans="1:21" x14ac:dyDescent="0.3">
      <c r="A702">
        <v>701</v>
      </c>
      <c r="B702" s="3">
        <v>40575</v>
      </c>
      <c r="C702" s="1">
        <v>1</v>
      </c>
      <c r="D702" s="1">
        <v>0</v>
      </c>
      <c r="E702" s="1">
        <v>2</v>
      </c>
      <c r="F702" s="1">
        <v>13</v>
      </c>
      <c r="G702" t="b">
        <v>0</v>
      </c>
      <c r="H702" s="1">
        <v>2</v>
      </c>
      <c r="I702" s="1">
        <v>2</v>
      </c>
      <c r="J702" s="2">
        <v>0.2</v>
      </c>
      <c r="K702" s="2">
        <v>0.2576</v>
      </c>
      <c r="L702" s="2">
        <v>0.86</v>
      </c>
      <c r="M702" s="2">
        <v>0</v>
      </c>
      <c r="N702" s="1">
        <v>3</v>
      </c>
      <c r="O702" s="1">
        <v>49</v>
      </c>
      <c r="P702" s="1">
        <v>52</v>
      </c>
      <c r="Q702" s="1" t="str">
        <f>IF(WEEKDAY(Bike_Sharing_Master6[[#This Row],[Dteday]],2)&gt;=6,"Weekend","Weekday")</f>
        <v>Weekday</v>
      </c>
      <c r="R702" s="1" t="str">
        <f xml:space="preserve"> IF(Bike_Sharing_Master6[[#This Row],[Hr]]&lt;6,"Late Night", IF(Bike_Sharing_Master6[[#This Row],[Hr]]&lt;10,"Morning Peak", IF(Bike_Sharing_Master6[[#This Row],[Hr]]&lt;17,"Daytime", IF(Bike_Sharing_Master6[[#This Row],[Hr]]&lt;21,"Evening Peak","Night"))))</f>
        <v>Daytime</v>
      </c>
      <c r="S702" s="1" t="str">
        <f>IF(Bike_Sharing_Master6[[#This Row],[Holiday]]=1,"Holiday","Non-Holiday")</f>
        <v>Non-Holiday</v>
      </c>
      <c r="T702" s="1" t="str">
        <f>IF(Bike_Sharing_Master6[[#This Row],[Cnt]]&lt;80,"Low",IF(Bike_Sharing_Master6[[#This Row],[Cnt]]&lt;160,"Medium","High"))</f>
        <v>Low</v>
      </c>
      <c r="U702" s="1" t="str">
        <f>VLOOKUP(Bike_Sharing_Master6[[#This Row],[Weathersit]],[1]Lookup_Weather!A:B,2,FALSE)</f>
        <v>Mist</v>
      </c>
    </row>
    <row r="703" spans="1:21" x14ac:dyDescent="0.3">
      <c r="A703">
        <v>702</v>
      </c>
      <c r="B703" s="3">
        <v>40575</v>
      </c>
      <c r="C703" s="1">
        <v>1</v>
      </c>
      <c r="D703" s="1">
        <v>0</v>
      </c>
      <c r="E703" s="1">
        <v>2</v>
      </c>
      <c r="F703" s="1">
        <v>14</v>
      </c>
      <c r="G703" t="b">
        <v>0</v>
      </c>
      <c r="H703" s="1">
        <v>2</v>
      </c>
      <c r="I703" s="1">
        <v>2</v>
      </c>
      <c r="J703" s="2">
        <v>0.22</v>
      </c>
      <c r="K703" s="2">
        <v>0.2576</v>
      </c>
      <c r="L703" s="2">
        <v>0.8</v>
      </c>
      <c r="M703" s="2">
        <v>8.9599999999999999E-2</v>
      </c>
      <c r="N703" s="1">
        <v>5</v>
      </c>
      <c r="O703" s="1">
        <v>49</v>
      </c>
      <c r="P703" s="1">
        <v>54</v>
      </c>
      <c r="Q703" s="1" t="str">
        <f>IF(WEEKDAY(Bike_Sharing_Master6[[#This Row],[Dteday]],2)&gt;=6,"Weekend","Weekday")</f>
        <v>Weekday</v>
      </c>
      <c r="R703" s="1" t="str">
        <f xml:space="preserve"> IF(Bike_Sharing_Master6[[#This Row],[Hr]]&lt;6,"Late Night", IF(Bike_Sharing_Master6[[#This Row],[Hr]]&lt;10,"Morning Peak", IF(Bike_Sharing_Master6[[#This Row],[Hr]]&lt;17,"Daytime", IF(Bike_Sharing_Master6[[#This Row],[Hr]]&lt;21,"Evening Peak","Night"))))</f>
        <v>Daytime</v>
      </c>
      <c r="S703" s="1" t="str">
        <f>IF(Bike_Sharing_Master6[[#This Row],[Holiday]]=1,"Holiday","Non-Holiday")</f>
        <v>Non-Holiday</v>
      </c>
      <c r="T703" s="1" t="str">
        <f>IF(Bike_Sharing_Master6[[#This Row],[Cnt]]&lt;80,"Low",IF(Bike_Sharing_Master6[[#This Row],[Cnt]]&lt;160,"Medium","High"))</f>
        <v>Low</v>
      </c>
      <c r="U703" s="1" t="str">
        <f>VLOOKUP(Bike_Sharing_Master6[[#This Row],[Weathersit]],[1]Lookup_Weather!A:B,2,FALSE)</f>
        <v>Mist</v>
      </c>
    </row>
    <row r="704" spans="1:21" x14ac:dyDescent="0.3">
      <c r="A704">
        <v>703</v>
      </c>
      <c r="B704" s="3">
        <v>40575</v>
      </c>
      <c r="C704" s="1">
        <v>1</v>
      </c>
      <c r="D704" s="1">
        <v>0</v>
      </c>
      <c r="E704" s="1">
        <v>2</v>
      </c>
      <c r="F704" s="1">
        <v>15</v>
      </c>
      <c r="G704" t="b">
        <v>0</v>
      </c>
      <c r="H704" s="1">
        <v>2</v>
      </c>
      <c r="I704" s="1">
        <v>2</v>
      </c>
      <c r="J704" s="2">
        <v>0.24</v>
      </c>
      <c r="K704" s="2">
        <v>0.28789999999999999</v>
      </c>
      <c r="L704" s="2">
        <v>0.75</v>
      </c>
      <c r="M704" s="2">
        <v>0</v>
      </c>
      <c r="N704" s="1">
        <v>7</v>
      </c>
      <c r="O704" s="1">
        <v>45</v>
      </c>
      <c r="P704" s="1">
        <v>52</v>
      </c>
      <c r="Q704" s="1" t="str">
        <f>IF(WEEKDAY(Bike_Sharing_Master6[[#This Row],[Dteday]],2)&gt;=6,"Weekend","Weekday")</f>
        <v>Weekday</v>
      </c>
      <c r="R704" s="1" t="str">
        <f xml:space="preserve"> IF(Bike_Sharing_Master6[[#This Row],[Hr]]&lt;6,"Late Night", IF(Bike_Sharing_Master6[[#This Row],[Hr]]&lt;10,"Morning Peak", IF(Bike_Sharing_Master6[[#This Row],[Hr]]&lt;17,"Daytime", IF(Bike_Sharing_Master6[[#This Row],[Hr]]&lt;21,"Evening Peak","Night"))))</f>
        <v>Daytime</v>
      </c>
      <c r="S704" s="1" t="str">
        <f>IF(Bike_Sharing_Master6[[#This Row],[Holiday]]=1,"Holiday","Non-Holiday")</f>
        <v>Non-Holiday</v>
      </c>
      <c r="T704" s="1" t="str">
        <f>IF(Bike_Sharing_Master6[[#This Row],[Cnt]]&lt;80,"Low",IF(Bike_Sharing_Master6[[#This Row],[Cnt]]&lt;160,"Medium","High"))</f>
        <v>Low</v>
      </c>
      <c r="U704" s="1" t="str">
        <f>VLOOKUP(Bike_Sharing_Master6[[#This Row],[Weathersit]],[1]Lookup_Weather!A:B,2,FALSE)</f>
        <v>Mist</v>
      </c>
    </row>
    <row r="705" spans="1:21" x14ac:dyDescent="0.3">
      <c r="A705">
        <v>704</v>
      </c>
      <c r="B705" s="3">
        <v>40575</v>
      </c>
      <c r="C705" s="1">
        <v>1</v>
      </c>
      <c r="D705" s="1">
        <v>0</v>
      </c>
      <c r="E705" s="1">
        <v>2</v>
      </c>
      <c r="F705" s="1">
        <v>16</v>
      </c>
      <c r="G705" t="b">
        <v>0</v>
      </c>
      <c r="H705" s="1">
        <v>2</v>
      </c>
      <c r="I705" s="1">
        <v>2</v>
      </c>
      <c r="J705" s="2">
        <v>0.24</v>
      </c>
      <c r="K705" s="2">
        <v>0.2424</v>
      </c>
      <c r="L705" s="2">
        <v>0.75</v>
      </c>
      <c r="M705" s="2">
        <v>0.1343</v>
      </c>
      <c r="N705" s="1">
        <v>3</v>
      </c>
      <c r="O705" s="1">
        <v>61</v>
      </c>
      <c r="P705" s="1">
        <v>64</v>
      </c>
      <c r="Q705" s="1" t="str">
        <f>IF(WEEKDAY(Bike_Sharing_Master6[[#This Row],[Dteday]],2)&gt;=6,"Weekend","Weekday")</f>
        <v>Weekday</v>
      </c>
      <c r="R705" s="1" t="str">
        <f xml:space="preserve"> IF(Bike_Sharing_Master6[[#This Row],[Hr]]&lt;6,"Late Night", IF(Bike_Sharing_Master6[[#This Row],[Hr]]&lt;10,"Morning Peak", IF(Bike_Sharing_Master6[[#This Row],[Hr]]&lt;17,"Daytime", IF(Bike_Sharing_Master6[[#This Row],[Hr]]&lt;21,"Evening Peak","Night"))))</f>
        <v>Daytime</v>
      </c>
      <c r="S705" s="1" t="str">
        <f>IF(Bike_Sharing_Master6[[#This Row],[Holiday]]=1,"Holiday","Non-Holiday")</f>
        <v>Non-Holiday</v>
      </c>
      <c r="T705" s="1" t="str">
        <f>IF(Bike_Sharing_Master6[[#This Row],[Cnt]]&lt;80,"Low",IF(Bike_Sharing_Master6[[#This Row],[Cnt]]&lt;160,"Medium","High"))</f>
        <v>Low</v>
      </c>
      <c r="U705" s="1" t="str">
        <f>VLOOKUP(Bike_Sharing_Master6[[#This Row],[Weathersit]],[1]Lookup_Weather!A:B,2,FALSE)</f>
        <v>Mist</v>
      </c>
    </row>
    <row r="706" spans="1:21" x14ac:dyDescent="0.3">
      <c r="A706">
        <v>705</v>
      </c>
      <c r="B706" s="3">
        <v>40575</v>
      </c>
      <c r="C706" s="1">
        <v>1</v>
      </c>
      <c r="D706" s="1">
        <v>0</v>
      </c>
      <c r="E706" s="1">
        <v>2</v>
      </c>
      <c r="F706" s="1">
        <v>17</v>
      </c>
      <c r="G706" t="b">
        <v>0</v>
      </c>
      <c r="H706" s="1">
        <v>2</v>
      </c>
      <c r="I706" s="1">
        <v>2</v>
      </c>
      <c r="J706" s="2">
        <v>0.24</v>
      </c>
      <c r="K706" s="2">
        <v>0.28789999999999999</v>
      </c>
      <c r="L706" s="2">
        <v>0.75</v>
      </c>
      <c r="M706" s="2">
        <v>0</v>
      </c>
      <c r="N706" s="1">
        <v>4</v>
      </c>
      <c r="O706" s="1">
        <v>172</v>
      </c>
      <c r="P706" s="1">
        <v>176</v>
      </c>
      <c r="Q706" s="1" t="str">
        <f>IF(WEEKDAY(Bike_Sharing_Master6[[#This Row],[Dteday]],2)&gt;=6,"Weekend","Weekday")</f>
        <v>Weekday</v>
      </c>
      <c r="R706" s="1" t="str">
        <f xml:space="preserve"> IF(Bike_Sharing_Master6[[#This Row],[Hr]]&lt;6,"Late Night", IF(Bike_Sharing_Master6[[#This Row],[Hr]]&lt;10,"Morning Peak", IF(Bike_Sharing_Master6[[#This Row],[Hr]]&lt;17,"Daytime", IF(Bike_Sharing_Master6[[#This Row],[Hr]]&lt;21,"Evening Peak","Night"))))</f>
        <v>Evening Peak</v>
      </c>
      <c r="S706" s="1" t="str">
        <f>IF(Bike_Sharing_Master6[[#This Row],[Holiday]]=1,"Holiday","Non-Holiday")</f>
        <v>Non-Holiday</v>
      </c>
      <c r="T706" s="1" t="str">
        <f>IF(Bike_Sharing_Master6[[#This Row],[Cnt]]&lt;80,"Low",IF(Bike_Sharing_Master6[[#This Row],[Cnt]]&lt;160,"Medium","High"))</f>
        <v>High</v>
      </c>
      <c r="U706" s="1" t="str">
        <f>VLOOKUP(Bike_Sharing_Master6[[#This Row],[Weathersit]],[1]Lookup_Weather!A:B,2,FALSE)</f>
        <v>Mist</v>
      </c>
    </row>
    <row r="707" spans="1:21" x14ac:dyDescent="0.3">
      <c r="A707">
        <v>706</v>
      </c>
      <c r="B707" s="3">
        <v>40575</v>
      </c>
      <c r="C707" s="1">
        <v>1</v>
      </c>
      <c r="D707" s="1">
        <v>0</v>
      </c>
      <c r="E707" s="1">
        <v>2</v>
      </c>
      <c r="F707" s="1">
        <v>18</v>
      </c>
      <c r="G707" t="b">
        <v>0</v>
      </c>
      <c r="H707" s="1">
        <v>2</v>
      </c>
      <c r="I707" s="1">
        <v>2</v>
      </c>
      <c r="J707" s="2">
        <v>0.24</v>
      </c>
      <c r="K707" s="2">
        <v>0.2576</v>
      </c>
      <c r="L707" s="2">
        <v>0.81</v>
      </c>
      <c r="M707" s="2">
        <v>0.1045</v>
      </c>
      <c r="N707" s="1">
        <v>3</v>
      </c>
      <c r="O707" s="1">
        <v>165</v>
      </c>
      <c r="P707" s="1">
        <v>168</v>
      </c>
      <c r="Q707" s="1" t="str">
        <f>IF(WEEKDAY(Bike_Sharing_Master6[[#This Row],[Dteday]],2)&gt;=6,"Weekend","Weekday")</f>
        <v>Weekday</v>
      </c>
      <c r="R707" s="1" t="str">
        <f xml:space="preserve"> IF(Bike_Sharing_Master6[[#This Row],[Hr]]&lt;6,"Late Night", IF(Bike_Sharing_Master6[[#This Row],[Hr]]&lt;10,"Morning Peak", IF(Bike_Sharing_Master6[[#This Row],[Hr]]&lt;17,"Daytime", IF(Bike_Sharing_Master6[[#This Row],[Hr]]&lt;21,"Evening Peak","Night"))))</f>
        <v>Evening Peak</v>
      </c>
      <c r="S707" s="1" t="str">
        <f>IF(Bike_Sharing_Master6[[#This Row],[Holiday]]=1,"Holiday","Non-Holiday")</f>
        <v>Non-Holiday</v>
      </c>
      <c r="T707" s="1" t="str">
        <f>IF(Bike_Sharing_Master6[[#This Row],[Cnt]]&lt;80,"Low",IF(Bike_Sharing_Master6[[#This Row],[Cnt]]&lt;160,"Medium","High"))</f>
        <v>High</v>
      </c>
      <c r="U707" s="1" t="str">
        <f>VLOOKUP(Bike_Sharing_Master6[[#This Row],[Weathersit]],[1]Lookup_Weather!A:B,2,FALSE)</f>
        <v>Mist</v>
      </c>
    </row>
    <row r="708" spans="1:21" x14ac:dyDescent="0.3">
      <c r="A708">
        <v>707</v>
      </c>
      <c r="B708" s="3">
        <v>40575</v>
      </c>
      <c r="C708" s="1">
        <v>1</v>
      </c>
      <c r="D708" s="1">
        <v>0</v>
      </c>
      <c r="E708" s="1">
        <v>2</v>
      </c>
      <c r="F708" s="1">
        <v>19</v>
      </c>
      <c r="G708" t="b">
        <v>0</v>
      </c>
      <c r="H708" s="1">
        <v>2</v>
      </c>
      <c r="I708" s="1">
        <v>2</v>
      </c>
      <c r="J708" s="2">
        <v>0.24</v>
      </c>
      <c r="K708" s="2">
        <v>0.2424</v>
      </c>
      <c r="L708" s="2">
        <v>0.81</v>
      </c>
      <c r="M708" s="2">
        <v>0.1343</v>
      </c>
      <c r="N708" s="1">
        <v>3</v>
      </c>
      <c r="O708" s="1">
        <v>105</v>
      </c>
      <c r="P708" s="1">
        <v>108</v>
      </c>
      <c r="Q708" s="1" t="str">
        <f>IF(WEEKDAY(Bike_Sharing_Master6[[#This Row],[Dteday]],2)&gt;=6,"Weekend","Weekday")</f>
        <v>Weekday</v>
      </c>
      <c r="R708" s="1" t="str">
        <f xml:space="preserve"> IF(Bike_Sharing_Master6[[#This Row],[Hr]]&lt;6,"Late Night", IF(Bike_Sharing_Master6[[#This Row],[Hr]]&lt;10,"Morning Peak", IF(Bike_Sharing_Master6[[#This Row],[Hr]]&lt;17,"Daytime", IF(Bike_Sharing_Master6[[#This Row],[Hr]]&lt;21,"Evening Peak","Night"))))</f>
        <v>Evening Peak</v>
      </c>
      <c r="S708" s="1" t="str">
        <f>IF(Bike_Sharing_Master6[[#This Row],[Holiday]]=1,"Holiday","Non-Holiday")</f>
        <v>Non-Holiday</v>
      </c>
      <c r="T708" s="1" t="str">
        <f>IF(Bike_Sharing_Master6[[#This Row],[Cnt]]&lt;80,"Low",IF(Bike_Sharing_Master6[[#This Row],[Cnt]]&lt;160,"Medium","High"))</f>
        <v>Medium</v>
      </c>
      <c r="U708" s="1" t="str">
        <f>VLOOKUP(Bike_Sharing_Master6[[#This Row],[Weathersit]],[1]Lookup_Weather!A:B,2,FALSE)</f>
        <v>Mist</v>
      </c>
    </row>
    <row r="709" spans="1:21" x14ac:dyDescent="0.3">
      <c r="A709">
        <v>708</v>
      </c>
      <c r="B709" s="3">
        <v>40575</v>
      </c>
      <c r="C709" s="1">
        <v>1</v>
      </c>
      <c r="D709" s="1">
        <v>0</v>
      </c>
      <c r="E709" s="1">
        <v>2</v>
      </c>
      <c r="F709" s="1">
        <v>20</v>
      </c>
      <c r="G709" t="b">
        <v>0</v>
      </c>
      <c r="H709" s="1">
        <v>2</v>
      </c>
      <c r="I709" s="1">
        <v>2</v>
      </c>
      <c r="J709" s="2">
        <v>0.22</v>
      </c>
      <c r="K709" s="2">
        <v>0.2273</v>
      </c>
      <c r="L709" s="2">
        <v>0.87</v>
      </c>
      <c r="M709" s="2">
        <v>0.1343</v>
      </c>
      <c r="N709" s="1">
        <v>5</v>
      </c>
      <c r="O709" s="1">
        <v>69</v>
      </c>
      <c r="P709" s="1">
        <v>74</v>
      </c>
      <c r="Q709" s="1" t="str">
        <f>IF(WEEKDAY(Bike_Sharing_Master6[[#This Row],[Dteday]],2)&gt;=6,"Weekend","Weekday")</f>
        <v>Weekday</v>
      </c>
      <c r="R709" s="1" t="str">
        <f xml:space="preserve"> IF(Bike_Sharing_Master6[[#This Row],[Hr]]&lt;6,"Late Night", IF(Bike_Sharing_Master6[[#This Row],[Hr]]&lt;10,"Morning Peak", IF(Bike_Sharing_Master6[[#This Row],[Hr]]&lt;17,"Daytime", IF(Bike_Sharing_Master6[[#This Row],[Hr]]&lt;21,"Evening Peak","Night"))))</f>
        <v>Evening Peak</v>
      </c>
      <c r="S709" s="1" t="str">
        <f>IF(Bike_Sharing_Master6[[#This Row],[Holiday]]=1,"Holiday","Non-Holiday")</f>
        <v>Non-Holiday</v>
      </c>
      <c r="T709" s="1" t="str">
        <f>IF(Bike_Sharing_Master6[[#This Row],[Cnt]]&lt;80,"Low",IF(Bike_Sharing_Master6[[#This Row],[Cnt]]&lt;160,"Medium","High"))</f>
        <v>Low</v>
      </c>
      <c r="U709" s="1" t="str">
        <f>VLOOKUP(Bike_Sharing_Master6[[#This Row],[Weathersit]],[1]Lookup_Weather!A:B,2,FALSE)</f>
        <v>Mist</v>
      </c>
    </row>
    <row r="710" spans="1:21" x14ac:dyDescent="0.3">
      <c r="A710">
        <v>709</v>
      </c>
      <c r="B710" s="3">
        <v>40575</v>
      </c>
      <c r="C710" s="1">
        <v>1</v>
      </c>
      <c r="D710" s="1">
        <v>0</v>
      </c>
      <c r="E710" s="1">
        <v>2</v>
      </c>
      <c r="F710" s="1">
        <v>21</v>
      </c>
      <c r="G710" t="b">
        <v>0</v>
      </c>
      <c r="H710" s="1">
        <v>2</v>
      </c>
      <c r="I710" s="1">
        <v>2</v>
      </c>
      <c r="J710" s="2">
        <v>0.22</v>
      </c>
      <c r="K710" s="2">
        <v>0.2273</v>
      </c>
      <c r="L710" s="2">
        <v>0.87</v>
      </c>
      <c r="M710" s="2">
        <v>0.1343</v>
      </c>
      <c r="N710" s="1">
        <v>0</v>
      </c>
      <c r="O710" s="1">
        <v>64</v>
      </c>
      <c r="P710" s="1">
        <v>64</v>
      </c>
      <c r="Q710" s="1" t="str">
        <f>IF(WEEKDAY(Bike_Sharing_Master6[[#This Row],[Dteday]],2)&gt;=6,"Weekend","Weekday")</f>
        <v>Weekday</v>
      </c>
      <c r="R710" s="1" t="str">
        <f xml:space="preserve"> IF(Bike_Sharing_Master6[[#This Row],[Hr]]&lt;6,"Late Night", IF(Bike_Sharing_Master6[[#This Row],[Hr]]&lt;10,"Morning Peak", IF(Bike_Sharing_Master6[[#This Row],[Hr]]&lt;17,"Daytime", IF(Bike_Sharing_Master6[[#This Row],[Hr]]&lt;21,"Evening Peak","Night"))))</f>
        <v>Night</v>
      </c>
      <c r="S710" s="1" t="str">
        <f>IF(Bike_Sharing_Master6[[#This Row],[Holiday]]=1,"Holiday","Non-Holiday")</f>
        <v>Non-Holiday</v>
      </c>
      <c r="T710" s="1" t="str">
        <f>IF(Bike_Sharing_Master6[[#This Row],[Cnt]]&lt;80,"Low",IF(Bike_Sharing_Master6[[#This Row],[Cnt]]&lt;160,"Medium","High"))</f>
        <v>Low</v>
      </c>
      <c r="U710" s="1" t="str">
        <f>VLOOKUP(Bike_Sharing_Master6[[#This Row],[Weathersit]],[1]Lookup_Weather!A:B,2,FALSE)</f>
        <v>Mist</v>
      </c>
    </row>
    <row r="711" spans="1:21" x14ac:dyDescent="0.3">
      <c r="A711">
        <v>710</v>
      </c>
      <c r="B711" s="3">
        <v>40575</v>
      </c>
      <c r="C711" s="1">
        <v>1</v>
      </c>
      <c r="D711" s="1">
        <v>0</v>
      </c>
      <c r="E711" s="1">
        <v>2</v>
      </c>
      <c r="F711" s="1">
        <v>22</v>
      </c>
      <c r="G711" t="b">
        <v>0</v>
      </c>
      <c r="H711" s="1">
        <v>2</v>
      </c>
      <c r="I711" s="1">
        <v>2</v>
      </c>
      <c r="J711" s="2">
        <v>0.22</v>
      </c>
      <c r="K711" s="2">
        <v>0.2576</v>
      </c>
      <c r="L711" s="2">
        <v>0.87</v>
      </c>
      <c r="M711" s="2">
        <v>8.9599999999999999E-2</v>
      </c>
      <c r="N711" s="1">
        <v>2</v>
      </c>
      <c r="O711" s="1">
        <v>34</v>
      </c>
      <c r="P711" s="1">
        <v>36</v>
      </c>
      <c r="Q711" s="1" t="str">
        <f>IF(WEEKDAY(Bike_Sharing_Master6[[#This Row],[Dteday]],2)&gt;=6,"Weekend","Weekday")</f>
        <v>Weekday</v>
      </c>
      <c r="R711" s="1" t="str">
        <f xml:space="preserve"> IF(Bike_Sharing_Master6[[#This Row],[Hr]]&lt;6,"Late Night", IF(Bike_Sharing_Master6[[#This Row],[Hr]]&lt;10,"Morning Peak", IF(Bike_Sharing_Master6[[#This Row],[Hr]]&lt;17,"Daytime", IF(Bike_Sharing_Master6[[#This Row],[Hr]]&lt;21,"Evening Peak","Night"))))</f>
        <v>Night</v>
      </c>
      <c r="S711" s="1" t="str">
        <f>IF(Bike_Sharing_Master6[[#This Row],[Holiday]]=1,"Holiday","Non-Holiday")</f>
        <v>Non-Holiday</v>
      </c>
      <c r="T711" s="1" t="str">
        <f>IF(Bike_Sharing_Master6[[#This Row],[Cnt]]&lt;80,"Low",IF(Bike_Sharing_Master6[[#This Row],[Cnt]]&lt;160,"Medium","High"))</f>
        <v>Low</v>
      </c>
      <c r="U711" s="1" t="str">
        <f>VLOOKUP(Bike_Sharing_Master6[[#This Row],[Weathersit]],[1]Lookup_Weather!A:B,2,FALSE)</f>
        <v>Mist</v>
      </c>
    </row>
    <row r="712" spans="1:21" x14ac:dyDescent="0.3">
      <c r="A712">
        <v>711</v>
      </c>
      <c r="B712" s="3">
        <v>40575</v>
      </c>
      <c r="C712" s="1">
        <v>1</v>
      </c>
      <c r="D712" s="1">
        <v>0</v>
      </c>
      <c r="E712" s="1">
        <v>2</v>
      </c>
      <c r="F712" s="1">
        <v>23</v>
      </c>
      <c r="G712" t="b">
        <v>0</v>
      </c>
      <c r="H712" s="1">
        <v>2</v>
      </c>
      <c r="I712" s="1">
        <v>3</v>
      </c>
      <c r="J712" s="2">
        <v>0.2</v>
      </c>
      <c r="K712" s="2">
        <v>0.19700000000000001</v>
      </c>
      <c r="L712" s="2">
        <v>0.93</v>
      </c>
      <c r="M712" s="2">
        <v>0.19400000000000001</v>
      </c>
      <c r="N712" s="1">
        <v>1</v>
      </c>
      <c r="O712" s="1">
        <v>15</v>
      </c>
      <c r="P712" s="1">
        <v>16</v>
      </c>
      <c r="Q712" s="1" t="str">
        <f>IF(WEEKDAY(Bike_Sharing_Master6[[#This Row],[Dteday]],2)&gt;=6,"Weekend","Weekday")</f>
        <v>Weekday</v>
      </c>
      <c r="R712" s="1" t="str">
        <f xml:space="preserve"> IF(Bike_Sharing_Master6[[#This Row],[Hr]]&lt;6,"Late Night", IF(Bike_Sharing_Master6[[#This Row],[Hr]]&lt;10,"Morning Peak", IF(Bike_Sharing_Master6[[#This Row],[Hr]]&lt;17,"Daytime", IF(Bike_Sharing_Master6[[#This Row],[Hr]]&lt;21,"Evening Peak","Night"))))</f>
        <v>Night</v>
      </c>
      <c r="S712" s="1" t="str">
        <f>IF(Bike_Sharing_Master6[[#This Row],[Holiday]]=1,"Holiday","Non-Holiday")</f>
        <v>Non-Holiday</v>
      </c>
      <c r="T712" s="1" t="str">
        <f>IF(Bike_Sharing_Master6[[#This Row],[Cnt]]&lt;80,"Low",IF(Bike_Sharing_Master6[[#This Row],[Cnt]]&lt;160,"Medium","High"))</f>
        <v>Low</v>
      </c>
      <c r="U712" s="1" t="str">
        <f>VLOOKUP(Bike_Sharing_Master6[[#This Row],[Weathersit]],[1]Lookup_Weather!A:B,2,FALSE)</f>
        <v>Light Rain</v>
      </c>
    </row>
    <row r="713" spans="1:21" x14ac:dyDescent="0.3">
      <c r="A713">
        <v>712</v>
      </c>
      <c r="B713" s="3">
        <v>40576</v>
      </c>
      <c r="C713" s="1">
        <v>1</v>
      </c>
      <c r="D713" s="1">
        <v>0</v>
      </c>
      <c r="E713" s="1">
        <v>2</v>
      </c>
      <c r="F713" s="1">
        <v>0</v>
      </c>
      <c r="G713" t="b">
        <v>0</v>
      </c>
      <c r="H713" s="1">
        <v>3</v>
      </c>
      <c r="I713" s="1">
        <v>3</v>
      </c>
      <c r="J713" s="2">
        <v>0.22</v>
      </c>
      <c r="K713" s="2">
        <v>0.2424</v>
      </c>
      <c r="L713" s="2">
        <v>0.93</v>
      </c>
      <c r="M713" s="2">
        <v>0.1045</v>
      </c>
      <c r="N713" s="1">
        <v>0</v>
      </c>
      <c r="O713" s="1">
        <v>2</v>
      </c>
      <c r="P713" s="1">
        <v>2</v>
      </c>
      <c r="Q713" s="1" t="str">
        <f>IF(WEEKDAY(Bike_Sharing_Master6[[#This Row],[Dteday]],2)&gt;=6,"Weekend","Weekday")</f>
        <v>Weekday</v>
      </c>
      <c r="R713" s="1" t="str">
        <f xml:space="preserve"> IF(Bike_Sharing_Master6[[#This Row],[Hr]]&lt;6,"Late Night", IF(Bike_Sharing_Master6[[#This Row],[Hr]]&lt;10,"Morning Peak", IF(Bike_Sharing_Master6[[#This Row],[Hr]]&lt;17,"Daytime", IF(Bike_Sharing_Master6[[#This Row],[Hr]]&lt;21,"Evening Peak","Night"))))</f>
        <v>Late Night</v>
      </c>
      <c r="S713" s="1" t="str">
        <f>IF(Bike_Sharing_Master6[[#This Row],[Holiday]]=1,"Holiday","Non-Holiday")</f>
        <v>Non-Holiday</v>
      </c>
      <c r="T713" s="1" t="str">
        <f>IF(Bike_Sharing_Master6[[#This Row],[Cnt]]&lt;80,"Low",IF(Bike_Sharing_Master6[[#This Row],[Cnt]]&lt;160,"Medium","High"))</f>
        <v>Low</v>
      </c>
      <c r="U713" s="1" t="str">
        <f>VLOOKUP(Bike_Sharing_Master6[[#This Row],[Weathersit]],[1]Lookup_Weather!A:B,2,FALSE)</f>
        <v>Light Rain</v>
      </c>
    </row>
    <row r="714" spans="1:21" x14ac:dyDescent="0.3">
      <c r="A714">
        <v>713</v>
      </c>
      <c r="B714" s="3">
        <v>40576</v>
      </c>
      <c r="C714" s="1">
        <v>1</v>
      </c>
      <c r="D714" s="1">
        <v>0</v>
      </c>
      <c r="E714" s="1">
        <v>2</v>
      </c>
      <c r="F714" s="1">
        <v>1</v>
      </c>
      <c r="G714" t="b">
        <v>0</v>
      </c>
      <c r="H714" s="1">
        <v>3</v>
      </c>
      <c r="I714" s="1">
        <v>3</v>
      </c>
      <c r="J714" s="2">
        <v>0.22</v>
      </c>
      <c r="K714" s="2">
        <v>0.2273</v>
      </c>
      <c r="L714" s="2">
        <v>0.93</v>
      </c>
      <c r="M714" s="2">
        <v>0.19400000000000001</v>
      </c>
      <c r="N714" s="1">
        <v>0</v>
      </c>
      <c r="O714" s="1">
        <v>3</v>
      </c>
      <c r="P714" s="1">
        <v>3</v>
      </c>
      <c r="Q714" s="1" t="str">
        <f>IF(WEEKDAY(Bike_Sharing_Master6[[#This Row],[Dteday]],2)&gt;=6,"Weekend","Weekday")</f>
        <v>Weekday</v>
      </c>
      <c r="R714" s="1" t="str">
        <f xml:space="preserve"> IF(Bike_Sharing_Master6[[#This Row],[Hr]]&lt;6,"Late Night", IF(Bike_Sharing_Master6[[#This Row],[Hr]]&lt;10,"Morning Peak", IF(Bike_Sharing_Master6[[#This Row],[Hr]]&lt;17,"Daytime", IF(Bike_Sharing_Master6[[#This Row],[Hr]]&lt;21,"Evening Peak","Night"))))</f>
        <v>Late Night</v>
      </c>
      <c r="S714" s="1" t="str">
        <f>IF(Bike_Sharing_Master6[[#This Row],[Holiday]]=1,"Holiday","Non-Holiday")</f>
        <v>Non-Holiday</v>
      </c>
      <c r="T714" s="1" t="str">
        <f>IF(Bike_Sharing_Master6[[#This Row],[Cnt]]&lt;80,"Low",IF(Bike_Sharing_Master6[[#This Row],[Cnt]]&lt;160,"Medium","High"))</f>
        <v>Low</v>
      </c>
      <c r="U714" s="1" t="str">
        <f>VLOOKUP(Bike_Sharing_Master6[[#This Row],[Weathersit]],[1]Lookup_Weather!A:B,2,FALSE)</f>
        <v>Light Rain</v>
      </c>
    </row>
    <row r="715" spans="1:21" x14ac:dyDescent="0.3">
      <c r="A715">
        <v>714</v>
      </c>
      <c r="B715" s="3">
        <v>40576</v>
      </c>
      <c r="C715" s="1">
        <v>1</v>
      </c>
      <c r="D715" s="1">
        <v>0</v>
      </c>
      <c r="E715" s="1">
        <v>2</v>
      </c>
      <c r="F715" s="1">
        <v>2</v>
      </c>
      <c r="G715" t="b">
        <v>0</v>
      </c>
      <c r="H715" s="1">
        <v>3</v>
      </c>
      <c r="I715" s="1">
        <v>3</v>
      </c>
      <c r="J715" s="2">
        <v>0.22</v>
      </c>
      <c r="K715" s="2">
        <v>0.2273</v>
      </c>
      <c r="L715" s="2">
        <v>0.93</v>
      </c>
      <c r="M715" s="2">
        <v>0.1343</v>
      </c>
      <c r="N715" s="1">
        <v>4</v>
      </c>
      <c r="O715" s="1">
        <v>0</v>
      </c>
      <c r="P715" s="1">
        <v>4</v>
      </c>
      <c r="Q715" s="1" t="str">
        <f>IF(WEEKDAY(Bike_Sharing_Master6[[#This Row],[Dteday]],2)&gt;=6,"Weekend","Weekday")</f>
        <v>Weekday</v>
      </c>
      <c r="R715" s="1" t="str">
        <f xml:space="preserve"> IF(Bike_Sharing_Master6[[#This Row],[Hr]]&lt;6,"Late Night", IF(Bike_Sharing_Master6[[#This Row],[Hr]]&lt;10,"Morning Peak", IF(Bike_Sharing_Master6[[#This Row],[Hr]]&lt;17,"Daytime", IF(Bike_Sharing_Master6[[#This Row],[Hr]]&lt;21,"Evening Peak","Night"))))</f>
        <v>Late Night</v>
      </c>
      <c r="S715" s="1" t="str">
        <f>IF(Bike_Sharing_Master6[[#This Row],[Holiday]]=1,"Holiday","Non-Holiday")</f>
        <v>Non-Holiday</v>
      </c>
      <c r="T715" s="1" t="str">
        <f>IF(Bike_Sharing_Master6[[#This Row],[Cnt]]&lt;80,"Low",IF(Bike_Sharing_Master6[[#This Row],[Cnt]]&lt;160,"Medium","High"))</f>
        <v>Low</v>
      </c>
      <c r="U715" s="1" t="str">
        <f>VLOOKUP(Bike_Sharing_Master6[[#This Row],[Weathersit]],[1]Lookup_Weather!A:B,2,FALSE)</f>
        <v>Light Rain</v>
      </c>
    </row>
    <row r="716" spans="1:21" x14ac:dyDescent="0.3">
      <c r="A716">
        <v>715</v>
      </c>
      <c r="B716" s="3">
        <v>40576</v>
      </c>
      <c r="C716" s="1">
        <v>1</v>
      </c>
      <c r="D716" s="1">
        <v>0</v>
      </c>
      <c r="E716" s="1">
        <v>2</v>
      </c>
      <c r="F716" s="1">
        <v>3</v>
      </c>
      <c r="G716" t="b">
        <v>0</v>
      </c>
      <c r="H716" s="1">
        <v>3</v>
      </c>
      <c r="I716" s="1">
        <v>3</v>
      </c>
      <c r="J716" s="2">
        <v>0.22</v>
      </c>
      <c r="K716" s="2">
        <v>0.2273</v>
      </c>
      <c r="L716" s="2">
        <v>0.93</v>
      </c>
      <c r="M716" s="2">
        <v>0.1343</v>
      </c>
      <c r="N716" s="1">
        <v>0</v>
      </c>
      <c r="O716" s="1">
        <v>1</v>
      </c>
      <c r="P716" s="1">
        <v>1</v>
      </c>
      <c r="Q716" s="1" t="str">
        <f>IF(WEEKDAY(Bike_Sharing_Master6[[#This Row],[Dteday]],2)&gt;=6,"Weekend","Weekday")</f>
        <v>Weekday</v>
      </c>
      <c r="R716" s="1" t="str">
        <f xml:space="preserve"> IF(Bike_Sharing_Master6[[#This Row],[Hr]]&lt;6,"Late Night", IF(Bike_Sharing_Master6[[#This Row],[Hr]]&lt;10,"Morning Peak", IF(Bike_Sharing_Master6[[#This Row],[Hr]]&lt;17,"Daytime", IF(Bike_Sharing_Master6[[#This Row],[Hr]]&lt;21,"Evening Peak","Night"))))</f>
        <v>Late Night</v>
      </c>
      <c r="S716" s="1" t="str">
        <f>IF(Bike_Sharing_Master6[[#This Row],[Holiday]]=1,"Holiday","Non-Holiday")</f>
        <v>Non-Holiday</v>
      </c>
      <c r="T716" s="1" t="str">
        <f>IF(Bike_Sharing_Master6[[#This Row],[Cnt]]&lt;80,"Low",IF(Bike_Sharing_Master6[[#This Row],[Cnt]]&lt;160,"Medium","High"))</f>
        <v>Low</v>
      </c>
      <c r="U716" s="1" t="str">
        <f>VLOOKUP(Bike_Sharing_Master6[[#This Row],[Weathersit]],[1]Lookup_Weather!A:B,2,FALSE)</f>
        <v>Light Rain</v>
      </c>
    </row>
    <row r="717" spans="1:21" x14ac:dyDescent="0.3">
      <c r="A717">
        <v>716</v>
      </c>
      <c r="B717" s="3">
        <v>40576</v>
      </c>
      <c r="C717" s="1">
        <v>1</v>
      </c>
      <c r="D717" s="1">
        <v>0</v>
      </c>
      <c r="E717" s="1">
        <v>2</v>
      </c>
      <c r="F717" s="1">
        <v>4</v>
      </c>
      <c r="G717" t="b">
        <v>0</v>
      </c>
      <c r="H717" s="1">
        <v>3</v>
      </c>
      <c r="I717" s="1">
        <v>3</v>
      </c>
      <c r="J717" s="2">
        <v>0.22</v>
      </c>
      <c r="K717" s="2">
        <v>0.21210000000000001</v>
      </c>
      <c r="L717" s="2">
        <v>0.93</v>
      </c>
      <c r="M717" s="2">
        <v>0.28360000000000002</v>
      </c>
      <c r="N717" s="1">
        <v>0</v>
      </c>
      <c r="O717" s="1">
        <v>1</v>
      </c>
      <c r="P717" s="1">
        <v>1</v>
      </c>
      <c r="Q717" s="1" t="str">
        <f>IF(WEEKDAY(Bike_Sharing_Master6[[#This Row],[Dteday]],2)&gt;=6,"Weekend","Weekday")</f>
        <v>Weekday</v>
      </c>
      <c r="R717" s="1" t="str">
        <f xml:space="preserve"> IF(Bike_Sharing_Master6[[#This Row],[Hr]]&lt;6,"Late Night", IF(Bike_Sharing_Master6[[#This Row],[Hr]]&lt;10,"Morning Peak", IF(Bike_Sharing_Master6[[#This Row],[Hr]]&lt;17,"Daytime", IF(Bike_Sharing_Master6[[#This Row],[Hr]]&lt;21,"Evening Peak","Night"))))</f>
        <v>Late Night</v>
      </c>
      <c r="S717" s="1" t="str">
        <f>IF(Bike_Sharing_Master6[[#This Row],[Holiday]]=1,"Holiday","Non-Holiday")</f>
        <v>Non-Holiday</v>
      </c>
      <c r="T717" s="1" t="str">
        <f>IF(Bike_Sharing_Master6[[#This Row],[Cnt]]&lt;80,"Low",IF(Bike_Sharing_Master6[[#This Row],[Cnt]]&lt;160,"Medium","High"))</f>
        <v>Low</v>
      </c>
      <c r="U717" s="1" t="str">
        <f>VLOOKUP(Bike_Sharing_Master6[[#This Row],[Weathersit]],[1]Lookup_Weather!A:B,2,FALSE)</f>
        <v>Light Rain</v>
      </c>
    </row>
    <row r="718" spans="1:21" x14ac:dyDescent="0.3">
      <c r="A718">
        <v>717</v>
      </c>
      <c r="B718" s="3">
        <v>40576</v>
      </c>
      <c r="C718" s="1">
        <v>1</v>
      </c>
      <c r="D718" s="1">
        <v>0</v>
      </c>
      <c r="E718" s="1">
        <v>2</v>
      </c>
      <c r="F718" s="1">
        <v>5</v>
      </c>
      <c r="G718" t="b">
        <v>0</v>
      </c>
      <c r="H718" s="1">
        <v>3</v>
      </c>
      <c r="I718" s="1">
        <v>3</v>
      </c>
      <c r="J718" s="2">
        <v>0.22</v>
      </c>
      <c r="K718" s="2">
        <v>0.2424</v>
      </c>
      <c r="L718" s="2">
        <v>0.93</v>
      </c>
      <c r="M718" s="2">
        <v>0.1045</v>
      </c>
      <c r="N718" s="1">
        <v>0</v>
      </c>
      <c r="O718" s="1">
        <v>3</v>
      </c>
      <c r="P718" s="1">
        <v>3</v>
      </c>
      <c r="Q718" s="1" t="str">
        <f>IF(WEEKDAY(Bike_Sharing_Master6[[#This Row],[Dteday]],2)&gt;=6,"Weekend","Weekday")</f>
        <v>Weekday</v>
      </c>
      <c r="R718" s="1" t="str">
        <f xml:space="preserve"> IF(Bike_Sharing_Master6[[#This Row],[Hr]]&lt;6,"Late Night", IF(Bike_Sharing_Master6[[#This Row],[Hr]]&lt;10,"Morning Peak", IF(Bike_Sharing_Master6[[#This Row],[Hr]]&lt;17,"Daytime", IF(Bike_Sharing_Master6[[#This Row],[Hr]]&lt;21,"Evening Peak","Night"))))</f>
        <v>Late Night</v>
      </c>
      <c r="S718" s="1" t="str">
        <f>IF(Bike_Sharing_Master6[[#This Row],[Holiday]]=1,"Holiday","Non-Holiday")</f>
        <v>Non-Holiday</v>
      </c>
      <c r="T718" s="1" t="str">
        <f>IF(Bike_Sharing_Master6[[#This Row],[Cnt]]&lt;80,"Low",IF(Bike_Sharing_Master6[[#This Row],[Cnt]]&lt;160,"Medium","High"))</f>
        <v>Low</v>
      </c>
      <c r="U718" s="1" t="str">
        <f>VLOOKUP(Bike_Sharing_Master6[[#This Row],[Weathersit]],[1]Lookup_Weather!A:B,2,FALSE)</f>
        <v>Light Rain</v>
      </c>
    </row>
    <row r="719" spans="1:21" x14ac:dyDescent="0.3">
      <c r="A719">
        <v>718</v>
      </c>
      <c r="B719" s="3">
        <v>40576</v>
      </c>
      <c r="C719" s="1">
        <v>1</v>
      </c>
      <c r="D719" s="1">
        <v>0</v>
      </c>
      <c r="E719" s="1">
        <v>2</v>
      </c>
      <c r="F719" s="1">
        <v>6</v>
      </c>
      <c r="G719" t="b">
        <v>0</v>
      </c>
      <c r="H719" s="1">
        <v>3</v>
      </c>
      <c r="I719" s="1">
        <v>3</v>
      </c>
      <c r="J719" s="2">
        <v>0.22</v>
      </c>
      <c r="K719" s="2">
        <v>0.2424</v>
      </c>
      <c r="L719" s="2">
        <v>0.93</v>
      </c>
      <c r="M719" s="2">
        <v>0.1045</v>
      </c>
      <c r="N719" s="1">
        <v>1</v>
      </c>
      <c r="O719" s="1">
        <v>17</v>
      </c>
      <c r="P719" s="1">
        <v>18</v>
      </c>
      <c r="Q719" s="1" t="str">
        <f>IF(WEEKDAY(Bike_Sharing_Master6[[#This Row],[Dteday]],2)&gt;=6,"Weekend","Weekday")</f>
        <v>Weekday</v>
      </c>
      <c r="R719" s="1" t="str">
        <f xml:space="preserve"> IF(Bike_Sharing_Master6[[#This Row],[Hr]]&lt;6,"Late Night", IF(Bike_Sharing_Master6[[#This Row],[Hr]]&lt;10,"Morning Peak", IF(Bike_Sharing_Master6[[#This Row],[Hr]]&lt;17,"Daytime", IF(Bike_Sharing_Master6[[#This Row],[Hr]]&lt;21,"Evening Peak","Night"))))</f>
        <v>Morning Peak</v>
      </c>
      <c r="S719" s="1" t="str">
        <f>IF(Bike_Sharing_Master6[[#This Row],[Holiday]]=1,"Holiday","Non-Holiday")</f>
        <v>Non-Holiday</v>
      </c>
      <c r="T719" s="1" t="str">
        <f>IF(Bike_Sharing_Master6[[#This Row],[Cnt]]&lt;80,"Low",IF(Bike_Sharing_Master6[[#This Row],[Cnt]]&lt;160,"Medium","High"))</f>
        <v>Low</v>
      </c>
      <c r="U719" s="1" t="str">
        <f>VLOOKUP(Bike_Sharing_Master6[[#This Row],[Weathersit]],[1]Lookup_Weather!A:B,2,FALSE)</f>
        <v>Light Rain</v>
      </c>
    </row>
    <row r="720" spans="1:21" x14ac:dyDescent="0.3">
      <c r="A720">
        <v>719</v>
      </c>
      <c r="B720" s="3">
        <v>40576</v>
      </c>
      <c r="C720" s="1">
        <v>1</v>
      </c>
      <c r="D720" s="1">
        <v>0</v>
      </c>
      <c r="E720" s="1">
        <v>2</v>
      </c>
      <c r="F720" s="1">
        <v>7</v>
      </c>
      <c r="G720" t="b">
        <v>0</v>
      </c>
      <c r="H720" s="1">
        <v>3</v>
      </c>
      <c r="I720" s="1">
        <v>3</v>
      </c>
      <c r="J720" s="2">
        <v>0.22</v>
      </c>
      <c r="K720" s="2">
        <v>0.21210000000000001</v>
      </c>
      <c r="L720" s="2">
        <v>0.93</v>
      </c>
      <c r="M720" s="2">
        <v>0.22389999999999999</v>
      </c>
      <c r="N720" s="1">
        <v>1</v>
      </c>
      <c r="O720" s="1">
        <v>48</v>
      </c>
      <c r="P720" s="1">
        <v>49</v>
      </c>
      <c r="Q720" s="1" t="str">
        <f>IF(WEEKDAY(Bike_Sharing_Master6[[#This Row],[Dteday]],2)&gt;=6,"Weekend","Weekday")</f>
        <v>Weekday</v>
      </c>
      <c r="R720" s="1" t="str">
        <f xml:space="preserve"> IF(Bike_Sharing_Master6[[#This Row],[Hr]]&lt;6,"Late Night", IF(Bike_Sharing_Master6[[#This Row],[Hr]]&lt;10,"Morning Peak", IF(Bike_Sharing_Master6[[#This Row],[Hr]]&lt;17,"Daytime", IF(Bike_Sharing_Master6[[#This Row],[Hr]]&lt;21,"Evening Peak","Night"))))</f>
        <v>Morning Peak</v>
      </c>
      <c r="S720" s="1" t="str">
        <f>IF(Bike_Sharing_Master6[[#This Row],[Holiday]]=1,"Holiday","Non-Holiday")</f>
        <v>Non-Holiday</v>
      </c>
      <c r="T720" s="1" t="str">
        <f>IF(Bike_Sharing_Master6[[#This Row],[Cnt]]&lt;80,"Low",IF(Bike_Sharing_Master6[[#This Row],[Cnt]]&lt;160,"Medium","High"))</f>
        <v>Low</v>
      </c>
      <c r="U720" s="1" t="str">
        <f>VLOOKUP(Bike_Sharing_Master6[[#This Row],[Weathersit]],[1]Lookup_Weather!A:B,2,FALSE)</f>
        <v>Light Rain</v>
      </c>
    </row>
    <row r="721" spans="1:21" x14ac:dyDescent="0.3">
      <c r="A721">
        <v>720</v>
      </c>
      <c r="B721" s="3">
        <v>40576</v>
      </c>
      <c r="C721" s="1">
        <v>1</v>
      </c>
      <c r="D721" s="1">
        <v>0</v>
      </c>
      <c r="E721" s="1">
        <v>2</v>
      </c>
      <c r="F721" s="1">
        <v>8</v>
      </c>
      <c r="G721" t="b">
        <v>0</v>
      </c>
      <c r="H721" s="1">
        <v>3</v>
      </c>
      <c r="I721" s="1">
        <v>3</v>
      </c>
      <c r="J721" s="2">
        <v>0.22</v>
      </c>
      <c r="K721" s="2">
        <v>0.21210000000000001</v>
      </c>
      <c r="L721" s="2">
        <v>0.93</v>
      </c>
      <c r="M721" s="2">
        <v>0.22389999999999999</v>
      </c>
      <c r="N721" s="1">
        <v>1</v>
      </c>
      <c r="O721" s="1">
        <v>154</v>
      </c>
      <c r="P721" s="1">
        <v>155</v>
      </c>
      <c r="Q721" s="1" t="str">
        <f>IF(WEEKDAY(Bike_Sharing_Master6[[#This Row],[Dteday]],2)&gt;=6,"Weekend","Weekday")</f>
        <v>Weekday</v>
      </c>
      <c r="R721" s="1" t="str">
        <f xml:space="preserve"> IF(Bike_Sharing_Master6[[#This Row],[Hr]]&lt;6,"Late Night", IF(Bike_Sharing_Master6[[#This Row],[Hr]]&lt;10,"Morning Peak", IF(Bike_Sharing_Master6[[#This Row],[Hr]]&lt;17,"Daytime", IF(Bike_Sharing_Master6[[#This Row],[Hr]]&lt;21,"Evening Peak","Night"))))</f>
        <v>Morning Peak</v>
      </c>
      <c r="S721" s="1" t="str">
        <f>IF(Bike_Sharing_Master6[[#This Row],[Holiday]]=1,"Holiday","Non-Holiday")</f>
        <v>Non-Holiday</v>
      </c>
      <c r="T721" s="1" t="str">
        <f>IF(Bike_Sharing_Master6[[#This Row],[Cnt]]&lt;80,"Low",IF(Bike_Sharing_Master6[[#This Row],[Cnt]]&lt;160,"Medium","High"))</f>
        <v>Medium</v>
      </c>
      <c r="U721" s="1" t="str">
        <f>VLOOKUP(Bike_Sharing_Master6[[#This Row],[Weathersit]],[1]Lookup_Weather!A:B,2,FALSE)</f>
        <v>Light Rain</v>
      </c>
    </row>
    <row r="722" spans="1:21" x14ac:dyDescent="0.3">
      <c r="A722">
        <v>721</v>
      </c>
      <c r="B722" s="3">
        <v>40576</v>
      </c>
      <c r="C722" s="1">
        <v>1</v>
      </c>
      <c r="D722" s="1">
        <v>0</v>
      </c>
      <c r="E722" s="1">
        <v>2</v>
      </c>
      <c r="F722" s="1">
        <v>9</v>
      </c>
      <c r="G722" t="b">
        <v>0</v>
      </c>
      <c r="H722" s="1">
        <v>3</v>
      </c>
      <c r="I722" s="1">
        <v>2</v>
      </c>
      <c r="J722" s="2">
        <v>0.24</v>
      </c>
      <c r="K722" s="2">
        <v>0.2576</v>
      </c>
      <c r="L722" s="2">
        <v>0.93</v>
      </c>
      <c r="M722" s="2">
        <v>8.9599999999999999E-2</v>
      </c>
      <c r="N722" s="1">
        <v>4</v>
      </c>
      <c r="O722" s="1">
        <v>119</v>
      </c>
      <c r="P722" s="1">
        <v>123</v>
      </c>
      <c r="Q722" s="1" t="str">
        <f>IF(WEEKDAY(Bike_Sharing_Master6[[#This Row],[Dteday]],2)&gt;=6,"Weekend","Weekday")</f>
        <v>Weekday</v>
      </c>
      <c r="R722" s="1" t="str">
        <f xml:space="preserve"> IF(Bike_Sharing_Master6[[#This Row],[Hr]]&lt;6,"Late Night", IF(Bike_Sharing_Master6[[#This Row],[Hr]]&lt;10,"Morning Peak", IF(Bike_Sharing_Master6[[#This Row],[Hr]]&lt;17,"Daytime", IF(Bike_Sharing_Master6[[#This Row],[Hr]]&lt;21,"Evening Peak","Night"))))</f>
        <v>Morning Peak</v>
      </c>
      <c r="S722" s="1" t="str">
        <f>IF(Bike_Sharing_Master6[[#This Row],[Holiday]]=1,"Holiday","Non-Holiday")</f>
        <v>Non-Holiday</v>
      </c>
      <c r="T722" s="1" t="str">
        <f>IF(Bike_Sharing_Master6[[#This Row],[Cnt]]&lt;80,"Low",IF(Bike_Sharing_Master6[[#This Row],[Cnt]]&lt;160,"Medium","High"))</f>
        <v>Medium</v>
      </c>
      <c r="U722" s="1" t="str">
        <f>VLOOKUP(Bike_Sharing_Master6[[#This Row],[Weathersit]],[1]Lookup_Weather!A:B,2,FALSE)</f>
        <v>Mist</v>
      </c>
    </row>
    <row r="723" spans="1:21" x14ac:dyDescent="0.3">
      <c r="A723">
        <v>722</v>
      </c>
      <c r="B723" s="3">
        <v>40576</v>
      </c>
      <c r="C723" s="1">
        <v>1</v>
      </c>
      <c r="D723" s="1">
        <v>0</v>
      </c>
      <c r="E723" s="1">
        <v>2</v>
      </c>
      <c r="F723" s="1">
        <v>10</v>
      </c>
      <c r="G723" t="b">
        <v>0</v>
      </c>
      <c r="H723" s="1">
        <v>3</v>
      </c>
      <c r="I723" s="1">
        <v>2</v>
      </c>
      <c r="J723" s="2">
        <v>0.22</v>
      </c>
      <c r="K723" s="2">
        <v>0.2727</v>
      </c>
      <c r="L723" s="2">
        <v>1</v>
      </c>
      <c r="M723" s="2">
        <v>0</v>
      </c>
      <c r="N723" s="1">
        <v>2</v>
      </c>
      <c r="O723" s="1">
        <v>59</v>
      </c>
      <c r="P723" s="1">
        <v>61</v>
      </c>
      <c r="Q723" s="1" t="str">
        <f>IF(WEEKDAY(Bike_Sharing_Master6[[#This Row],[Dteday]],2)&gt;=6,"Weekend","Weekday")</f>
        <v>Weekday</v>
      </c>
      <c r="R723" s="1" t="str">
        <f xml:space="preserve"> IF(Bike_Sharing_Master6[[#This Row],[Hr]]&lt;6,"Late Night", IF(Bike_Sharing_Master6[[#This Row],[Hr]]&lt;10,"Morning Peak", IF(Bike_Sharing_Master6[[#This Row],[Hr]]&lt;17,"Daytime", IF(Bike_Sharing_Master6[[#This Row],[Hr]]&lt;21,"Evening Peak","Night"))))</f>
        <v>Daytime</v>
      </c>
      <c r="S723" s="1" t="str">
        <f>IF(Bike_Sharing_Master6[[#This Row],[Holiday]]=1,"Holiday","Non-Holiday")</f>
        <v>Non-Holiday</v>
      </c>
      <c r="T723" s="1" t="str">
        <f>IF(Bike_Sharing_Master6[[#This Row],[Cnt]]&lt;80,"Low",IF(Bike_Sharing_Master6[[#This Row],[Cnt]]&lt;160,"Medium","High"))</f>
        <v>Low</v>
      </c>
      <c r="U723" s="1" t="str">
        <f>VLOOKUP(Bike_Sharing_Master6[[#This Row],[Weathersit]],[1]Lookup_Weather!A:B,2,FALSE)</f>
        <v>Mist</v>
      </c>
    </row>
    <row r="724" spans="1:21" x14ac:dyDescent="0.3">
      <c r="A724">
        <v>723</v>
      </c>
      <c r="B724" s="3">
        <v>40576</v>
      </c>
      <c r="C724" s="1">
        <v>1</v>
      </c>
      <c r="D724" s="1">
        <v>0</v>
      </c>
      <c r="E724" s="1">
        <v>2</v>
      </c>
      <c r="F724" s="1">
        <v>11</v>
      </c>
      <c r="G724" t="b">
        <v>0</v>
      </c>
      <c r="H724" s="1">
        <v>3</v>
      </c>
      <c r="I724" s="1">
        <v>2</v>
      </c>
      <c r="J724" s="2">
        <v>0.24</v>
      </c>
      <c r="K724" s="2">
        <v>0.2273</v>
      </c>
      <c r="L724" s="2">
        <v>0.93</v>
      </c>
      <c r="M724" s="2">
        <v>0.19400000000000001</v>
      </c>
      <c r="N724" s="1">
        <v>5</v>
      </c>
      <c r="O724" s="1">
        <v>47</v>
      </c>
      <c r="P724" s="1">
        <v>52</v>
      </c>
      <c r="Q724" s="1" t="str">
        <f>IF(WEEKDAY(Bike_Sharing_Master6[[#This Row],[Dteday]],2)&gt;=6,"Weekend","Weekday")</f>
        <v>Weekday</v>
      </c>
      <c r="R724" s="1" t="str">
        <f xml:space="preserve"> IF(Bike_Sharing_Master6[[#This Row],[Hr]]&lt;6,"Late Night", IF(Bike_Sharing_Master6[[#This Row],[Hr]]&lt;10,"Morning Peak", IF(Bike_Sharing_Master6[[#This Row],[Hr]]&lt;17,"Daytime", IF(Bike_Sharing_Master6[[#This Row],[Hr]]&lt;21,"Evening Peak","Night"))))</f>
        <v>Daytime</v>
      </c>
      <c r="S724" s="1" t="str">
        <f>IF(Bike_Sharing_Master6[[#This Row],[Holiday]]=1,"Holiday","Non-Holiday")</f>
        <v>Non-Holiday</v>
      </c>
      <c r="T724" s="1" t="str">
        <f>IF(Bike_Sharing_Master6[[#This Row],[Cnt]]&lt;80,"Low",IF(Bike_Sharing_Master6[[#This Row],[Cnt]]&lt;160,"Medium","High"))</f>
        <v>Low</v>
      </c>
      <c r="U724" s="1" t="str">
        <f>VLOOKUP(Bike_Sharing_Master6[[#This Row],[Weathersit]],[1]Lookup_Weather!A:B,2,FALSE)</f>
        <v>Mist</v>
      </c>
    </row>
    <row r="725" spans="1:21" x14ac:dyDescent="0.3">
      <c r="A725">
        <v>724</v>
      </c>
      <c r="B725" s="3">
        <v>40576</v>
      </c>
      <c r="C725" s="1">
        <v>1</v>
      </c>
      <c r="D725" s="1">
        <v>0</v>
      </c>
      <c r="E725" s="1">
        <v>2</v>
      </c>
      <c r="F725" s="1">
        <v>12</v>
      </c>
      <c r="G725" t="b">
        <v>0</v>
      </c>
      <c r="H725" s="1">
        <v>3</v>
      </c>
      <c r="I725" s="1">
        <v>2</v>
      </c>
      <c r="J725" s="2">
        <v>0.24</v>
      </c>
      <c r="K725" s="2">
        <v>0.2273</v>
      </c>
      <c r="L725" s="2">
        <v>0.93</v>
      </c>
      <c r="M725" s="2">
        <v>0.22389999999999999</v>
      </c>
      <c r="N725" s="1">
        <v>3</v>
      </c>
      <c r="O725" s="1">
        <v>61</v>
      </c>
      <c r="P725" s="1">
        <v>64</v>
      </c>
      <c r="Q725" s="1" t="str">
        <f>IF(WEEKDAY(Bike_Sharing_Master6[[#This Row],[Dteday]],2)&gt;=6,"Weekend","Weekday")</f>
        <v>Weekday</v>
      </c>
      <c r="R725" s="1" t="str">
        <f xml:space="preserve"> IF(Bike_Sharing_Master6[[#This Row],[Hr]]&lt;6,"Late Night", IF(Bike_Sharing_Master6[[#This Row],[Hr]]&lt;10,"Morning Peak", IF(Bike_Sharing_Master6[[#This Row],[Hr]]&lt;17,"Daytime", IF(Bike_Sharing_Master6[[#This Row],[Hr]]&lt;21,"Evening Peak","Night"))))</f>
        <v>Daytime</v>
      </c>
      <c r="S725" s="1" t="str">
        <f>IF(Bike_Sharing_Master6[[#This Row],[Holiday]]=1,"Holiday","Non-Holiday")</f>
        <v>Non-Holiday</v>
      </c>
      <c r="T725" s="1" t="str">
        <f>IF(Bike_Sharing_Master6[[#This Row],[Cnt]]&lt;80,"Low",IF(Bike_Sharing_Master6[[#This Row],[Cnt]]&lt;160,"Medium","High"))</f>
        <v>Low</v>
      </c>
      <c r="U725" s="1" t="str">
        <f>VLOOKUP(Bike_Sharing_Master6[[#This Row],[Weathersit]],[1]Lookup_Weather!A:B,2,FALSE)</f>
        <v>Mist</v>
      </c>
    </row>
    <row r="726" spans="1:21" x14ac:dyDescent="0.3">
      <c r="A726">
        <v>725</v>
      </c>
      <c r="B726" s="3">
        <v>40576</v>
      </c>
      <c r="C726" s="1">
        <v>1</v>
      </c>
      <c r="D726" s="1">
        <v>0</v>
      </c>
      <c r="E726" s="1">
        <v>2</v>
      </c>
      <c r="F726" s="1">
        <v>13</v>
      </c>
      <c r="G726" t="b">
        <v>0</v>
      </c>
      <c r="H726" s="1">
        <v>3</v>
      </c>
      <c r="I726" s="1">
        <v>1</v>
      </c>
      <c r="J726" s="2">
        <v>0.34</v>
      </c>
      <c r="K726" s="2">
        <v>0.33329999999999999</v>
      </c>
      <c r="L726" s="2">
        <v>0.93</v>
      </c>
      <c r="M726" s="2">
        <v>0.16420000000000001</v>
      </c>
      <c r="N726" s="1">
        <v>1</v>
      </c>
      <c r="O726" s="1">
        <v>74</v>
      </c>
      <c r="P726" s="1">
        <v>75</v>
      </c>
      <c r="Q726" s="1" t="str">
        <f>IF(WEEKDAY(Bike_Sharing_Master6[[#This Row],[Dteday]],2)&gt;=6,"Weekend","Weekday")</f>
        <v>Weekday</v>
      </c>
      <c r="R726" s="1" t="str">
        <f xml:space="preserve"> IF(Bike_Sharing_Master6[[#This Row],[Hr]]&lt;6,"Late Night", IF(Bike_Sharing_Master6[[#This Row],[Hr]]&lt;10,"Morning Peak", IF(Bike_Sharing_Master6[[#This Row],[Hr]]&lt;17,"Daytime", IF(Bike_Sharing_Master6[[#This Row],[Hr]]&lt;21,"Evening Peak","Night"))))</f>
        <v>Daytime</v>
      </c>
      <c r="S726" s="1" t="str">
        <f>IF(Bike_Sharing_Master6[[#This Row],[Holiday]]=1,"Holiday","Non-Holiday")</f>
        <v>Non-Holiday</v>
      </c>
      <c r="T726" s="1" t="str">
        <f>IF(Bike_Sharing_Master6[[#This Row],[Cnt]]&lt;80,"Low",IF(Bike_Sharing_Master6[[#This Row],[Cnt]]&lt;160,"Medium","High"))</f>
        <v>Low</v>
      </c>
      <c r="U726" s="1" t="str">
        <f>VLOOKUP(Bike_Sharing_Master6[[#This Row],[Weathersit]],[1]Lookup_Weather!A:B,2,FALSE)</f>
        <v>Clear</v>
      </c>
    </row>
    <row r="727" spans="1:21" x14ac:dyDescent="0.3">
      <c r="A727">
        <v>726</v>
      </c>
      <c r="B727" s="3">
        <v>40576</v>
      </c>
      <c r="C727" s="1">
        <v>1</v>
      </c>
      <c r="D727" s="1">
        <v>0</v>
      </c>
      <c r="E727" s="1">
        <v>2</v>
      </c>
      <c r="F727" s="1">
        <v>14</v>
      </c>
      <c r="G727" t="b">
        <v>0</v>
      </c>
      <c r="H727" s="1">
        <v>3</v>
      </c>
      <c r="I727" s="1">
        <v>1</v>
      </c>
      <c r="J727" s="2">
        <v>0.38</v>
      </c>
      <c r="K727" s="2">
        <v>0.39389999999999997</v>
      </c>
      <c r="L727" s="2">
        <v>0.82</v>
      </c>
      <c r="M727" s="2">
        <v>0.3881</v>
      </c>
      <c r="N727" s="1">
        <v>2</v>
      </c>
      <c r="O727" s="1">
        <v>61</v>
      </c>
      <c r="P727" s="1">
        <v>63</v>
      </c>
      <c r="Q727" s="1" t="str">
        <f>IF(WEEKDAY(Bike_Sharing_Master6[[#This Row],[Dteday]],2)&gt;=6,"Weekend","Weekday")</f>
        <v>Weekday</v>
      </c>
      <c r="R727" s="1" t="str">
        <f xml:space="preserve"> IF(Bike_Sharing_Master6[[#This Row],[Hr]]&lt;6,"Late Night", IF(Bike_Sharing_Master6[[#This Row],[Hr]]&lt;10,"Morning Peak", IF(Bike_Sharing_Master6[[#This Row],[Hr]]&lt;17,"Daytime", IF(Bike_Sharing_Master6[[#This Row],[Hr]]&lt;21,"Evening Peak","Night"))))</f>
        <v>Daytime</v>
      </c>
      <c r="S727" s="1" t="str">
        <f>IF(Bike_Sharing_Master6[[#This Row],[Holiday]]=1,"Holiday","Non-Holiday")</f>
        <v>Non-Holiday</v>
      </c>
      <c r="T727" s="1" t="str">
        <f>IF(Bike_Sharing_Master6[[#This Row],[Cnt]]&lt;80,"Low",IF(Bike_Sharing_Master6[[#This Row],[Cnt]]&lt;160,"Medium","High"))</f>
        <v>Low</v>
      </c>
      <c r="U727" s="1" t="str">
        <f>VLOOKUP(Bike_Sharing_Master6[[#This Row],[Weathersit]],[1]Lookup_Weather!A:B,2,FALSE)</f>
        <v>Clear</v>
      </c>
    </row>
    <row r="728" spans="1:21" x14ac:dyDescent="0.3">
      <c r="A728">
        <v>727</v>
      </c>
      <c r="B728" s="3">
        <v>40576</v>
      </c>
      <c r="C728" s="1">
        <v>1</v>
      </c>
      <c r="D728" s="1">
        <v>0</v>
      </c>
      <c r="E728" s="1">
        <v>2</v>
      </c>
      <c r="F728" s="1">
        <v>15</v>
      </c>
      <c r="G728" t="b">
        <v>0</v>
      </c>
      <c r="H728" s="1">
        <v>3</v>
      </c>
      <c r="I728" s="1">
        <v>1</v>
      </c>
      <c r="J728" s="2">
        <v>0.38</v>
      </c>
      <c r="K728" s="2">
        <v>0.39389999999999997</v>
      </c>
      <c r="L728" s="2">
        <v>0.76</v>
      </c>
      <c r="M728" s="2">
        <v>0.32840000000000003</v>
      </c>
      <c r="N728" s="1">
        <v>10</v>
      </c>
      <c r="O728" s="1">
        <v>66</v>
      </c>
      <c r="P728" s="1">
        <v>76</v>
      </c>
      <c r="Q728" s="1" t="str">
        <f>IF(WEEKDAY(Bike_Sharing_Master6[[#This Row],[Dteday]],2)&gt;=6,"Weekend","Weekday")</f>
        <v>Weekday</v>
      </c>
      <c r="R728" s="1" t="str">
        <f xml:space="preserve"> IF(Bike_Sharing_Master6[[#This Row],[Hr]]&lt;6,"Late Night", IF(Bike_Sharing_Master6[[#This Row],[Hr]]&lt;10,"Morning Peak", IF(Bike_Sharing_Master6[[#This Row],[Hr]]&lt;17,"Daytime", IF(Bike_Sharing_Master6[[#This Row],[Hr]]&lt;21,"Evening Peak","Night"))))</f>
        <v>Daytime</v>
      </c>
      <c r="S728" s="1" t="str">
        <f>IF(Bike_Sharing_Master6[[#This Row],[Holiday]]=1,"Holiday","Non-Holiday")</f>
        <v>Non-Holiday</v>
      </c>
      <c r="T728" s="1" t="str">
        <f>IF(Bike_Sharing_Master6[[#This Row],[Cnt]]&lt;80,"Low",IF(Bike_Sharing_Master6[[#This Row],[Cnt]]&lt;160,"Medium","High"))</f>
        <v>Low</v>
      </c>
      <c r="U728" s="1" t="str">
        <f>VLOOKUP(Bike_Sharing_Master6[[#This Row],[Weathersit]],[1]Lookup_Weather!A:B,2,FALSE)</f>
        <v>Clear</v>
      </c>
    </row>
    <row r="729" spans="1:21" x14ac:dyDescent="0.3">
      <c r="A729">
        <v>728</v>
      </c>
      <c r="B729" s="3">
        <v>40576</v>
      </c>
      <c r="C729" s="1">
        <v>1</v>
      </c>
      <c r="D729" s="1">
        <v>0</v>
      </c>
      <c r="E729" s="1">
        <v>2</v>
      </c>
      <c r="F729" s="1">
        <v>16</v>
      </c>
      <c r="G729" t="b">
        <v>0</v>
      </c>
      <c r="H729" s="1">
        <v>3</v>
      </c>
      <c r="I729" s="1">
        <v>1</v>
      </c>
      <c r="J729" s="2">
        <v>0.36</v>
      </c>
      <c r="K729" s="2">
        <v>0.33329999999999999</v>
      </c>
      <c r="L729" s="2">
        <v>0.71</v>
      </c>
      <c r="M729" s="2">
        <v>0.29849999999999999</v>
      </c>
      <c r="N729" s="1">
        <v>8</v>
      </c>
      <c r="O729" s="1">
        <v>95</v>
      </c>
      <c r="P729" s="1">
        <v>103</v>
      </c>
      <c r="Q729" s="1" t="str">
        <f>IF(WEEKDAY(Bike_Sharing_Master6[[#This Row],[Dteday]],2)&gt;=6,"Weekend","Weekday")</f>
        <v>Weekday</v>
      </c>
      <c r="R729" s="1" t="str">
        <f xml:space="preserve"> IF(Bike_Sharing_Master6[[#This Row],[Hr]]&lt;6,"Late Night", IF(Bike_Sharing_Master6[[#This Row],[Hr]]&lt;10,"Morning Peak", IF(Bike_Sharing_Master6[[#This Row],[Hr]]&lt;17,"Daytime", IF(Bike_Sharing_Master6[[#This Row],[Hr]]&lt;21,"Evening Peak","Night"))))</f>
        <v>Daytime</v>
      </c>
      <c r="S729" s="1" t="str">
        <f>IF(Bike_Sharing_Master6[[#This Row],[Holiday]]=1,"Holiday","Non-Holiday")</f>
        <v>Non-Holiday</v>
      </c>
      <c r="T729" s="1" t="str">
        <f>IF(Bike_Sharing_Master6[[#This Row],[Cnt]]&lt;80,"Low",IF(Bike_Sharing_Master6[[#This Row],[Cnt]]&lt;160,"Medium","High"))</f>
        <v>Medium</v>
      </c>
      <c r="U729" s="1" t="str">
        <f>VLOOKUP(Bike_Sharing_Master6[[#This Row],[Weathersit]],[1]Lookup_Weather!A:B,2,FALSE)</f>
        <v>Clear</v>
      </c>
    </row>
    <row r="730" spans="1:21" x14ac:dyDescent="0.3">
      <c r="A730">
        <v>729</v>
      </c>
      <c r="B730" s="3">
        <v>40576</v>
      </c>
      <c r="C730" s="1">
        <v>1</v>
      </c>
      <c r="D730" s="1">
        <v>0</v>
      </c>
      <c r="E730" s="1">
        <v>2</v>
      </c>
      <c r="F730" s="1">
        <v>17</v>
      </c>
      <c r="G730" t="b">
        <v>0</v>
      </c>
      <c r="H730" s="1">
        <v>3</v>
      </c>
      <c r="I730" s="1">
        <v>1</v>
      </c>
      <c r="J730" s="2">
        <v>0.36</v>
      </c>
      <c r="K730" s="2">
        <v>0.31819999999999998</v>
      </c>
      <c r="L730" s="2">
        <v>0.53</v>
      </c>
      <c r="M730" s="2">
        <v>0.52239999999999998</v>
      </c>
      <c r="N730" s="1">
        <v>7</v>
      </c>
      <c r="O730" s="1">
        <v>183</v>
      </c>
      <c r="P730" s="1">
        <v>190</v>
      </c>
      <c r="Q730" s="1" t="str">
        <f>IF(WEEKDAY(Bike_Sharing_Master6[[#This Row],[Dteday]],2)&gt;=6,"Weekend","Weekday")</f>
        <v>Weekday</v>
      </c>
      <c r="R730" s="1" t="str">
        <f xml:space="preserve"> IF(Bike_Sharing_Master6[[#This Row],[Hr]]&lt;6,"Late Night", IF(Bike_Sharing_Master6[[#This Row],[Hr]]&lt;10,"Morning Peak", IF(Bike_Sharing_Master6[[#This Row],[Hr]]&lt;17,"Daytime", IF(Bike_Sharing_Master6[[#This Row],[Hr]]&lt;21,"Evening Peak","Night"))))</f>
        <v>Evening Peak</v>
      </c>
      <c r="S730" s="1" t="str">
        <f>IF(Bike_Sharing_Master6[[#This Row],[Holiday]]=1,"Holiday","Non-Holiday")</f>
        <v>Non-Holiday</v>
      </c>
      <c r="T730" s="1" t="str">
        <f>IF(Bike_Sharing_Master6[[#This Row],[Cnt]]&lt;80,"Low",IF(Bike_Sharing_Master6[[#This Row],[Cnt]]&lt;160,"Medium","High"))</f>
        <v>High</v>
      </c>
      <c r="U730" s="1" t="str">
        <f>VLOOKUP(Bike_Sharing_Master6[[#This Row],[Weathersit]],[1]Lookup_Weather!A:B,2,FALSE)</f>
        <v>Clear</v>
      </c>
    </row>
    <row r="731" spans="1:21" x14ac:dyDescent="0.3">
      <c r="A731">
        <v>730</v>
      </c>
      <c r="B731" s="3">
        <v>40576</v>
      </c>
      <c r="C731" s="1">
        <v>1</v>
      </c>
      <c r="D731" s="1">
        <v>0</v>
      </c>
      <c r="E731" s="1">
        <v>2</v>
      </c>
      <c r="F731" s="1">
        <v>18</v>
      </c>
      <c r="G731" t="b">
        <v>0</v>
      </c>
      <c r="H731" s="1">
        <v>3</v>
      </c>
      <c r="I731" s="1">
        <v>1</v>
      </c>
      <c r="J731" s="2">
        <v>0.34</v>
      </c>
      <c r="K731" s="2">
        <v>0.28789999999999999</v>
      </c>
      <c r="L731" s="2">
        <v>0.42</v>
      </c>
      <c r="M731" s="2">
        <v>0.55220000000000002</v>
      </c>
      <c r="N731" s="1">
        <v>7</v>
      </c>
      <c r="O731" s="1">
        <v>175</v>
      </c>
      <c r="P731" s="1">
        <v>182</v>
      </c>
      <c r="Q731" s="1" t="str">
        <f>IF(WEEKDAY(Bike_Sharing_Master6[[#This Row],[Dteday]],2)&gt;=6,"Weekend","Weekday")</f>
        <v>Weekday</v>
      </c>
      <c r="R731" s="1" t="str">
        <f xml:space="preserve"> IF(Bike_Sharing_Master6[[#This Row],[Hr]]&lt;6,"Late Night", IF(Bike_Sharing_Master6[[#This Row],[Hr]]&lt;10,"Morning Peak", IF(Bike_Sharing_Master6[[#This Row],[Hr]]&lt;17,"Daytime", IF(Bike_Sharing_Master6[[#This Row],[Hr]]&lt;21,"Evening Peak","Night"))))</f>
        <v>Evening Peak</v>
      </c>
      <c r="S731" s="1" t="str">
        <f>IF(Bike_Sharing_Master6[[#This Row],[Holiday]]=1,"Holiday","Non-Holiday")</f>
        <v>Non-Holiday</v>
      </c>
      <c r="T731" s="1" t="str">
        <f>IF(Bike_Sharing_Master6[[#This Row],[Cnt]]&lt;80,"Low",IF(Bike_Sharing_Master6[[#This Row],[Cnt]]&lt;160,"Medium","High"))</f>
        <v>High</v>
      </c>
      <c r="U731" s="1" t="str">
        <f>VLOOKUP(Bike_Sharing_Master6[[#This Row],[Weathersit]],[1]Lookup_Weather!A:B,2,FALSE)</f>
        <v>Clear</v>
      </c>
    </row>
    <row r="732" spans="1:21" x14ac:dyDescent="0.3">
      <c r="A732">
        <v>731</v>
      </c>
      <c r="B732" s="3">
        <v>40576</v>
      </c>
      <c r="C732" s="1">
        <v>1</v>
      </c>
      <c r="D732" s="1">
        <v>0</v>
      </c>
      <c r="E732" s="1">
        <v>2</v>
      </c>
      <c r="F732" s="1">
        <v>19</v>
      </c>
      <c r="G732" t="b">
        <v>0</v>
      </c>
      <c r="H732" s="1">
        <v>3</v>
      </c>
      <c r="I732" s="1">
        <v>1</v>
      </c>
      <c r="J732" s="2">
        <v>0.28000000000000003</v>
      </c>
      <c r="K732" s="2">
        <v>0.2424</v>
      </c>
      <c r="L732" s="2">
        <v>0.45</v>
      </c>
      <c r="M732" s="2">
        <v>0.49249999999999999</v>
      </c>
      <c r="N732" s="1">
        <v>3</v>
      </c>
      <c r="O732" s="1">
        <v>88</v>
      </c>
      <c r="P732" s="1">
        <v>91</v>
      </c>
      <c r="Q732" s="1" t="str">
        <f>IF(WEEKDAY(Bike_Sharing_Master6[[#This Row],[Dteday]],2)&gt;=6,"Weekend","Weekday")</f>
        <v>Weekday</v>
      </c>
      <c r="R732" s="1" t="str">
        <f xml:space="preserve"> IF(Bike_Sharing_Master6[[#This Row],[Hr]]&lt;6,"Late Night", IF(Bike_Sharing_Master6[[#This Row],[Hr]]&lt;10,"Morning Peak", IF(Bike_Sharing_Master6[[#This Row],[Hr]]&lt;17,"Daytime", IF(Bike_Sharing_Master6[[#This Row],[Hr]]&lt;21,"Evening Peak","Night"))))</f>
        <v>Evening Peak</v>
      </c>
      <c r="S732" s="1" t="str">
        <f>IF(Bike_Sharing_Master6[[#This Row],[Holiday]]=1,"Holiday","Non-Holiday")</f>
        <v>Non-Holiday</v>
      </c>
      <c r="T732" s="1" t="str">
        <f>IF(Bike_Sharing_Master6[[#This Row],[Cnt]]&lt;80,"Low",IF(Bike_Sharing_Master6[[#This Row],[Cnt]]&lt;160,"Medium","High"))</f>
        <v>Medium</v>
      </c>
      <c r="U732" s="1" t="str">
        <f>VLOOKUP(Bike_Sharing_Master6[[#This Row],[Weathersit]],[1]Lookup_Weather!A:B,2,FALSE)</f>
        <v>Clear</v>
      </c>
    </row>
    <row r="733" spans="1:21" x14ac:dyDescent="0.3">
      <c r="A733">
        <v>732</v>
      </c>
      <c r="B733" s="3">
        <v>40576</v>
      </c>
      <c r="C733" s="1">
        <v>1</v>
      </c>
      <c r="D733" s="1">
        <v>0</v>
      </c>
      <c r="E733" s="1">
        <v>2</v>
      </c>
      <c r="F733" s="1">
        <v>20</v>
      </c>
      <c r="G733" t="b">
        <v>0</v>
      </c>
      <c r="H733" s="1">
        <v>3</v>
      </c>
      <c r="I733" s="1">
        <v>1</v>
      </c>
      <c r="J733" s="2">
        <v>0.24</v>
      </c>
      <c r="K733" s="2">
        <v>0.19700000000000001</v>
      </c>
      <c r="L733" s="2">
        <v>0.48</v>
      </c>
      <c r="M733" s="2">
        <v>0.55220000000000002</v>
      </c>
      <c r="N733" s="1">
        <v>4</v>
      </c>
      <c r="O733" s="1">
        <v>71</v>
      </c>
      <c r="P733" s="1">
        <v>75</v>
      </c>
      <c r="Q733" s="1" t="str">
        <f>IF(WEEKDAY(Bike_Sharing_Master6[[#This Row],[Dteday]],2)&gt;=6,"Weekend","Weekday")</f>
        <v>Weekday</v>
      </c>
      <c r="R733" s="1" t="str">
        <f xml:space="preserve"> IF(Bike_Sharing_Master6[[#This Row],[Hr]]&lt;6,"Late Night", IF(Bike_Sharing_Master6[[#This Row],[Hr]]&lt;10,"Morning Peak", IF(Bike_Sharing_Master6[[#This Row],[Hr]]&lt;17,"Daytime", IF(Bike_Sharing_Master6[[#This Row],[Hr]]&lt;21,"Evening Peak","Night"))))</f>
        <v>Evening Peak</v>
      </c>
      <c r="S733" s="1" t="str">
        <f>IF(Bike_Sharing_Master6[[#This Row],[Holiday]]=1,"Holiday","Non-Holiday")</f>
        <v>Non-Holiday</v>
      </c>
      <c r="T733" s="1" t="str">
        <f>IF(Bike_Sharing_Master6[[#This Row],[Cnt]]&lt;80,"Low",IF(Bike_Sharing_Master6[[#This Row],[Cnt]]&lt;160,"Medium","High"))</f>
        <v>Low</v>
      </c>
      <c r="U733" s="1" t="str">
        <f>VLOOKUP(Bike_Sharing_Master6[[#This Row],[Weathersit]],[1]Lookup_Weather!A:B,2,FALSE)</f>
        <v>Clear</v>
      </c>
    </row>
    <row r="734" spans="1:21" x14ac:dyDescent="0.3">
      <c r="A734">
        <v>733</v>
      </c>
      <c r="B734" s="3">
        <v>40576</v>
      </c>
      <c r="C734" s="1">
        <v>1</v>
      </c>
      <c r="D734" s="1">
        <v>0</v>
      </c>
      <c r="E734" s="1">
        <v>2</v>
      </c>
      <c r="F734" s="1">
        <v>21</v>
      </c>
      <c r="G734" t="b">
        <v>0</v>
      </c>
      <c r="H734" s="1">
        <v>3</v>
      </c>
      <c r="I734" s="1">
        <v>1</v>
      </c>
      <c r="J734" s="2">
        <v>0.22</v>
      </c>
      <c r="K734" s="2">
        <v>0.19700000000000001</v>
      </c>
      <c r="L734" s="2">
        <v>0.47</v>
      </c>
      <c r="M734" s="2">
        <v>0.32840000000000003</v>
      </c>
      <c r="N734" s="1">
        <v>1</v>
      </c>
      <c r="O734" s="1">
        <v>62</v>
      </c>
      <c r="P734" s="1">
        <v>63</v>
      </c>
      <c r="Q734" s="1" t="str">
        <f>IF(WEEKDAY(Bike_Sharing_Master6[[#This Row],[Dteday]],2)&gt;=6,"Weekend","Weekday")</f>
        <v>Weekday</v>
      </c>
      <c r="R734" s="1" t="str">
        <f xml:space="preserve"> IF(Bike_Sharing_Master6[[#This Row],[Hr]]&lt;6,"Late Night", IF(Bike_Sharing_Master6[[#This Row],[Hr]]&lt;10,"Morning Peak", IF(Bike_Sharing_Master6[[#This Row],[Hr]]&lt;17,"Daytime", IF(Bike_Sharing_Master6[[#This Row],[Hr]]&lt;21,"Evening Peak","Night"))))</f>
        <v>Night</v>
      </c>
      <c r="S734" s="1" t="str">
        <f>IF(Bike_Sharing_Master6[[#This Row],[Holiday]]=1,"Holiday","Non-Holiday")</f>
        <v>Non-Holiday</v>
      </c>
      <c r="T734" s="1" t="str">
        <f>IF(Bike_Sharing_Master6[[#This Row],[Cnt]]&lt;80,"Low",IF(Bike_Sharing_Master6[[#This Row],[Cnt]]&lt;160,"Medium","High"))</f>
        <v>Low</v>
      </c>
      <c r="U734" s="1" t="str">
        <f>VLOOKUP(Bike_Sharing_Master6[[#This Row],[Weathersit]],[1]Lookup_Weather!A:B,2,FALSE)</f>
        <v>Clear</v>
      </c>
    </row>
    <row r="735" spans="1:21" x14ac:dyDescent="0.3">
      <c r="A735">
        <v>734</v>
      </c>
      <c r="B735" s="3">
        <v>40576</v>
      </c>
      <c r="C735" s="1">
        <v>1</v>
      </c>
      <c r="D735" s="1">
        <v>0</v>
      </c>
      <c r="E735" s="1">
        <v>2</v>
      </c>
      <c r="F735" s="1">
        <v>22</v>
      </c>
      <c r="G735" t="b">
        <v>0</v>
      </c>
      <c r="H735" s="1">
        <v>3</v>
      </c>
      <c r="I735" s="1">
        <v>1</v>
      </c>
      <c r="J735" s="2">
        <v>0.22</v>
      </c>
      <c r="K735" s="2">
        <v>0.21210000000000001</v>
      </c>
      <c r="L735" s="2">
        <v>0.44</v>
      </c>
      <c r="M735" s="2">
        <v>0.25369999999999998</v>
      </c>
      <c r="N735" s="1">
        <v>5</v>
      </c>
      <c r="O735" s="1">
        <v>35</v>
      </c>
      <c r="P735" s="1">
        <v>40</v>
      </c>
      <c r="Q735" s="1" t="str">
        <f>IF(WEEKDAY(Bike_Sharing_Master6[[#This Row],[Dteday]],2)&gt;=6,"Weekend","Weekday")</f>
        <v>Weekday</v>
      </c>
      <c r="R735" s="1" t="str">
        <f xml:space="preserve"> IF(Bike_Sharing_Master6[[#This Row],[Hr]]&lt;6,"Late Night", IF(Bike_Sharing_Master6[[#This Row],[Hr]]&lt;10,"Morning Peak", IF(Bike_Sharing_Master6[[#This Row],[Hr]]&lt;17,"Daytime", IF(Bike_Sharing_Master6[[#This Row],[Hr]]&lt;21,"Evening Peak","Night"))))</f>
        <v>Night</v>
      </c>
      <c r="S735" s="1" t="str">
        <f>IF(Bike_Sharing_Master6[[#This Row],[Holiday]]=1,"Holiday","Non-Holiday")</f>
        <v>Non-Holiday</v>
      </c>
      <c r="T735" s="1" t="str">
        <f>IF(Bike_Sharing_Master6[[#This Row],[Cnt]]&lt;80,"Low",IF(Bike_Sharing_Master6[[#This Row],[Cnt]]&lt;160,"Medium","High"))</f>
        <v>Low</v>
      </c>
      <c r="U735" s="1" t="str">
        <f>VLOOKUP(Bike_Sharing_Master6[[#This Row],[Weathersit]],[1]Lookup_Weather!A:B,2,FALSE)</f>
        <v>Clear</v>
      </c>
    </row>
    <row r="736" spans="1:21" x14ac:dyDescent="0.3">
      <c r="A736">
        <v>735</v>
      </c>
      <c r="B736" s="3">
        <v>40576</v>
      </c>
      <c r="C736" s="1">
        <v>1</v>
      </c>
      <c r="D736" s="1">
        <v>0</v>
      </c>
      <c r="E736" s="1">
        <v>2</v>
      </c>
      <c r="F736" s="1">
        <v>23</v>
      </c>
      <c r="G736" t="b">
        <v>0</v>
      </c>
      <c r="H736" s="1">
        <v>3</v>
      </c>
      <c r="I736" s="1">
        <v>1</v>
      </c>
      <c r="J736" s="2">
        <v>0.2</v>
      </c>
      <c r="K736" s="2">
        <v>0.16669999999999999</v>
      </c>
      <c r="L736" s="2">
        <v>0.44</v>
      </c>
      <c r="M736" s="2">
        <v>0.44779999999999998</v>
      </c>
      <c r="N736" s="1">
        <v>3</v>
      </c>
      <c r="O736" s="1">
        <v>29</v>
      </c>
      <c r="P736" s="1">
        <v>32</v>
      </c>
      <c r="Q736" s="1" t="str">
        <f>IF(WEEKDAY(Bike_Sharing_Master6[[#This Row],[Dteday]],2)&gt;=6,"Weekend","Weekday")</f>
        <v>Weekday</v>
      </c>
      <c r="R736" s="1" t="str">
        <f xml:space="preserve"> IF(Bike_Sharing_Master6[[#This Row],[Hr]]&lt;6,"Late Night", IF(Bike_Sharing_Master6[[#This Row],[Hr]]&lt;10,"Morning Peak", IF(Bike_Sharing_Master6[[#This Row],[Hr]]&lt;17,"Daytime", IF(Bike_Sharing_Master6[[#This Row],[Hr]]&lt;21,"Evening Peak","Night"))))</f>
        <v>Night</v>
      </c>
      <c r="S736" s="1" t="str">
        <f>IF(Bike_Sharing_Master6[[#This Row],[Holiday]]=1,"Holiday","Non-Holiday")</f>
        <v>Non-Holiday</v>
      </c>
      <c r="T736" s="1" t="str">
        <f>IF(Bike_Sharing_Master6[[#This Row],[Cnt]]&lt;80,"Low",IF(Bike_Sharing_Master6[[#This Row],[Cnt]]&lt;160,"Medium","High"))</f>
        <v>Low</v>
      </c>
      <c r="U736" s="1" t="str">
        <f>VLOOKUP(Bike_Sharing_Master6[[#This Row],[Weathersit]],[1]Lookup_Weather!A:B,2,FALSE)</f>
        <v>Clear</v>
      </c>
    </row>
    <row r="737" spans="1:21" x14ac:dyDescent="0.3">
      <c r="A737">
        <v>736</v>
      </c>
      <c r="B737" s="3">
        <v>40577</v>
      </c>
      <c r="C737" s="1">
        <v>1</v>
      </c>
      <c r="D737" s="1">
        <v>0</v>
      </c>
      <c r="E737" s="1">
        <v>2</v>
      </c>
      <c r="F737" s="1">
        <v>0</v>
      </c>
      <c r="G737" t="b">
        <v>0</v>
      </c>
      <c r="H737" s="1">
        <v>4</v>
      </c>
      <c r="I737" s="1">
        <v>1</v>
      </c>
      <c r="J737" s="2">
        <v>0.2</v>
      </c>
      <c r="K737" s="2">
        <v>0.16669999999999999</v>
      </c>
      <c r="L737" s="2">
        <v>0.4</v>
      </c>
      <c r="M737" s="2">
        <v>0.44779999999999998</v>
      </c>
      <c r="N737" s="1">
        <v>1</v>
      </c>
      <c r="O737" s="1">
        <v>11</v>
      </c>
      <c r="P737" s="1">
        <v>12</v>
      </c>
      <c r="Q737" s="1" t="str">
        <f>IF(WEEKDAY(Bike_Sharing_Master6[[#This Row],[Dteday]],2)&gt;=6,"Weekend","Weekday")</f>
        <v>Weekday</v>
      </c>
      <c r="R737" s="1" t="str">
        <f xml:space="preserve"> IF(Bike_Sharing_Master6[[#This Row],[Hr]]&lt;6,"Late Night", IF(Bike_Sharing_Master6[[#This Row],[Hr]]&lt;10,"Morning Peak", IF(Bike_Sharing_Master6[[#This Row],[Hr]]&lt;17,"Daytime", IF(Bike_Sharing_Master6[[#This Row],[Hr]]&lt;21,"Evening Peak","Night"))))</f>
        <v>Late Night</v>
      </c>
      <c r="S737" s="1" t="str">
        <f>IF(Bike_Sharing_Master6[[#This Row],[Holiday]]=1,"Holiday","Non-Holiday")</f>
        <v>Non-Holiday</v>
      </c>
      <c r="T737" s="1" t="str">
        <f>IF(Bike_Sharing_Master6[[#This Row],[Cnt]]&lt;80,"Low",IF(Bike_Sharing_Master6[[#This Row],[Cnt]]&lt;160,"Medium","High"))</f>
        <v>Low</v>
      </c>
      <c r="U737" s="1" t="str">
        <f>VLOOKUP(Bike_Sharing_Master6[[#This Row],[Weathersit]],[1]Lookup_Weather!A:B,2,FALSE)</f>
        <v>Clear</v>
      </c>
    </row>
    <row r="738" spans="1:21" x14ac:dyDescent="0.3">
      <c r="A738">
        <v>737</v>
      </c>
      <c r="B738" s="3">
        <v>40577</v>
      </c>
      <c r="C738" s="1">
        <v>1</v>
      </c>
      <c r="D738" s="1">
        <v>0</v>
      </c>
      <c r="E738" s="1">
        <v>2</v>
      </c>
      <c r="F738" s="1">
        <v>1</v>
      </c>
      <c r="G738" t="b">
        <v>0</v>
      </c>
      <c r="H738" s="1">
        <v>4</v>
      </c>
      <c r="I738" s="1">
        <v>1</v>
      </c>
      <c r="J738" s="2">
        <v>0.2</v>
      </c>
      <c r="K738" s="2">
        <v>0.1515</v>
      </c>
      <c r="L738" s="2">
        <v>0.44</v>
      </c>
      <c r="M738" s="2">
        <v>0.52239999999999998</v>
      </c>
      <c r="N738" s="1">
        <v>0</v>
      </c>
      <c r="O738" s="1">
        <v>5</v>
      </c>
      <c r="P738" s="1">
        <v>5</v>
      </c>
      <c r="Q738" s="1" t="str">
        <f>IF(WEEKDAY(Bike_Sharing_Master6[[#This Row],[Dteday]],2)&gt;=6,"Weekend","Weekday")</f>
        <v>Weekday</v>
      </c>
      <c r="R738" s="1" t="str">
        <f xml:space="preserve"> IF(Bike_Sharing_Master6[[#This Row],[Hr]]&lt;6,"Late Night", IF(Bike_Sharing_Master6[[#This Row],[Hr]]&lt;10,"Morning Peak", IF(Bike_Sharing_Master6[[#This Row],[Hr]]&lt;17,"Daytime", IF(Bike_Sharing_Master6[[#This Row],[Hr]]&lt;21,"Evening Peak","Night"))))</f>
        <v>Late Night</v>
      </c>
      <c r="S738" s="1" t="str">
        <f>IF(Bike_Sharing_Master6[[#This Row],[Holiday]]=1,"Holiday","Non-Holiday")</f>
        <v>Non-Holiday</v>
      </c>
      <c r="T738" s="1" t="str">
        <f>IF(Bike_Sharing_Master6[[#This Row],[Cnt]]&lt;80,"Low",IF(Bike_Sharing_Master6[[#This Row],[Cnt]]&lt;160,"Medium","High"))</f>
        <v>Low</v>
      </c>
      <c r="U738" s="1" t="str">
        <f>VLOOKUP(Bike_Sharing_Master6[[#This Row],[Weathersit]],[1]Lookup_Weather!A:B,2,FALSE)</f>
        <v>Clear</v>
      </c>
    </row>
    <row r="739" spans="1:21" x14ac:dyDescent="0.3">
      <c r="A739">
        <v>738</v>
      </c>
      <c r="B739" s="3">
        <v>40577</v>
      </c>
      <c r="C739" s="1">
        <v>1</v>
      </c>
      <c r="D739" s="1">
        <v>0</v>
      </c>
      <c r="E739" s="1">
        <v>2</v>
      </c>
      <c r="F739" s="1">
        <v>2</v>
      </c>
      <c r="G739" t="b">
        <v>0</v>
      </c>
      <c r="H739" s="1">
        <v>4</v>
      </c>
      <c r="I739" s="1">
        <v>1</v>
      </c>
      <c r="J739" s="2">
        <v>0.18</v>
      </c>
      <c r="K739" s="2">
        <v>0.16669999999999999</v>
      </c>
      <c r="L739" s="2">
        <v>0.43</v>
      </c>
      <c r="M739" s="2">
        <v>0.25369999999999998</v>
      </c>
      <c r="N739" s="1">
        <v>0</v>
      </c>
      <c r="O739" s="1">
        <v>2</v>
      </c>
      <c r="P739" s="1">
        <v>2</v>
      </c>
      <c r="Q739" s="1" t="str">
        <f>IF(WEEKDAY(Bike_Sharing_Master6[[#This Row],[Dteday]],2)&gt;=6,"Weekend","Weekday")</f>
        <v>Weekday</v>
      </c>
      <c r="R739" s="1" t="str">
        <f xml:space="preserve"> IF(Bike_Sharing_Master6[[#This Row],[Hr]]&lt;6,"Late Night", IF(Bike_Sharing_Master6[[#This Row],[Hr]]&lt;10,"Morning Peak", IF(Bike_Sharing_Master6[[#This Row],[Hr]]&lt;17,"Daytime", IF(Bike_Sharing_Master6[[#This Row],[Hr]]&lt;21,"Evening Peak","Night"))))</f>
        <v>Late Night</v>
      </c>
      <c r="S739" s="1" t="str">
        <f>IF(Bike_Sharing_Master6[[#This Row],[Holiday]]=1,"Holiday","Non-Holiday")</f>
        <v>Non-Holiday</v>
      </c>
      <c r="T739" s="1" t="str">
        <f>IF(Bike_Sharing_Master6[[#This Row],[Cnt]]&lt;80,"Low",IF(Bike_Sharing_Master6[[#This Row],[Cnt]]&lt;160,"Medium","High"))</f>
        <v>Low</v>
      </c>
      <c r="U739" s="1" t="str">
        <f>VLOOKUP(Bike_Sharing_Master6[[#This Row],[Weathersit]],[1]Lookup_Weather!A:B,2,FALSE)</f>
        <v>Clear</v>
      </c>
    </row>
    <row r="740" spans="1:21" x14ac:dyDescent="0.3">
      <c r="A740">
        <v>739</v>
      </c>
      <c r="B740" s="3">
        <v>40577</v>
      </c>
      <c r="C740" s="1">
        <v>1</v>
      </c>
      <c r="D740" s="1">
        <v>0</v>
      </c>
      <c r="E740" s="1">
        <v>2</v>
      </c>
      <c r="F740" s="1">
        <v>3</v>
      </c>
      <c r="G740" t="b">
        <v>0</v>
      </c>
      <c r="H740" s="1">
        <v>4</v>
      </c>
      <c r="I740" s="1">
        <v>1</v>
      </c>
      <c r="J740" s="2">
        <v>0.18</v>
      </c>
      <c r="K740" s="2">
        <v>0.16669999999999999</v>
      </c>
      <c r="L740" s="2">
        <v>0.43</v>
      </c>
      <c r="M740" s="2">
        <v>0.25369999999999998</v>
      </c>
      <c r="N740" s="1">
        <v>0</v>
      </c>
      <c r="O740" s="1">
        <v>1</v>
      </c>
      <c r="P740" s="1">
        <v>1</v>
      </c>
      <c r="Q740" s="1" t="str">
        <f>IF(WEEKDAY(Bike_Sharing_Master6[[#This Row],[Dteday]],2)&gt;=6,"Weekend","Weekday")</f>
        <v>Weekday</v>
      </c>
      <c r="R740" s="1" t="str">
        <f xml:space="preserve"> IF(Bike_Sharing_Master6[[#This Row],[Hr]]&lt;6,"Late Night", IF(Bike_Sharing_Master6[[#This Row],[Hr]]&lt;10,"Morning Peak", IF(Bike_Sharing_Master6[[#This Row],[Hr]]&lt;17,"Daytime", IF(Bike_Sharing_Master6[[#This Row],[Hr]]&lt;21,"Evening Peak","Night"))))</f>
        <v>Late Night</v>
      </c>
      <c r="S740" s="1" t="str">
        <f>IF(Bike_Sharing_Master6[[#This Row],[Holiday]]=1,"Holiday","Non-Holiday")</f>
        <v>Non-Holiday</v>
      </c>
      <c r="T740" s="1" t="str">
        <f>IF(Bike_Sharing_Master6[[#This Row],[Cnt]]&lt;80,"Low",IF(Bike_Sharing_Master6[[#This Row],[Cnt]]&lt;160,"Medium","High"))</f>
        <v>Low</v>
      </c>
      <c r="U740" s="1" t="str">
        <f>VLOOKUP(Bike_Sharing_Master6[[#This Row],[Weathersit]],[1]Lookup_Weather!A:B,2,FALSE)</f>
        <v>Clear</v>
      </c>
    </row>
    <row r="741" spans="1:21" x14ac:dyDescent="0.3">
      <c r="A741">
        <v>740</v>
      </c>
      <c r="B741" s="3">
        <v>40577</v>
      </c>
      <c r="C741" s="1">
        <v>1</v>
      </c>
      <c r="D741" s="1">
        <v>0</v>
      </c>
      <c r="E741" s="1">
        <v>2</v>
      </c>
      <c r="F741" s="1">
        <v>5</v>
      </c>
      <c r="G741" t="b">
        <v>0</v>
      </c>
      <c r="H741" s="1">
        <v>4</v>
      </c>
      <c r="I741" s="1">
        <v>1</v>
      </c>
      <c r="J741" s="2">
        <v>0.16</v>
      </c>
      <c r="K741" s="2">
        <v>0.13639999999999999</v>
      </c>
      <c r="L741" s="2">
        <v>0.5</v>
      </c>
      <c r="M741" s="2">
        <v>0.29849999999999999</v>
      </c>
      <c r="N741" s="1">
        <v>0</v>
      </c>
      <c r="O741" s="1">
        <v>2</v>
      </c>
      <c r="P741" s="1">
        <v>2</v>
      </c>
      <c r="Q741" s="1" t="str">
        <f>IF(WEEKDAY(Bike_Sharing_Master6[[#This Row],[Dteday]],2)&gt;=6,"Weekend","Weekday")</f>
        <v>Weekday</v>
      </c>
      <c r="R741" s="1" t="str">
        <f xml:space="preserve"> IF(Bike_Sharing_Master6[[#This Row],[Hr]]&lt;6,"Late Night", IF(Bike_Sharing_Master6[[#This Row],[Hr]]&lt;10,"Morning Peak", IF(Bike_Sharing_Master6[[#This Row],[Hr]]&lt;17,"Daytime", IF(Bike_Sharing_Master6[[#This Row],[Hr]]&lt;21,"Evening Peak","Night"))))</f>
        <v>Late Night</v>
      </c>
      <c r="S741" s="1" t="str">
        <f>IF(Bike_Sharing_Master6[[#This Row],[Holiday]]=1,"Holiday","Non-Holiday")</f>
        <v>Non-Holiday</v>
      </c>
      <c r="T741" s="1" t="str">
        <f>IF(Bike_Sharing_Master6[[#This Row],[Cnt]]&lt;80,"Low",IF(Bike_Sharing_Master6[[#This Row],[Cnt]]&lt;160,"Medium","High"))</f>
        <v>Low</v>
      </c>
      <c r="U741" s="1" t="str">
        <f>VLOOKUP(Bike_Sharing_Master6[[#This Row],[Weathersit]],[1]Lookup_Weather!A:B,2,FALSE)</f>
        <v>Clear</v>
      </c>
    </row>
    <row r="742" spans="1:21" x14ac:dyDescent="0.3">
      <c r="A742">
        <v>741</v>
      </c>
      <c r="B742" s="3">
        <v>40577</v>
      </c>
      <c r="C742" s="1">
        <v>1</v>
      </c>
      <c r="D742" s="1">
        <v>0</v>
      </c>
      <c r="E742" s="1">
        <v>2</v>
      </c>
      <c r="F742" s="1">
        <v>6</v>
      </c>
      <c r="G742" t="b">
        <v>0</v>
      </c>
      <c r="H742" s="1">
        <v>4</v>
      </c>
      <c r="I742" s="1">
        <v>1</v>
      </c>
      <c r="J742" s="2">
        <v>0.16</v>
      </c>
      <c r="K742" s="2">
        <v>0.13639999999999999</v>
      </c>
      <c r="L742" s="2">
        <v>0.43</v>
      </c>
      <c r="M742" s="2">
        <v>0.35820000000000002</v>
      </c>
      <c r="N742" s="1">
        <v>0</v>
      </c>
      <c r="O742" s="1">
        <v>39</v>
      </c>
      <c r="P742" s="1">
        <v>39</v>
      </c>
      <c r="Q742" s="1" t="str">
        <f>IF(WEEKDAY(Bike_Sharing_Master6[[#This Row],[Dteday]],2)&gt;=6,"Weekend","Weekday")</f>
        <v>Weekday</v>
      </c>
      <c r="R742" s="1" t="str">
        <f xml:space="preserve"> IF(Bike_Sharing_Master6[[#This Row],[Hr]]&lt;6,"Late Night", IF(Bike_Sharing_Master6[[#This Row],[Hr]]&lt;10,"Morning Peak", IF(Bike_Sharing_Master6[[#This Row],[Hr]]&lt;17,"Daytime", IF(Bike_Sharing_Master6[[#This Row],[Hr]]&lt;21,"Evening Peak","Night"))))</f>
        <v>Morning Peak</v>
      </c>
      <c r="S742" s="1" t="str">
        <f>IF(Bike_Sharing_Master6[[#This Row],[Holiday]]=1,"Holiday","Non-Holiday")</f>
        <v>Non-Holiday</v>
      </c>
      <c r="T742" s="1" t="str">
        <f>IF(Bike_Sharing_Master6[[#This Row],[Cnt]]&lt;80,"Low",IF(Bike_Sharing_Master6[[#This Row],[Cnt]]&lt;160,"Medium","High"))</f>
        <v>Low</v>
      </c>
      <c r="U742" s="1" t="str">
        <f>VLOOKUP(Bike_Sharing_Master6[[#This Row],[Weathersit]],[1]Lookup_Weather!A:B,2,FALSE)</f>
        <v>Clear</v>
      </c>
    </row>
    <row r="743" spans="1:21" x14ac:dyDescent="0.3">
      <c r="A743">
        <v>742</v>
      </c>
      <c r="B743" s="3">
        <v>40577</v>
      </c>
      <c r="C743" s="1">
        <v>1</v>
      </c>
      <c r="D743" s="1">
        <v>0</v>
      </c>
      <c r="E743" s="1">
        <v>2</v>
      </c>
      <c r="F743" s="1">
        <v>7</v>
      </c>
      <c r="G743" t="b">
        <v>0</v>
      </c>
      <c r="H743" s="1">
        <v>4</v>
      </c>
      <c r="I743" s="1">
        <v>1</v>
      </c>
      <c r="J743" s="2">
        <v>0.14000000000000001</v>
      </c>
      <c r="K743" s="2">
        <v>0.1212</v>
      </c>
      <c r="L743" s="2">
        <v>0.5</v>
      </c>
      <c r="M743" s="2">
        <v>0.32840000000000003</v>
      </c>
      <c r="N743" s="1">
        <v>1</v>
      </c>
      <c r="O743" s="1">
        <v>86</v>
      </c>
      <c r="P743" s="1">
        <v>87</v>
      </c>
      <c r="Q743" s="1" t="str">
        <f>IF(WEEKDAY(Bike_Sharing_Master6[[#This Row],[Dteday]],2)&gt;=6,"Weekend","Weekday")</f>
        <v>Weekday</v>
      </c>
      <c r="R743" s="1" t="str">
        <f xml:space="preserve"> IF(Bike_Sharing_Master6[[#This Row],[Hr]]&lt;6,"Late Night", IF(Bike_Sharing_Master6[[#This Row],[Hr]]&lt;10,"Morning Peak", IF(Bike_Sharing_Master6[[#This Row],[Hr]]&lt;17,"Daytime", IF(Bike_Sharing_Master6[[#This Row],[Hr]]&lt;21,"Evening Peak","Night"))))</f>
        <v>Morning Peak</v>
      </c>
      <c r="S743" s="1" t="str">
        <f>IF(Bike_Sharing_Master6[[#This Row],[Holiday]]=1,"Holiday","Non-Holiday")</f>
        <v>Non-Holiday</v>
      </c>
      <c r="T743" s="1" t="str">
        <f>IF(Bike_Sharing_Master6[[#This Row],[Cnt]]&lt;80,"Low",IF(Bike_Sharing_Master6[[#This Row],[Cnt]]&lt;160,"Medium","High"))</f>
        <v>Medium</v>
      </c>
      <c r="U743" s="1" t="str">
        <f>VLOOKUP(Bike_Sharing_Master6[[#This Row],[Weathersit]],[1]Lookup_Weather!A:B,2,FALSE)</f>
        <v>Clear</v>
      </c>
    </row>
    <row r="744" spans="1:21" x14ac:dyDescent="0.3">
      <c r="A744">
        <v>743</v>
      </c>
      <c r="B744" s="3">
        <v>40577</v>
      </c>
      <c r="C744" s="1">
        <v>1</v>
      </c>
      <c r="D744" s="1">
        <v>0</v>
      </c>
      <c r="E744" s="1">
        <v>2</v>
      </c>
      <c r="F744" s="1">
        <v>8</v>
      </c>
      <c r="G744" t="b">
        <v>0</v>
      </c>
      <c r="H744" s="1">
        <v>4</v>
      </c>
      <c r="I744" s="1">
        <v>1</v>
      </c>
      <c r="J744" s="2">
        <v>0.14000000000000001</v>
      </c>
      <c r="K744" s="2">
        <v>0.1212</v>
      </c>
      <c r="L744" s="2">
        <v>0.5</v>
      </c>
      <c r="M744" s="2">
        <v>0.35820000000000002</v>
      </c>
      <c r="N744" s="1">
        <v>4</v>
      </c>
      <c r="O744" s="1">
        <v>184</v>
      </c>
      <c r="P744" s="1">
        <v>188</v>
      </c>
      <c r="Q744" s="1" t="str">
        <f>IF(WEEKDAY(Bike_Sharing_Master6[[#This Row],[Dteday]],2)&gt;=6,"Weekend","Weekday")</f>
        <v>Weekday</v>
      </c>
      <c r="R744" s="1" t="str">
        <f xml:space="preserve"> IF(Bike_Sharing_Master6[[#This Row],[Hr]]&lt;6,"Late Night", IF(Bike_Sharing_Master6[[#This Row],[Hr]]&lt;10,"Morning Peak", IF(Bike_Sharing_Master6[[#This Row],[Hr]]&lt;17,"Daytime", IF(Bike_Sharing_Master6[[#This Row],[Hr]]&lt;21,"Evening Peak","Night"))))</f>
        <v>Morning Peak</v>
      </c>
      <c r="S744" s="1" t="str">
        <f>IF(Bike_Sharing_Master6[[#This Row],[Holiday]]=1,"Holiday","Non-Holiday")</f>
        <v>Non-Holiday</v>
      </c>
      <c r="T744" s="1" t="str">
        <f>IF(Bike_Sharing_Master6[[#This Row],[Cnt]]&lt;80,"Low",IF(Bike_Sharing_Master6[[#This Row],[Cnt]]&lt;160,"Medium","High"))</f>
        <v>High</v>
      </c>
      <c r="U744" s="1" t="str">
        <f>VLOOKUP(Bike_Sharing_Master6[[#This Row],[Weathersit]],[1]Lookup_Weather!A:B,2,FALSE)</f>
        <v>Clear</v>
      </c>
    </row>
    <row r="745" spans="1:21" x14ac:dyDescent="0.3">
      <c r="A745">
        <v>744</v>
      </c>
      <c r="B745" s="3">
        <v>40577</v>
      </c>
      <c r="C745" s="1">
        <v>1</v>
      </c>
      <c r="D745" s="1">
        <v>0</v>
      </c>
      <c r="E745" s="1">
        <v>2</v>
      </c>
      <c r="F745" s="1">
        <v>9</v>
      </c>
      <c r="G745" t="b">
        <v>0</v>
      </c>
      <c r="H745" s="1">
        <v>4</v>
      </c>
      <c r="I745" s="1">
        <v>1</v>
      </c>
      <c r="J745" s="2">
        <v>0.16</v>
      </c>
      <c r="K745" s="2">
        <v>0.13639999999999999</v>
      </c>
      <c r="L745" s="2">
        <v>0.47</v>
      </c>
      <c r="M745" s="2">
        <v>0.29849999999999999</v>
      </c>
      <c r="N745" s="1">
        <v>6</v>
      </c>
      <c r="O745" s="1">
        <v>127</v>
      </c>
      <c r="P745" s="1">
        <v>133</v>
      </c>
      <c r="Q745" s="1" t="str">
        <f>IF(WEEKDAY(Bike_Sharing_Master6[[#This Row],[Dteday]],2)&gt;=6,"Weekend","Weekday")</f>
        <v>Weekday</v>
      </c>
      <c r="R745" s="1" t="str">
        <f xml:space="preserve"> IF(Bike_Sharing_Master6[[#This Row],[Hr]]&lt;6,"Late Night", IF(Bike_Sharing_Master6[[#This Row],[Hr]]&lt;10,"Morning Peak", IF(Bike_Sharing_Master6[[#This Row],[Hr]]&lt;17,"Daytime", IF(Bike_Sharing_Master6[[#This Row],[Hr]]&lt;21,"Evening Peak","Night"))))</f>
        <v>Morning Peak</v>
      </c>
      <c r="S745" s="1" t="str">
        <f>IF(Bike_Sharing_Master6[[#This Row],[Holiday]]=1,"Holiday","Non-Holiday")</f>
        <v>Non-Holiday</v>
      </c>
      <c r="T745" s="1" t="str">
        <f>IF(Bike_Sharing_Master6[[#This Row],[Cnt]]&lt;80,"Low",IF(Bike_Sharing_Master6[[#This Row],[Cnt]]&lt;160,"Medium","High"))</f>
        <v>Medium</v>
      </c>
      <c r="U745" s="1" t="str">
        <f>VLOOKUP(Bike_Sharing_Master6[[#This Row],[Weathersit]],[1]Lookup_Weather!A:B,2,FALSE)</f>
        <v>Clear</v>
      </c>
    </row>
    <row r="746" spans="1:21" x14ac:dyDescent="0.3">
      <c r="A746">
        <v>745</v>
      </c>
      <c r="B746" s="3">
        <v>40577</v>
      </c>
      <c r="C746" s="1">
        <v>1</v>
      </c>
      <c r="D746" s="1">
        <v>0</v>
      </c>
      <c r="E746" s="1">
        <v>2</v>
      </c>
      <c r="F746" s="1">
        <v>10</v>
      </c>
      <c r="G746" t="b">
        <v>0</v>
      </c>
      <c r="H746" s="1">
        <v>4</v>
      </c>
      <c r="I746" s="1">
        <v>1</v>
      </c>
      <c r="J746" s="2">
        <v>0.18</v>
      </c>
      <c r="K746" s="2">
        <v>0.1515</v>
      </c>
      <c r="L746" s="2">
        <v>0.43</v>
      </c>
      <c r="M746" s="2">
        <v>0.32840000000000003</v>
      </c>
      <c r="N746" s="1">
        <v>2</v>
      </c>
      <c r="O746" s="1">
        <v>50</v>
      </c>
      <c r="P746" s="1">
        <v>52</v>
      </c>
      <c r="Q746" s="1" t="str">
        <f>IF(WEEKDAY(Bike_Sharing_Master6[[#This Row],[Dteday]],2)&gt;=6,"Weekend","Weekday")</f>
        <v>Weekday</v>
      </c>
      <c r="R746" s="1" t="str">
        <f xml:space="preserve"> IF(Bike_Sharing_Master6[[#This Row],[Hr]]&lt;6,"Late Night", IF(Bike_Sharing_Master6[[#This Row],[Hr]]&lt;10,"Morning Peak", IF(Bike_Sharing_Master6[[#This Row],[Hr]]&lt;17,"Daytime", IF(Bike_Sharing_Master6[[#This Row],[Hr]]&lt;21,"Evening Peak","Night"))))</f>
        <v>Daytime</v>
      </c>
      <c r="S746" s="1" t="str">
        <f>IF(Bike_Sharing_Master6[[#This Row],[Holiday]]=1,"Holiday","Non-Holiday")</f>
        <v>Non-Holiday</v>
      </c>
      <c r="T746" s="1" t="str">
        <f>IF(Bike_Sharing_Master6[[#This Row],[Cnt]]&lt;80,"Low",IF(Bike_Sharing_Master6[[#This Row],[Cnt]]&lt;160,"Medium","High"))</f>
        <v>Low</v>
      </c>
      <c r="U746" s="1" t="str">
        <f>VLOOKUP(Bike_Sharing_Master6[[#This Row],[Weathersit]],[1]Lookup_Weather!A:B,2,FALSE)</f>
        <v>Clear</v>
      </c>
    </row>
    <row r="747" spans="1:21" x14ac:dyDescent="0.3">
      <c r="A747">
        <v>746</v>
      </c>
      <c r="B747" s="3">
        <v>40577</v>
      </c>
      <c r="C747" s="1">
        <v>1</v>
      </c>
      <c r="D747" s="1">
        <v>0</v>
      </c>
      <c r="E747" s="1">
        <v>2</v>
      </c>
      <c r="F747" s="1">
        <v>11</v>
      </c>
      <c r="G747" t="b">
        <v>0</v>
      </c>
      <c r="H747" s="1">
        <v>4</v>
      </c>
      <c r="I747" s="1">
        <v>1</v>
      </c>
      <c r="J747" s="2">
        <v>0.18</v>
      </c>
      <c r="K747" s="2">
        <v>0.13639999999999999</v>
      </c>
      <c r="L747" s="2">
        <v>0.43</v>
      </c>
      <c r="M747" s="2">
        <v>0.44779999999999998</v>
      </c>
      <c r="N747" s="1">
        <v>9</v>
      </c>
      <c r="O747" s="1">
        <v>55</v>
      </c>
      <c r="P747" s="1">
        <v>64</v>
      </c>
      <c r="Q747" s="1" t="str">
        <f>IF(WEEKDAY(Bike_Sharing_Master6[[#This Row],[Dteday]],2)&gt;=6,"Weekend","Weekday")</f>
        <v>Weekday</v>
      </c>
      <c r="R747" s="1" t="str">
        <f xml:space="preserve"> IF(Bike_Sharing_Master6[[#This Row],[Hr]]&lt;6,"Late Night", IF(Bike_Sharing_Master6[[#This Row],[Hr]]&lt;10,"Morning Peak", IF(Bike_Sharing_Master6[[#This Row],[Hr]]&lt;17,"Daytime", IF(Bike_Sharing_Master6[[#This Row],[Hr]]&lt;21,"Evening Peak","Night"))))</f>
        <v>Daytime</v>
      </c>
      <c r="S747" s="1" t="str">
        <f>IF(Bike_Sharing_Master6[[#This Row],[Holiday]]=1,"Holiday","Non-Holiday")</f>
        <v>Non-Holiday</v>
      </c>
      <c r="T747" s="1" t="str">
        <f>IF(Bike_Sharing_Master6[[#This Row],[Cnt]]&lt;80,"Low",IF(Bike_Sharing_Master6[[#This Row],[Cnt]]&lt;160,"Medium","High"))</f>
        <v>Low</v>
      </c>
      <c r="U747" s="1" t="str">
        <f>VLOOKUP(Bike_Sharing_Master6[[#This Row],[Weathersit]],[1]Lookup_Weather!A:B,2,FALSE)</f>
        <v>Clear</v>
      </c>
    </row>
    <row r="748" spans="1:21" x14ac:dyDescent="0.3">
      <c r="A748">
        <v>747</v>
      </c>
      <c r="B748" s="3">
        <v>40577</v>
      </c>
      <c r="C748" s="1">
        <v>1</v>
      </c>
      <c r="D748" s="1">
        <v>0</v>
      </c>
      <c r="E748" s="1">
        <v>2</v>
      </c>
      <c r="F748" s="1">
        <v>12</v>
      </c>
      <c r="G748" t="b">
        <v>0</v>
      </c>
      <c r="H748" s="1">
        <v>4</v>
      </c>
      <c r="I748" s="1">
        <v>1</v>
      </c>
      <c r="J748" s="2">
        <v>0.2</v>
      </c>
      <c r="K748" s="2">
        <v>0.18179999999999999</v>
      </c>
      <c r="L748" s="2">
        <v>0.4</v>
      </c>
      <c r="M748" s="2">
        <v>0.35820000000000002</v>
      </c>
      <c r="N748" s="1">
        <v>2</v>
      </c>
      <c r="O748" s="1">
        <v>67</v>
      </c>
      <c r="P748" s="1">
        <v>69</v>
      </c>
      <c r="Q748" s="1" t="str">
        <f>IF(WEEKDAY(Bike_Sharing_Master6[[#This Row],[Dteday]],2)&gt;=6,"Weekend","Weekday")</f>
        <v>Weekday</v>
      </c>
      <c r="R748" s="1" t="str">
        <f xml:space="preserve"> IF(Bike_Sharing_Master6[[#This Row],[Hr]]&lt;6,"Late Night", IF(Bike_Sharing_Master6[[#This Row],[Hr]]&lt;10,"Morning Peak", IF(Bike_Sharing_Master6[[#This Row],[Hr]]&lt;17,"Daytime", IF(Bike_Sharing_Master6[[#This Row],[Hr]]&lt;21,"Evening Peak","Night"))))</f>
        <v>Daytime</v>
      </c>
      <c r="S748" s="1" t="str">
        <f>IF(Bike_Sharing_Master6[[#This Row],[Holiday]]=1,"Holiday","Non-Holiday")</f>
        <v>Non-Holiday</v>
      </c>
      <c r="T748" s="1" t="str">
        <f>IF(Bike_Sharing_Master6[[#This Row],[Cnt]]&lt;80,"Low",IF(Bike_Sharing_Master6[[#This Row],[Cnt]]&lt;160,"Medium","High"))</f>
        <v>Low</v>
      </c>
      <c r="U748" s="1" t="str">
        <f>VLOOKUP(Bike_Sharing_Master6[[#This Row],[Weathersit]],[1]Lookup_Weather!A:B,2,FALSE)</f>
        <v>Clear</v>
      </c>
    </row>
    <row r="749" spans="1:21" x14ac:dyDescent="0.3">
      <c r="A749">
        <v>748</v>
      </c>
      <c r="B749" s="3">
        <v>40577</v>
      </c>
      <c r="C749" s="1">
        <v>1</v>
      </c>
      <c r="D749" s="1">
        <v>0</v>
      </c>
      <c r="E749" s="1">
        <v>2</v>
      </c>
      <c r="F749" s="1">
        <v>13</v>
      </c>
      <c r="G749" t="b">
        <v>0</v>
      </c>
      <c r="H749" s="1">
        <v>4</v>
      </c>
      <c r="I749" s="1">
        <v>1</v>
      </c>
      <c r="J749" s="2">
        <v>0.2</v>
      </c>
      <c r="K749" s="2">
        <v>0.16669999999999999</v>
      </c>
      <c r="L749" s="2">
        <v>0.4</v>
      </c>
      <c r="M749" s="2">
        <v>0.41789999999999999</v>
      </c>
      <c r="N749" s="1">
        <v>4</v>
      </c>
      <c r="O749" s="1">
        <v>47</v>
      </c>
      <c r="P749" s="1">
        <v>51</v>
      </c>
      <c r="Q749" s="1" t="str">
        <f>IF(WEEKDAY(Bike_Sharing_Master6[[#This Row],[Dteday]],2)&gt;=6,"Weekend","Weekday")</f>
        <v>Weekday</v>
      </c>
      <c r="R749" s="1" t="str">
        <f xml:space="preserve"> IF(Bike_Sharing_Master6[[#This Row],[Hr]]&lt;6,"Late Night", IF(Bike_Sharing_Master6[[#This Row],[Hr]]&lt;10,"Morning Peak", IF(Bike_Sharing_Master6[[#This Row],[Hr]]&lt;17,"Daytime", IF(Bike_Sharing_Master6[[#This Row],[Hr]]&lt;21,"Evening Peak","Night"))))</f>
        <v>Daytime</v>
      </c>
      <c r="S749" s="1" t="str">
        <f>IF(Bike_Sharing_Master6[[#This Row],[Holiday]]=1,"Holiday","Non-Holiday")</f>
        <v>Non-Holiday</v>
      </c>
      <c r="T749" s="1" t="str">
        <f>IF(Bike_Sharing_Master6[[#This Row],[Cnt]]&lt;80,"Low",IF(Bike_Sharing_Master6[[#This Row],[Cnt]]&lt;160,"Medium","High"))</f>
        <v>Low</v>
      </c>
      <c r="U749" s="1" t="str">
        <f>VLOOKUP(Bike_Sharing_Master6[[#This Row],[Weathersit]],[1]Lookup_Weather!A:B,2,FALSE)</f>
        <v>Clear</v>
      </c>
    </row>
    <row r="750" spans="1:21" x14ac:dyDescent="0.3">
      <c r="A750">
        <v>749</v>
      </c>
      <c r="B750" s="3">
        <v>40577</v>
      </c>
      <c r="C750" s="1">
        <v>1</v>
      </c>
      <c r="D750" s="1">
        <v>0</v>
      </c>
      <c r="E750" s="1">
        <v>2</v>
      </c>
      <c r="F750" s="1">
        <v>14</v>
      </c>
      <c r="G750" t="b">
        <v>0</v>
      </c>
      <c r="H750" s="1">
        <v>4</v>
      </c>
      <c r="I750" s="1">
        <v>1</v>
      </c>
      <c r="J750" s="2">
        <v>0.22</v>
      </c>
      <c r="K750" s="2">
        <v>0.19700000000000001</v>
      </c>
      <c r="L750" s="2">
        <v>0.37</v>
      </c>
      <c r="M750" s="2">
        <v>0.3881</v>
      </c>
      <c r="N750" s="1">
        <v>4</v>
      </c>
      <c r="O750" s="1">
        <v>43</v>
      </c>
      <c r="P750" s="1">
        <v>47</v>
      </c>
      <c r="Q750" s="1" t="str">
        <f>IF(WEEKDAY(Bike_Sharing_Master6[[#This Row],[Dteday]],2)&gt;=6,"Weekend","Weekday")</f>
        <v>Weekday</v>
      </c>
      <c r="R750" s="1" t="str">
        <f xml:space="preserve"> IF(Bike_Sharing_Master6[[#This Row],[Hr]]&lt;6,"Late Night", IF(Bike_Sharing_Master6[[#This Row],[Hr]]&lt;10,"Morning Peak", IF(Bike_Sharing_Master6[[#This Row],[Hr]]&lt;17,"Daytime", IF(Bike_Sharing_Master6[[#This Row],[Hr]]&lt;21,"Evening Peak","Night"))))</f>
        <v>Daytime</v>
      </c>
      <c r="S750" s="1" t="str">
        <f>IF(Bike_Sharing_Master6[[#This Row],[Holiday]]=1,"Holiday","Non-Holiday")</f>
        <v>Non-Holiday</v>
      </c>
      <c r="T750" s="1" t="str">
        <f>IF(Bike_Sharing_Master6[[#This Row],[Cnt]]&lt;80,"Low",IF(Bike_Sharing_Master6[[#This Row],[Cnt]]&lt;160,"Medium","High"))</f>
        <v>Low</v>
      </c>
      <c r="U750" s="1" t="str">
        <f>VLOOKUP(Bike_Sharing_Master6[[#This Row],[Weathersit]],[1]Lookup_Weather!A:B,2,FALSE)</f>
        <v>Clear</v>
      </c>
    </row>
    <row r="751" spans="1:21" x14ac:dyDescent="0.3">
      <c r="A751">
        <v>750</v>
      </c>
      <c r="B751" s="3">
        <v>40577</v>
      </c>
      <c r="C751" s="1">
        <v>1</v>
      </c>
      <c r="D751" s="1">
        <v>0</v>
      </c>
      <c r="E751" s="1">
        <v>2</v>
      </c>
      <c r="F751" s="1">
        <v>15</v>
      </c>
      <c r="G751" t="b">
        <v>0</v>
      </c>
      <c r="H751" s="1">
        <v>4</v>
      </c>
      <c r="I751" s="1">
        <v>1</v>
      </c>
      <c r="J751" s="2">
        <v>0.22</v>
      </c>
      <c r="K751" s="2">
        <v>0.19700000000000001</v>
      </c>
      <c r="L751" s="2">
        <v>0.37</v>
      </c>
      <c r="M751" s="2">
        <v>0.32840000000000003</v>
      </c>
      <c r="N751" s="1">
        <v>4</v>
      </c>
      <c r="O751" s="1">
        <v>56</v>
      </c>
      <c r="P751" s="1">
        <v>60</v>
      </c>
      <c r="Q751" s="1" t="str">
        <f>IF(WEEKDAY(Bike_Sharing_Master6[[#This Row],[Dteday]],2)&gt;=6,"Weekend","Weekday")</f>
        <v>Weekday</v>
      </c>
      <c r="R751" s="1" t="str">
        <f xml:space="preserve"> IF(Bike_Sharing_Master6[[#This Row],[Hr]]&lt;6,"Late Night", IF(Bike_Sharing_Master6[[#This Row],[Hr]]&lt;10,"Morning Peak", IF(Bike_Sharing_Master6[[#This Row],[Hr]]&lt;17,"Daytime", IF(Bike_Sharing_Master6[[#This Row],[Hr]]&lt;21,"Evening Peak","Night"))))</f>
        <v>Daytime</v>
      </c>
      <c r="S751" s="1" t="str">
        <f>IF(Bike_Sharing_Master6[[#This Row],[Holiday]]=1,"Holiday","Non-Holiday")</f>
        <v>Non-Holiday</v>
      </c>
      <c r="T751" s="1" t="str">
        <f>IF(Bike_Sharing_Master6[[#This Row],[Cnt]]&lt;80,"Low",IF(Bike_Sharing_Master6[[#This Row],[Cnt]]&lt;160,"Medium","High"))</f>
        <v>Low</v>
      </c>
      <c r="U751" s="1" t="str">
        <f>VLOOKUP(Bike_Sharing_Master6[[#This Row],[Weathersit]],[1]Lookup_Weather!A:B,2,FALSE)</f>
        <v>Clear</v>
      </c>
    </row>
    <row r="752" spans="1:21" x14ac:dyDescent="0.3">
      <c r="A752">
        <v>751</v>
      </c>
      <c r="B752" s="3">
        <v>40577</v>
      </c>
      <c r="C752" s="1">
        <v>1</v>
      </c>
      <c r="D752" s="1">
        <v>0</v>
      </c>
      <c r="E752" s="1">
        <v>2</v>
      </c>
      <c r="F752" s="1">
        <v>16</v>
      </c>
      <c r="G752" t="b">
        <v>0</v>
      </c>
      <c r="H752" s="1">
        <v>4</v>
      </c>
      <c r="I752" s="1">
        <v>1</v>
      </c>
      <c r="J752" s="2">
        <v>0.22</v>
      </c>
      <c r="K752" s="2">
        <v>0.21210000000000001</v>
      </c>
      <c r="L752" s="2">
        <v>0.37</v>
      </c>
      <c r="M752" s="2">
        <v>0.25369999999999998</v>
      </c>
      <c r="N752" s="1">
        <v>5</v>
      </c>
      <c r="O752" s="1">
        <v>73</v>
      </c>
      <c r="P752" s="1">
        <v>78</v>
      </c>
      <c r="Q752" s="1" t="str">
        <f>IF(WEEKDAY(Bike_Sharing_Master6[[#This Row],[Dteday]],2)&gt;=6,"Weekend","Weekday")</f>
        <v>Weekday</v>
      </c>
      <c r="R752" s="1" t="str">
        <f xml:space="preserve"> IF(Bike_Sharing_Master6[[#This Row],[Hr]]&lt;6,"Late Night", IF(Bike_Sharing_Master6[[#This Row],[Hr]]&lt;10,"Morning Peak", IF(Bike_Sharing_Master6[[#This Row],[Hr]]&lt;17,"Daytime", IF(Bike_Sharing_Master6[[#This Row],[Hr]]&lt;21,"Evening Peak","Night"))))</f>
        <v>Daytime</v>
      </c>
      <c r="S752" s="1" t="str">
        <f>IF(Bike_Sharing_Master6[[#This Row],[Holiday]]=1,"Holiday","Non-Holiday")</f>
        <v>Non-Holiday</v>
      </c>
      <c r="T752" s="1" t="str">
        <f>IF(Bike_Sharing_Master6[[#This Row],[Cnt]]&lt;80,"Low",IF(Bike_Sharing_Master6[[#This Row],[Cnt]]&lt;160,"Medium","High"))</f>
        <v>Low</v>
      </c>
      <c r="U752" s="1" t="str">
        <f>VLOOKUP(Bike_Sharing_Master6[[#This Row],[Weathersit]],[1]Lookup_Weather!A:B,2,FALSE)</f>
        <v>Clear</v>
      </c>
    </row>
    <row r="753" spans="1:21" x14ac:dyDescent="0.3">
      <c r="A753">
        <v>752</v>
      </c>
      <c r="B753" s="3">
        <v>40577</v>
      </c>
      <c r="C753" s="1">
        <v>1</v>
      </c>
      <c r="D753" s="1">
        <v>0</v>
      </c>
      <c r="E753" s="1">
        <v>2</v>
      </c>
      <c r="F753" s="1">
        <v>17</v>
      </c>
      <c r="G753" t="b">
        <v>0</v>
      </c>
      <c r="H753" s="1">
        <v>4</v>
      </c>
      <c r="I753" s="1">
        <v>1</v>
      </c>
      <c r="J753" s="2">
        <v>0.2</v>
      </c>
      <c r="K753" s="2">
        <v>0.19700000000000001</v>
      </c>
      <c r="L753" s="2">
        <v>0.4</v>
      </c>
      <c r="M753" s="2">
        <v>0.19400000000000001</v>
      </c>
      <c r="N753" s="1">
        <v>5</v>
      </c>
      <c r="O753" s="1">
        <v>170</v>
      </c>
      <c r="P753" s="1">
        <v>175</v>
      </c>
      <c r="Q753" s="1" t="str">
        <f>IF(WEEKDAY(Bike_Sharing_Master6[[#This Row],[Dteday]],2)&gt;=6,"Weekend","Weekday")</f>
        <v>Weekday</v>
      </c>
      <c r="R753" s="1" t="str">
        <f xml:space="preserve"> IF(Bike_Sharing_Master6[[#This Row],[Hr]]&lt;6,"Late Night", IF(Bike_Sharing_Master6[[#This Row],[Hr]]&lt;10,"Morning Peak", IF(Bike_Sharing_Master6[[#This Row],[Hr]]&lt;17,"Daytime", IF(Bike_Sharing_Master6[[#This Row],[Hr]]&lt;21,"Evening Peak","Night"))))</f>
        <v>Evening Peak</v>
      </c>
      <c r="S753" s="1" t="str">
        <f>IF(Bike_Sharing_Master6[[#This Row],[Holiday]]=1,"Holiday","Non-Holiday")</f>
        <v>Non-Holiday</v>
      </c>
      <c r="T753" s="1" t="str">
        <f>IF(Bike_Sharing_Master6[[#This Row],[Cnt]]&lt;80,"Low",IF(Bike_Sharing_Master6[[#This Row],[Cnt]]&lt;160,"Medium","High"))</f>
        <v>High</v>
      </c>
      <c r="U753" s="1" t="str">
        <f>VLOOKUP(Bike_Sharing_Master6[[#This Row],[Weathersit]],[1]Lookup_Weather!A:B,2,FALSE)</f>
        <v>Clear</v>
      </c>
    </row>
    <row r="754" spans="1:21" x14ac:dyDescent="0.3">
      <c r="A754">
        <v>753</v>
      </c>
      <c r="B754" s="3">
        <v>40577</v>
      </c>
      <c r="C754" s="1">
        <v>1</v>
      </c>
      <c r="D754" s="1">
        <v>0</v>
      </c>
      <c r="E754" s="1">
        <v>2</v>
      </c>
      <c r="F754" s="1">
        <v>18</v>
      </c>
      <c r="G754" t="b">
        <v>0</v>
      </c>
      <c r="H754" s="1">
        <v>4</v>
      </c>
      <c r="I754" s="1">
        <v>1</v>
      </c>
      <c r="J754" s="2">
        <v>0.2</v>
      </c>
      <c r="K754" s="2">
        <v>0.21210000000000001</v>
      </c>
      <c r="L754" s="2">
        <v>0.4</v>
      </c>
      <c r="M754" s="2">
        <v>0.16420000000000001</v>
      </c>
      <c r="N754" s="1">
        <v>2</v>
      </c>
      <c r="O754" s="1">
        <v>145</v>
      </c>
      <c r="P754" s="1">
        <v>147</v>
      </c>
      <c r="Q754" s="1" t="str">
        <f>IF(WEEKDAY(Bike_Sharing_Master6[[#This Row],[Dteday]],2)&gt;=6,"Weekend","Weekday")</f>
        <v>Weekday</v>
      </c>
      <c r="R754" s="1" t="str">
        <f xml:space="preserve"> IF(Bike_Sharing_Master6[[#This Row],[Hr]]&lt;6,"Late Night", IF(Bike_Sharing_Master6[[#This Row],[Hr]]&lt;10,"Morning Peak", IF(Bike_Sharing_Master6[[#This Row],[Hr]]&lt;17,"Daytime", IF(Bike_Sharing_Master6[[#This Row],[Hr]]&lt;21,"Evening Peak","Night"))))</f>
        <v>Evening Peak</v>
      </c>
      <c r="S754" s="1" t="str">
        <f>IF(Bike_Sharing_Master6[[#This Row],[Holiday]]=1,"Holiday","Non-Holiday")</f>
        <v>Non-Holiday</v>
      </c>
      <c r="T754" s="1" t="str">
        <f>IF(Bike_Sharing_Master6[[#This Row],[Cnt]]&lt;80,"Low",IF(Bike_Sharing_Master6[[#This Row],[Cnt]]&lt;160,"Medium","High"))</f>
        <v>Medium</v>
      </c>
      <c r="U754" s="1" t="str">
        <f>VLOOKUP(Bike_Sharing_Master6[[#This Row],[Weathersit]],[1]Lookup_Weather!A:B,2,FALSE)</f>
        <v>Clear</v>
      </c>
    </row>
    <row r="755" spans="1:21" x14ac:dyDescent="0.3">
      <c r="A755">
        <v>754</v>
      </c>
      <c r="B755" s="3">
        <v>40577</v>
      </c>
      <c r="C755" s="1">
        <v>1</v>
      </c>
      <c r="D755" s="1">
        <v>0</v>
      </c>
      <c r="E755" s="1">
        <v>2</v>
      </c>
      <c r="F755" s="1">
        <v>19</v>
      </c>
      <c r="G755" t="b">
        <v>0</v>
      </c>
      <c r="H755" s="1">
        <v>4</v>
      </c>
      <c r="I755" s="1">
        <v>1</v>
      </c>
      <c r="J755" s="2">
        <v>0.2</v>
      </c>
      <c r="K755" s="2">
        <v>0.2576</v>
      </c>
      <c r="L755" s="2">
        <v>0.4</v>
      </c>
      <c r="M755" s="2">
        <v>0</v>
      </c>
      <c r="N755" s="1">
        <v>4</v>
      </c>
      <c r="O755" s="1">
        <v>92</v>
      </c>
      <c r="P755" s="1">
        <v>96</v>
      </c>
      <c r="Q755" s="1" t="str">
        <f>IF(WEEKDAY(Bike_Sharing_Master6[[#This Row],[Dteday]],2)&gt;=6,"Weekend","Weekday")</f>
        <v>Weekday</v>
      </c>
      <c r="R755" s="1" t="str">
        <f xml:space="preserve"> IF(Bike_Sharing_Master6[[#This Row],[Hr]]&lt;6,"Late Night", IF(Bike_Sharing_Master6[[#This Row],[Hr]]&lt;10,"Morning Peak", IF(Bike_Sharing_Master6[[#This Row],[Hr]]&lt;17,"Daytime", IF(Bike_Sharing_Master6[[#This Row],[Hr]]&lt;21,"Evening Peak","Night"))))</f>
        <v>Evening Peak</v>
      </c>
      <c r="S755" s="1" t="str">
        <f>IF(Bike_Sharing_Master6[[#This Row],[Holiday]]=1,"Holiday","Non-Holiday")</f>
        <v>Non-Holiday</v>
      </c>
      <c r="T755" s="1" t="str">
        <f>IF(Bike_Sharing_Master6[[#This Row],[Cnt]]&lt;80,"Low",IF(Bike_Sharing_Master6[[#This Row],[Cnt]]&lt;160,"Medium","High"))</f>
        <v>Medium</v>
      </c>
      <c r="U755" s="1" t="str">
        <f>VLOOKUP(Bike_Sharing_Master6[[#This Row],[Weathersit]],[1]Lookup_Weather!A:B,2,FALSE)</f>
        <v>Clear</v>
      </c>
    </row>
    <row r="756" spans="1:21" x14ac:dyDescent="0.3">
      <c r="A756">
        <v>755</v>
      </c>
      <c r="B756" s="3">
        <v>40577</v>
      </c>
      <c r="C756" s="1">
        <v>1</v>
      </c>
      <c r="D756" s="1">
        <v>0</v>
      </c>
      <c r="E756" s="1">
        <v>2</v>
      </c>
      <c r="F756" s="1">
        <v>20</v>
      </c>
      <c r="G756" t="b">
        <v>0</v>
      </c>
      <c r="H756" s="1">
        <v>4</v>
      </c>
      <c r="I756" s="1">
        <v>1</v>
      </c>
      <c r="J756" s="2">
        <v>0.2</v>
      </c>
      <c r="K756" s="2">
        <v>0.2273</v>
      </c>
      <c r="L756" s="2">
        <v>0.47</v>
      </c>
      <c r="M756" s="2">
        <v>8.9599999999999999E-2</v>
      </c>
      <c r="N756" s="1">
        <v>1</v>
      </c>
      <c r="O756" s="1">
        <v>108</v>
      </c>
      <c r="P756" s="1">
        <v>109</v>
      </c>
      <c r="Q756" s="1" t="str">
        <f>IF(WEEKDAY(Bike_Sharing_Master6[[#This Row],[Dteday]],2)&gt;=6,"Weekend","Weekday")</f>
        <v>Weekday</v>
      </c>
      <c r="R756" s="1" t="str">
        <f xml:space="preserve"> IF(Bike_Sharing_Master6[[#This Row],[Hr]]&lt;6,"Late Night", IF(Bike_Sharing_Master6[[#This Row],[Hr]]&lt;10,"Morning Peak", IF(Bike_Sharing_Master6[[#This Row],[Hr]]&lt;17,"Daytime", IF(Bike_Sharing_Master6[[#This Row],[Hr]]&lt;21,"Evening Peak","Night"))))</f>
        <v>Evening Peak</v>
      </c>
      <c r="S756" s="1" t="str">
        <f>IF(Bike_Sharing_Master6[[#This Row],[Holiday]]=1,"Holiday","Non-Holiday")</f>
        <v>Non-Holiday</v>
      </c>
      <c r="T756" s="1" t="str">
        <f>IF(Bike_Sharing_Master6[[#This Row],[Cnt]]&lt;80,"Low",IF(Bike_Sharing_Master6[[#This Row],[Cnt]]&lt;160,"Medium","High"))</f>
        <v>Medium</v>
      </c>
      <c r="U756" s="1" t="str">
        <f>VLOOKUP(Bike_Sharing_Master6[[#This Row],[Weathersit]],[1]Lookup_Weather!A:B,2,FALSE)</f>
        <v>Clear</v>
      </c>
    </row>
    <row r="757" spans="1:21" x14ac:dyDescent="0.3">
      <c r="A757">
        <v>756</v>
      </c>
      <c r="B757" s="3">
        <v>40577</v>
      </c>
      <c r="C757" s="1">
        <v>1</v>
      </c>
      <c r="D757" s="1">
        <v>0</v>
      </c>
      <c r="E757" s="1">
        <v>2</v>
      </c>
      <c r="F757" s="1">
        <v>21</v>
      </c>
      <c r="G757" t="b">
        <v>0</v>
      </c>
      <c r="H757" s="1">
        <v>4</v>
      </c>
      <c r="I757" s="1">
        <v>1</v>
      </c>
      <c r="J757" s="2">
        <v>0.18</v>
      </c>
      <c r="K757" s="2">
        <v>0.21210000000000001</v>
      </c>
      <c r="L757" s="2">
        <v>0.55000000000000004</v>
      </c>
      <c r="M757" s="2">
        <v>0.1045</v>
      </c>
      <c r="N757" s="1">
        <v>1</v>
      </c>
      <c r="O757" s="1">
        <v>53</v>
      </c>
      <c r="P757" s="1">
        <v>54</v>
      </c>
      <c r="Q757" s="1" t="str">
        <f>IF(WEEKDAY(Bike_Sharing_Master6[[#This Row],[Dteday]],2)&gt;=6,"Weekend","Weekday")</f>
        <v>Weekday</v>
      </c>
      <c r="R757" s="1" t="str">
        <f xml:space="preserve"> IF(Bike_Sharing_Master6[[#This Row],[Hr]]&lt;6,"Late Night", IF(Bike_Sharing_Master6[[#This Row],[Hr]]&lt;10,"Morning Peak", IF(Bike_Sharing_Master6[[#This Row],[Hr]]&lt;17,"Daytime", IF(Bike_Sharing_Master6[[#This Row],[Hr]]&lt;21,"Evening Peak","Night"))))</f>
        <v>Night</v>
      </c>
      <c r="S757" s="1" t="str">
        <f>IF(Bike_Sharing_Master6[[#This Row],[Holiday]]=1,"Holiday","Non-Holiday")</f>
        <v>Non-Holiday</v>
      </c>
      <c r="T757" s="1" t="str">
        <f>IF(Bike_Sharing_Master6[[#This Row],[Cnt]]&lt;80,"Low",IF(Bike_Sharing_Master6[[#This Row],[Cnt]]&lt;160,"Medium","High"))</f>
        <v>Low</v>
      </c>
      <c r="U757" s="1" t="str">
        <f>VLOOKUP(Bike_Sharing_Master6[[#This Row],[Weathersit]],[1]Lookup_Weather!A:B,2,FALSE)</f>
        <v>Clear</v>
      </c>
    </row>
    <row r="758" spans="1:21" x14ac:dyDescent="0.3">
      <c r="A758">
        <v>757</v>
      </c>
      <c r="B758" s="3">
        <v>40577</v>
      </c>
      <c r="C758" s="1">
        <v>1</v>
      </c>
      <c r="D758" s="1">
        <v>0</v>
      </c>
      <c r="E758" s="1">
        <v>2</v>
      </c>
      <c r="F758" s="1">
        <v>22</v>
      </c>
      <c r="G758" t="b">
        <v>0</v>
      </c>
      <c r="H758" s="1">
        <v>4</v>
      </c>
      <c r="I758" s="1">
        <v>1</v>
      </c>
      <c r="J758" s="2">
        <v>0.18</v>
      </c>
      <c r="K758" s="2">
        <v>0.21210000000000001</v>
      </c>
      <c r="L758" s="2">
        <v>0.51</v>
      </c>
      <c r="M758" s="2">
        <v>8.9599999999999999E-2</v>
      </c>
      <c r="N758" s="1">
        <v>2</v>
      </c>
      <c r="O758" s="1">
        <v>39</v>
      </c>
      <c r="P758" s="1">
        <v>41</v>
      </c>
      <c r="Q758" s="1" t="str">
        <f>IF(WEEKDAY(Bike_Sharing_Master6[[#This Row],[Dteday]],2)&gt;=6,"Weekend","Weekday")</f>
        <v>Weekday</v>
      </c>
      <c r="R758" s="1" t="str">
        <f xml:space="preserve"> IF(Bike_Sharing_Master6[[#This Row],[Hr]]&lt;6,"Late Night", IF(Bike_Sharing_Master6[[#This Row],[Hr]]&lt;10,"Morning Peak", IF(Bike_Sharing_Master6[[#This Row],[Hr]]&lt;17,"Daytime", IF(Bike_Sharing_Master6[[#This Row],[Hr]]&lt;21,"Evening Peak","Night"))))</f>
        <v>Night</v>
      </c>
      <c r="S758" s="1" t="str">
        <f>IF(Bike_Sharing_Master6[[#This Row],[Holiday]]=1,"Holiday","Non-Holiday")</f>
        <v>Non-Holiday</v>
      </c>
      <c r="T758" s="1" t="str">
        <f>IF(Bike_Sharing_Master6[[#This Row],[Cnt]]&lt;80,"Low",IF(Bike_Sharing_Master6[[#This Row],[Cnt]]&lt;160,"Medium","High"))</f>
        <v>Low</v>
      </c>
      <c r="U758" s="1" t="str">
        <f>VLOOKUP(Bike_Sharing_Master6[[#This Row],[Weathersit]],[1]Lookup_Weather!A:B,2,FALSE)</f>
        <v>Clear</v>
      </c>
    </row>
    <row r="759" spans="1:21" x14ac:dyDescent="0.3">
      <c r="A759">
        <v>758</v>
      </c>
      <c r="B759" s="3">
        <v>40577</v>
      </c>
      <c r="C759" s="1">
        <v>1</v>
      </c>
      <c r="D759" s="1">
        <v>0</v>
      </c>
      <c r="E759" s="1">
        <v>2</v>
      </c>
      <c r="F759" s="1">
        <v>23</v>
      </c>
      <c r="G759" t="b">
        <v>0</v>
      </c>
      <c r="H759" s="1">
        <v>4</v>
      </c>
      <c r="I759" s="1">
        <v>1</v>
      </c>
      <c r="J759" s="2">
        <v>0.2</v>
      </c>
      <c r="K759" s="2">
        <v>0.2273</v>
      </c>
      <c r="L759" s="2">
        <v>0.47</v>
      </c>
      <c r="M759" s="2">
        <v>0.1045</v>
      </c>
      <c r="N759" s="1">
        <v>4</v>
      </c>
      <c r="O759" s="1">
        <v>34</v>
      </c>
      <c r="P759" s="1">
        <v>38</v>
      </c>
      <c r="Q759" s="1" t="str">
        <f>IF(WEEKDAY(Bike_Sharing_Master6[[#This Row],[Dteday]],2)&gt;=6,"Weekend","Weekday")</f>
        <v>Weekday</v>
      </c>
      <c r="R759" s="1" t="str">
        <f xml:space="preserve"> IF(Bike_Sharing_Master6[[#This Row],[Hr]]&lt;6,"Late Night", IF(Bike_Sharing_Master6[[#This Row],[Hr]]&lt;10,"Morning Peak", IF(Bike_Sharing_Master6[[#This Row],[Hr]]&lt;17,"Daytime", IF(Bike_Sharing_Master6[[#This Row],[Hr]]&lt;21,"Evening Peak","Night"))))</f>
        <v>Night</v>
      </c>
      <c r="S759" s="1" t="str">
        <f>IF(Bike_Sharing_Master6[[#This Row],[Holiday]]=1,"Holiday","Non-Holiday")</f>
        <v>Non-Holiday</v>
      </c>
      <c r="T759" s="1" t="str">
        <f>IF(Bike_Sharing_Master6[[#This Row],[Cnt]]&lt;80,"Low",IF(Bike_Sharing_Master6[[#This Row],[Cnt]]&lt;160,"Medium","High"))</f>
        <v>Low</v>
      </c>
      <c r="U759" s="1" t="str">
        <f>VLOOKUP(Bike_Sharing_Master6[[#This Row],[Weathersit]],[1]Lookup_Weather!A:B,2,FALSE)</f>
        <v>Clear</v>
      </c>
    </row>
    <row r="760" spans="1:21" x14ac:dyDescent="0.3">
      <c r="A760">
        <v>759</v>
      </c>
      <c r="B760" s="3">
        <v>40578</v>
      </c>
      <c r="C760" s="1">
        <v>1</v>
      </c>
      <c r="D760" s="1">
        <v>0</v>
      </c>
      <c r="E760" s="1">
        <v>2</v>
      </c>
      <c r="F760" s="1">
        <v>0</v>
      </c>
      <c r="G760" t="b">
        <v>0</v>
      </c>
      <c r="H760" s="1">
        <v>5</v>
      </c>
      <c r="I760" s="1">
        <v>2</v>
      </c>
      <c r="J760" s="2">
        <v>0.2</v>
      </c>
      <c r="K760" s="2">
        <v>0.2576</v>
      </c>
      <c r="L760" s="2">
        <v>0.44</v>
      </c>
      <c r="M760" s="2">
        <v>0</v>
      </c>
      <c r="N760" s="1">
        <v>3</v>
      </c>
      <c r="O760" s="1">
        <v>10</v>
      </c>
      <c r="P760" s="1">
        <v>13</v>
      </c>
      <c r="Q760" s="1" t="str">
        <f>IF(WEEKDAY(Bike_Sharing_Master6[[#This Row],[Dteday]],2)&gt;=6,"Weekend","Weekday")</f>
        <v>Weekday</v>
      </c>
      <c r="R760" s="1" t="str">
        <f xml:space="preserve"> IF(Bike_Sharing_Master6[[#This Row],[Hr]]&lt;6,"Late Night", IF(Bike_Sharing_Master6[[#This Row],[Hr]]&lt;10,"Morning Peak", IF(Bike_Sharing_Master6[[#This Row],[Hr]]&lt;17,"Daytime", IF(Bike_Sharing_Master6[[#This Row],[Hr]]&lt;21,"Evening Peak","Night"))))</f>
        <v>Late Night</v>
      </c>
      <c r="S760" s="1" t="str">
        <f>IF(Bike_Sharing_Master6[[#This Row],[Holiday]]=1,"Holiday","Non-Holiday")</f>
        <v>Non-Holiday</v>
      </c>
      <c r="T760" s="1" t="str">
        <f>IF(Bike_Sharing_Master6[[#This Row],[Cnt]]&lt;80,"Low",IF(Bike_Sharing_Master6[[#This Row],[Cnt]]&lt;160,"Medium","High"))</f>
        <v>Low</v>
      </c>
      <c r="U760" s="1" t="str">
        <f>VLOOKUP(Bike_Sharing_Master6[[#This Row],[Weathersit]],[1]Lookup_Weather!A:B,2,FALSE)</f>
        <v>Mist</v>
      </c>
    </row>
    <row r="761" spans="1:21" x14ac:dyDescent="0.3">
      <c r="A761">
        <v>760</v>
      </c>
      <c r="B761" s="3">
        <v>40578</v>
      </c>
      <c r="C761" s="1">
        <v>1</v>
      </c>
      <c r="D761" s="1">
        <v>0</v>
      </c>
      <c r="E761" s="1">
        <v>2</v>
      </c>
      <c r="F761" s="1">
        <v>1</v>
      </c>
      <c r="G761" t="b">
        <v>0</v>
      </c>
      <c r="H761" s="1">
        <v>5</v>
      </c>
      <c r="I761" s="1">
        <v>2</v>
      </c>
      <c r="J761" s="2">
        <v>0.16</v>
      </c>
      <c r="K761" s="2">
        <v>0.2273</v>
      </c>
      <c r="L761" s="2">
        <v>0.59</v>
      </c>
      <c r="M761" s="2">
        <v>0</v>
      </c>
      <c r="N761" s="1">
        <v>0</v>
      </c>
      <c r="O761" s="1">
        <v>7</v>
      </c>
      <c r="P761" s="1">
        <v>7</v>
      </c>
      <c r="Q761" s="1" t="str">
        <f>IF(WEEKDAY(Bike_Sharing_Master6[[#This Row],[Dteday]],2)&gt;=6,"Weekend","Weekday")</f>
        <v>Weekday</v>
      </c>
      <c r="R761" s="1" t="str">
        <f xml:space="preserve"> IF(Bike_Sharing_Master6[[#This Row],[Hr]]&lt;6,"Late Night", IF(Bike_Sharing_Master6[[#This Row],[Hr]]&lt;10,"Morning Peak", IF(Bike_Sharing_Master6[[#This Row],[Hr]]&lt;17,"Daytime", IF(Bike_Sharing_Master6[[#This Row],[Hr]]&lt;21,"Evening Peak","Night"))))</f>
        <v>Late Night</v>
      </c>
      <c r="S761" s="1" t="str">
        <f>IF(Bike_Sharing_Master6[[#This Row],[Holiday]]=1,"Holiday","Non-Holiday")</f>
        <v>Non-Holiday</v>
      </c>
      <c r="T761" s="1" t="str">
        <f>IF(Bike_Sharing_Master6[[#This Row],[Cnt]]&lt;80,"Low",IF(Bike_Sharing_Master6[[#This Row],[Cnt]]&lt;160,"Medium","High"))</f>
        <v>Low</v>
      </c>
      <c r="U761" s="1" t="str">
        <f>VLOOKUP(Bike_Sharing_Master6[[#This Row],[Weathersit]],[1]Lookup_Weather!A:B,2,FALSE)</f>
        <v>Mist</v>
      </c>
    </row>
    <row r="762" spans="1:21" x14ac:dyDescent="0.3">
      <c r="A762">
        <v>761</v>
      </c>
      <c r="B762" s="3">
        <v>40578</v>
      </c>
      <c r="C762" s="1">
        <v>1</v>
      </c>
      <c r="D762" s="1">
        <v>0</v>
      </c>
      <c r="E762" s="1">
        <v>2</v>
      </c>
      <c r="F762" s="1">
        <v>2</v>
      </c>
      <c r="G762" t="b">
        <v>0</v>
      </c>
      <c r="H762" s="1">
        <v>5</v>
      </c>
      <c r="I762" s="1">
        <v>2</v>
      </c>
      <c r="J762" s="2">
        <v>0.14000000000000001</v>
      </c>
      <c r="K762" s="2">
        <v>0.16669999999999999</v>
      </c>
      <c r="L762" s="2">
        <v>0.63</v>
      </c>
      <c r="M762" s="2">
        <v>0.1045</v>
      </c>
      <c r="N762" s="1">
        <v>0</v>
      </c>
      <c r="O762" s="1">
        <v>1</v>
      </c>
      <c r="P762" s="1">
        <v>1</v>
      </c>
      <c r="Q762" s="1" t="str">
        <f>IF(WEEKDAY(Bike_Sharing_Master6[[#This Row],[Dteday]],2)&gt;=6,"Weekend","Weekday")</f>
        <v>Weekday</v>
      </c>
      <c r="R762" s="1" t="str">
        <f xml:space="preserve"> IF(Bike_Sharing_Master6[[#This Row],[Hr]]&lt;6,"Late Night", IF(Bike_Sharing_Master6[[#This Row],[Hr]]&lt;10,"Morning Peak", IF(Bike_Sharing_Master6[[#This Row],[Hr]]&lt;17,"Daytime", IF(Bike_Sharing_Master6[[#This Row],[Hr]]&lt;21,"Evening Peak","Night"))))</f>
        <v>Late Night</v>
      </c>
      <c r="S762" s="1" t="str">
        <f>IF(Bike_Sharing_Master6[[#This Row],[Holiday]]=1,"Holiday","Non-Holiday")</f>
        <v>Non-Holiday</v>
      </c>
      <c r="T762" s="1" t="str">
        <f>IF(Bike_Sharing_Master6[[#This Row],[Cnt]]&lt;80,"Low",IF(Bike_Sharing_Master6[[#This Row],[Cnt]]&lt;160,"Medium","High"))</f>
        <v>Low</v>
      </c>
      <c r="U762" s="1" t="str">
        <f>VLOOKUP(Bike_Sharing_Master6[[#This Row],[Weathersit]],[1]Lookup_Weather!A:B,2,FALSE)</f>
        <v>Mist</v>
      </c>
    </row>
    <row r="763" spans="1:21" x14ac:dyDescent="0.3">
      <c r="A763">
        <v>762</v>
      </c>
      <c r="B763" s="3">
        <v>40578</v>
      </c>
      <c r="C763" s="1">
        <v>1</v>
      </c>
      <c r="D763" s="1">
        <v>0</v>
      </c>
      <c r="E763" s="1">
        <v>2</v>
      </c>
      <c r="F763" s="1">
        <v>3</v>
      </c>
      <c r="G763" t="b">
        <v>0</v>
      </c>
      <c r="H763" s="1">
        <v>5</v>
      </c>
      <c r="I763" s="1">
        <v>2</v>
      </c>
      <c r="J763" s="2">
        <v>0.14000000000000001</v>
      </c>
      <c r="K763" s="2">
        <v>0.16669999999999999</v>
      </c>
      <c r="L763" s="2">
        <v>0.63</v>
      </c>
      <c r="M763" s="2">
        <v>0.1045</v>
      </c>
      <c r="N763" s="1">
        <v>0</v>
      </c>
      <c r="O763" s="1">
        <v>1</v>
      </c>
      <c r="P763" s="1">
        <v>1</v>
      </c>
      <c r="Q763" s="1" t="str">
        <f>IF(WEEKDAY(Bike_Sharing_Master6[[#This Row],[Dteday]],2)&gt;=6,"Weekend","Weekday")</f>
        <v>Weekday</v>
      </c>
      <c r="R763" s="1" t="str">
        <f xml:space="preserve"> IF(Bike_Sharing_Master6[[#This Row],[Hr]]&lt;6,"Late Night", IF(Bike_Sharing_Master6[[#This Row],[Hr]]&lt;10,"Morning Peak", IF(Bike_Sharing_Master6[[#This Row],[Hr]]&lt;17,"Daytime", IF(Bike_Sharing_Master6[[#This Row],[Hr]]&lt;21,"Evening Peak","Night"))))</f>
        <v>Late Night</v>
      </c>
      <c r="S763" s="1" t="str">
        <f>IF(Bike_Sharing_Master6[[#This Row],[Holiday]]=1,"Holiday","Non-Holiday")</f>
        <v>Non-Holiday</v>
      </c>
      <c r="T763" s="1" t="str">
        <f>IF(Bike_Sharing_Master6[[#This Row],[Cnt]]&lt;80,"Low",IF(Bike_Sharing_Master6[[#This Row],[Cnt]]&lt;160,"Medium","High"))</f>
        <v>Low</v>
      </c>
      <c r="U763" s="1" t="str">
        <f>VLOOKUP(Bike_Sharing_Master6[[#This Row],[Weathersit]],[1]Lookup_Weather!A:B,2,FALSE)</f>
        <v>Mist</v>
      </c>
    </row>
    <row r="764" spans="1:21" x14ac:dyDescent="0.3">
      <c r="A764">
        <v>763</v>
      </c>
      <c r="B764" s="3">
        <v>40578</v>
      </c>
      <c r="C764" s="1">
        <v>1</v>
      </c>
      <c r="D764" s="1">
        <v>0</v>
      </c>
      <c r="E764" s="1">
        <v>2</v>
      </c>
      <c r="F764" s="1">
        <v>5</v>
      </c>
      <c r="G764" t="b">
        <v>0</v>
      </c>
      <c r="H764" s="1">
        <v>5</v>
      </c>
      <c r="I764" s="1">
        <v>2</v>
      </c>
      <c r="J764" s="2">
        <v>0.14000000000000001</v>
      </c>
      <c r="K764" s="2">
        <v>0.1515</v>
      </c>
      <c r="L764" s="2">
        <v>0.63</v>
      </c>
      <c r="M764" s="2">
        <v>0.1343</v>
      </c>
      <c r="N764" s="1">
        <v>0</v>
      </c>
      <c r="O764" s="1">
        <v>7</v>
      </c>
      <c r="P764" s="1">
        <v>7</v>
      </c>
      <c r="Q764" s="1" t="str">
        <f>IF(WEEKDAY(Bike_Sharing_Master6[[#This Row],[Dteday]],2)&gt;=6,"Weekend","Weekday")</f>
        <v>Weekday</v>
      </c>
      <c r="R764" s="1" t="str">
        <f xml:space="preserve"> IF(Bike_Sharing_Master6[[#This Row],[Hr]]&lt;6,"Late Night", IF(Bike_Sharing_Master6[[#This Row],[Hr]]&lt;10,"Morning Peak", IF(Bike_Sharing_Master6[[#This Row],[Hr]]&lt;17,"Daytime", IF(Bike_Sharing_Master6[[#This Row],[Hr]]&lt;21,"Evening Peak","Night"))))</f>
        <v>Late Night</v>
      </c>
      <c r="S764" s="1" t="str">
        <f>IF(Bike_Sharing_Master6[[#This Row],[Holiday]]=1,"Holiday","Non-Holiday")</f>
        <v>Non-Holiday</v>
      </c>
      <c r="T764" s="1" t="str">
        <f>IF(Bike_Sharing_Master6[[#This Row],[Cnt]]&lt;80,"Low",IF(Bike_Sharing_Master6[[#This Row],[Cnt]]&lt;160,"Medium","High"))</f>
        <v>Low</v>
      </c>
      <c r="U764" s="1" t="str">
        <f>VLOOKUP(Bike_Sharing_Master6[[#This Row],[Weathersit]],[1]Lookup_Weather!A:B,2,FALSE)</f>
        <v>Mist</v>
      </c>
    </row>
    <row r="765" spans="1:21" x14ac:dyDescent="0.3">
      <c r="A765">
        <v>764</v>
      </c>
      <c r="B765" s="3">
        <v>40578</v>
      </c>
      <c r="C765" s="1">
        <v>1</v>
      </c>
      <c r="D765" s="1">
        <v>0</v>
      </c>
      <c r="E765" s="1">
        <v>2</v>
      </c>
      <c r="F765" s="1">
        <v>6</v>
      </c>
      <c r="G765" t="b">
        <v>0</v>
      </c>
      <c r="H765" s="1">
        <v>5</v>
      </c>
      <c r="I765" s="1">
        <v>2</v>
      </c>
      <c r="J765" s="2">
        <v>0.16</v>
      </c>
      <c r="K765" s="2">
        <v>0.2273</v>
      </c>
      <c r="L765" s="2">
        <v>0.55000000000000004</v>
      </c>
      <c r="M765" s="2">
        <v>0</v>
      </c>
      <c r="N765" s="1">
        <v>2</v>
      </c>
      <c r="O765" s="1">
        <v>26</v>
      </c>
      <c r="P765" s="1">
        <v>28</v>
      </c>
      <c r="Q765" s="1" t="str">
        <f>IF(WEEKDAY(Bike_Sharing_Master6[[#This Row],[Dteday]],2)&gt;=6,"Weekend","Weekday")</f>
        <v>Weekday</v>
      </c>
      <c r="R765" s="1" t="str">
        <f xml:space="preserve"> IF(Bike_Sharing_Master6[[#This Row],[Hr]]&lt;6,"Late Night", IF(Bike_Sharing_Master6[[#This Row],[Hr]]&lt;10,"Morning Peak", IF(Bike_Sharing_Master6[[#This Row],[Hr]]&lt;17,"Daytime", IF(Bike_Sharing_Master6[[#This Row],[Hr]]&lt;21,"Evening Peak","Night"))))</f>
        <v>Morning Peak</v>
      </c>
      <c r="S765" s="1" t="str">
        <f>IF(Bike_Sharing_Master6[[#This Row],[Holiday]]=1,"Holiday","Non-Holiday")</f>
        <v>Non-Holiday</v>
      </c>
      <c r="T765" s="1" t="str">
        <f>IF(Bike_Sharing_Master6[[#This Row],[Cnt]]&lt;80,"Low",IF(Bike_Sharing_Master6[[#This Row],[Cnt]]&lt;160,"Medium","High"))</f>
        <v>Low</v>
      </c>
      <c r="U765" s="1" t="str">
        <f>VLOOKUP(Bike_Sharing_Master6[[#This Row],[Weathersit]],[1]Lookup_Weather!A:B,2,FALSE)</f>
        <v>Mist</v>
      </c>
    </row>
    <row r="766" spans="1:21" x14ac:dyDescent="0.3">
      <c r="A766">
        <v>765</v>
      </c>
      <c r="B766" s="3">
        <v>40578</v>
      </c>
      <c r="C766" s="1">
        <v>1</v>
      </c>
      <c r="D766" s="1">
        <v>0</v>
      </c>
      <c r="E766" s="1">
        <v>2</v>
      </c>
      <c r="F766" s="1">
        <v>7</v>
      </c>
      <c r="G766" t="b">
        <v>0</v>
      </c>
      <c r="H766" s="1">
        <v>5</v>
      </c>
      <c r="I766" s="1">
        <v>1</v>
      </c>
      <c r="J766" s="2">
        <v>0.14000000000000001</v>
      </c>
      <c r="K766" s="2">
        <v>0.21210000000000001</v>
      </c>
      <c r="L766" s="2">
        <v>0.59</v>
      </c>
      <c r="M766" s="2">
        <v>0</v>
      </c>
      <c r="N766" s="1">
        <v>0</v>
      </c>
      <c r="O766" s="1">
        <v>87</v>
      </c>
      <c r="P766" s="1">
        <v>87</v>
      </c>
      <c r="Q766" s="1" t="str">
        <f>IF(WEEKDAY(Bike_Sharing_Master6[[#This Row],[Dteday]],2)&gt;=6,"Weekend","Weekday")</f>
        <v>Weekday</v>
      </c>
      <c r="R766" s="1" t="str">
        <f xml:space="preserve"> IF(Bike_Sharing_Master6[[#This Row],[Hr]]&lt;6,"Late Night", IF(Bike_Sharing_Master6[[#This Row],[Hr]]&lt;10,"Morning Peak", IF(Bike_Sharing_Master6[[#This Row],[Hr]]&lt;17,"Daytime", IF(Bike_Sharing_Master6[[#This Row],[Hr]]&lt;21,"Evening Peak","Night"))))</f>
        <v>Morning Peak</v>
      </c>
      <c r="S766" s="1" t="str">
        <f>IF(Bike_Sharing_Master6[[#This Row],[Holiday]]=1,"Holiday","Non-Holiday")</f>
        <v>Non-Holiday</v>
      </c>
      <c r="T766" s="1" t="str">
        <f>IF(Bike_Sharing_Master6[[#This Row],[Cnt]]&lt;80,"Low",IF(Bike_Sharing_Master6[[#This Row],[Cnt]]&lt;160,"Medium","High"))</f>
        <v>Medium</v>
      </c>
      <c r="U766" s="1" t="str">
        <f>VLOOKUP(Bike_Sharing_Master6[[#This Row],[Weathersit]],[1]Lookup_Weather!A:B,2,FALSE)</f>
        <v>Clear</v>
      </c>
    </row>
    <row r="767" spans="1:21" x14ac:dyDescent="0.3">
      <c r="A767">
        <v>766</v>
      </c>
      <c r="B767" s="3">
        <v>40578</v>
      </c>
      <c r="C767" s="1">
        <v>1</v>
      </c>
      <c r="D767" s="1">
        <v>0</v>
      </c>
      <c r="E767" s="1">
        <v>2</v>
      </c>
      <c r="F767" s="1">
        <v>8</v>
      </c>
      <c r="G767" t="b">
        <v>0</v>
      </c>
      <c r="H767" s="1">
        <v>5</v>
      </c>
      <c r="I767" s="1">
        <v>1</v>
      </c>
      <c r="J767" s="2">
        <v>0.14000000000000001</v>
      </c>
      <c r="K767" s="2">
        <v>0.1515</v>
      </c>
      <c r="L767" s="2">
        <v>0.74</v>
      </c>
      <c r="M767" s="2">
        <v>0.1343</v>
      </c>
      <c r="N767" s="1">
        <v>3</v>
      </c>
      <c r="O767" s="1">
        <v>217</v>
      </c>
      <c r="P767" s="1">
        <v>220</v>
      </c>
      <c r="Q767" s="1" t="str">
        <f>IF(WEEKDAY(Bike_Sharing_Master6[[#This Row],[Dteday]],2)&gt;=6,"Weekend","Weekday")</f>
        <v>Weekday</v>
      </c>
      <c r="R767" s="1" t="str">
        <f xml:space="preserve"> IF(Bike_Sharing_Master6[[#This Row],[Hr]]&lt;6,"Late Night", IF(Bike_Sharing_Master6[[#This Row],[Hr]]&lt;10,"Morning Peak", IF(Bike_Sharing_Master6[[#This Row],[Hr]]&lt;17,"Daytime", IF(Bike_Sharing_Master6[[#This Row],[Hr]]&lt;21,"Evening Peak","Night"))))</f>
        <v>Morning Peak</v>
      </c>
      <c r="S767" s="1" t="str">
        <f>IF(Bike_Sharing_Master6[[#This Row],[Holiday]]=1,"Holiday","Non-Holiday")</f>
        <v>Non-Holiday</v>
      </c>
      <c r="T767" s="1" t="str">
        <f>IF(Bike_Sharing_Master6[[#This Row],[Cnt]]&lt;80,"Low",IF(Bike_Sharing_Master6[[#This Row],[Cnt]]&lt;160,"Medium","High"))</f>
        <v>High</v>
      </c>
      <c r="U767" s="1" t="str">
        <f>VLOOKUP(Bike_Sharing_Master6[[#This Row],[Weathersit]],[1]Lookup_Weather!A:B,2,FALSE)</f>
        <v>Clear</v>
      </c>
    </row>
    <row r="768" spans="1:21" x14ac:dyDescent="0.3">
      <c r="A768">
        <v>767</v>
      </c>
      <c r="B768" s="3">
        <v>40578</v>
      </c>
      <c r="C768" s="1">
        <v>1</v>
      </c>
      <c r="D768" s="1">
        <v>0</v>
      </c>
      <c r="E768" s="1">
        <v>2</v>
      </c>
      <c r="F768" s="1">
        <v>9</v>
      </c>
      <c r="G768" t="b">
        <v>0</v>
      </c>
      <c r="H768" s="1">
        <v>5</v>
      </c>
      <c r="I768" s="1">
        <v>2</v>
      </c>
      <c r="J768" s="2">
        <v>0.16</v>
      </c>
      <c r="K768" s="2">
        <v>0.18179999999999999</v>
      </c>
      <c r="L768" s="2">
        <v>0.8</v>
      </c>
      <c r="M768" s="2">
        <v>0.1343</v>
      </c>
      <c r="N768" s="1">
        <v>3</v>
      </c>
      <c r="O768" s="1">
        <v>124</v>
      </c>
      <c r="P768" s="1">
        <v>127</v>
      </c>
      <c r="Q768" s="1" t="str">
        <f>IF(WEEKDAY(Bike_Sharing_Master6[[#This Row],[Dteday]],2)&gt;=6,"Weekend","Weekday")</f>
        <v>Weekday</v>
      </c>
      <c r="R768" s="1" t="str">
        <f xml:space="preserve"> IF(Bike_Sharing_Master6[[#This Row],[Hr]]&lt;6,"Late Night", IF(Bike_Sharing_Master6[[#This Row],[Hr]]&lt;10,"Morning Peak", IF(Bike_Sharing_Master6[[#This Row],[Hr]]&lt;17,"Daytime", IF(Bike_Sharing_Master6[[#This Row],[Hr]]&lt;21,"Evening Peak","Night"))))</f>
        <v>Morning Peak</v>
      </c>
      <c r="S768" s="1" t="str">
        <f>IF(Bike_Sharing_Master6[[#This Row],[Holiday]]=1,"Holiday","Non-Holiday")</f>
        <v>Non-Holiday</v>
      </c>
      <c r="T768" s="1" t="str">
        <f>IF(Bike_Sharing_Master6[[#This Row],[Cnt]]&lt;80,"Low",IF(Bike_Sharing_Master6[[#This Row],[Cnt]]&lt;160,"Medium","High"))</f>
        <v>Medium</v>
      </c>
      <c r="U768" s="1" t="str">
        <f>VLOOKUP(Bike_Sharing_Master6[[#This Row],[Weathersit]],[1]Lookup_Weather!A:B,2,FALSE)</f>
        <v>Mist</v>
      </c>
    </row>
    <row r="769" spans="1:21" x14ac:dyDescent="0.3">
      <c r="A769">
        <v>768</v>
      </c>
      <c r="B769" s="3">
        <v>40578</v>
      </c>
      <c r="C769" s="1">
        <v>1</v>
      </c>
      <c r="D769" s="1">
        <v>0</v>
      </c>
      <c r="E769" s="1">
        <v>2</v>
      </c>
      <c r="F769" s="1">
        <v>10</v>
      </c>
      <c r="G769" t="b">
        <v>0</v>
      </c>
      <c r="H769" s="1">
        <v>5</v>
      </c>
      <c r="I769" s="1">
        <v>2</v>
      </c>
      <c r="J769" s="2">
        <v>0.2</v>
      </c>
      <c r="K769" s="2">
        <v>0.21210000000000001</v>
      </c>
      <c r="L769" s="2">
        <v>0.51</v>
      </c>
      <c r="M769" s="2">
        <v>0.1343</v>
      </c>
      <c r="N769" s="1">
        <v>5</v>
      </c>
      <c r="O769" s="1">
        <v>46</v>
      </c>
      <c r="P769" s="1">
        <v>51</v>
      </c>
      <c r="Q769" s="1" t="str">
        <f>IF(WEEKDAY(Bike_Sharing_Master6[[#This Row],[Dteday]],2)&gt;=6,"Weekend","Weekday")</f>
        <v>Weekday</v>
      </c>
      <c r="R769" s="1" t="str">
        <f xml:space="preserve"> IF(Bike_Sharing_Master6[[#This Row],[Hr]]&lt;6,"Late Night", IF(Bike_Sharing_Master6[[#This Row],[Hr]]&lt;10,"Morning Peak", IF(Bike_Sharing_Master6[[#This Row],[Hr]]&lt;17,"Daytime", IF(Bike_Sharing_Master6[[#This Row],[Hr]]&lt;21,"Evening Peak","Night"))))</f>
        <v>Daytime</v>
      </c>
      <c r="S769" s="1" t="str">
        <f>IF(Bike_Sharing_Master6[[#This Row],[Holiday]]=1,"Holiday","Non-Holiday")</f>
        <v>Non-Holiday</v>
      </c>
      <c r="T769" s="1" t="str">
        <f>IF(Bike_Sharing_Master6[[#This Row],[Cnt]]&lt;80,"Low",IF(Bike_Sharing_Master6[[#This Row],[Cnt]]&lt;160,"Medium","High"))</f>
        <v>Low</v>
      </c>
      <c r="U769" s="1" t="str">
        <f>VLOOKUP(Bike_Sharing_Master6[[#This Row],[Weathersit]],[1]Lookup_Weather!A:B,2,FALSE)</f>
        <v>Mist</v>
      </c>
    </row>
    <row r="770" spans="1:21" x14ac:dyDescent="0.3">
      <c r="A770">
        <v>769</v>
      </c>
      <c r="B770" s="3">
        <v>40578</v>
      </c>
      <c r="C770" s="1">
        <v>1</v>
      </c>
      <c r="D770" s="1">
        <v>0</v>
      </c>
      <c r="E770" s="1">
        <v>2</v>
      </c>
      <c r="F770" s="1">
        <v>11</v>
      </c>
      <c r="G770" t="b">
        <v>0</v>
      </c>
      <c r="H770" s="1">
        <v>5</v>
      </c>
      <c r="I770" s="1">
        <v>1</v>
      </c>
      <c r="J770" s="2">
        <v>0.22</v>
      </c>
      <c r="K770" s="2">
        <v>0.2273</v>
      </c>
      <c r="L770" s="2">
        <v>0.51</v>
      </c>
      <c r="M770" s="2">
        <v>0.16420000000000001</v>
      </c>
      <c r="N770" s="1">
        <v>3</v>
      </c>
      <c r="O770" s="1">
        <v>61</v>
      </c>
      <c r="P770" s="1">
        <v>64</v>
      </c>
      <c r="Q770" s="1" t="str">
        <f>IF(WEEKDAY(Bike_Sharing_Master6[[#This Row],[Dteday]],2)&gt;=6,"Weekend","Weekday")</f>
        <v>Weekday</v>
      </c>
      <c r="R770" s="1" t="str">
        <f xml:space="preserve"> IF(Bike_Sharing_Master6[[#This Row],[Hr]]&lt;6,"Late Night", IF(Bike_Sharing_Master6[[#This Row],[Hr]]&lt;10,"Morning Peak", IF(Bike_Sharing_Master6[[#This Row],[Hr]]&lt;17,"Daytime", IF(Bike_Sharing_Master6[[#This Row],[Hr]]&lt;21,"Evening Peak","Night"))))</f>
        <v>Daytime</v>
      </c>
      <c r="S770" s="1" t="str">
        <f>IF(Bike_Sharing_Master6[[#This Row],[Holiday]]=1,"Holiday","Non-Holiday")</f>
        <v>Non-Holiday</v>
      </c>
      <c r="T770" s="1" t="str">
        <f>IF(Bike_Sharing_Master6[[#This Row],[Cnt]]&lt;80,"Low",IF(Bike_Sharing_Master6[[#This Row],[Cnt]]&lt;160,"Medium","High"))</f>
        <v>Low</v>
      </c>
      <c r="U770" s="1" t="str">
        <f>VLOOKUP(Bike_Sharing_Master6[[#This Row],[Weathersit]],[1]Lookup_Weather!A:B,2,FALSE)</f>
        <v>Clear</v>
      </c>
    </row>
    <row r="771" spans="1:21" x14ac:dyDescent="0.3">
      <c r="A771">
        <v>770</v>
      </c>
      <c r="B771" s="3">
        <v>40578</v>
      </c>
      <c r="C771" s="1">
        <v>1</v>
      </c>
      <c r="D771" s="1">
        <v>0</v>
      </c>
      <c r="E771" s="1">
        <v>2</v>
      </c>
      <c r="F771" s="1">
        <v>12</v>
      </c>
      <c r="G771" t="b">
        <v>0</v>
      </c>
      <c r="H771" s="1">
        <v>5</v>
      </c>
      <c r="I771" s="1">
        <v>2</v>
      </c>
      <c r="J771" s="2">
        <v>0.24</v>
      </c>
      <c r="K771" s="2">
        <v>0.2424</v>
      </c>
      <c r="L771" s="2">
        <v>0.48</v>
      </c>
      <c r="M771" s="2">
        <v>0.16420000000000001</v>
      </c>
      <c r="N771" s="1">
        <v>8</v>
      </c>
      <c r="O771" s="1">
        <v>78</v>
      </c>
      <c r="P771" s="1">
        <v>86</v>
      </c>
      <c r="Q771" s="1" t="str">
        <f>IF(WEEKDAY(Bike_Sharing_Master6[[#This Row],[Dteday]],2)&gt;=6,"Weekend","Weekday")</f>
        <v>Weekday</v>
      </c>
      <c r="R771" s="1" t="str">
        <f xml:space="preserve"> IF(Bike_Sharing_Master6[[#This Row],[Hr]]&lt;6,"Late Night", IF(Bike_Sharing_Master6[[#This Row],[Hr]]&lt;10,"Morning Peak", IF(Bike_Sharing_Master6[[#This Row],[Hr]]&lt;17,"Daytime", IF(Bike_Sharing_Master6[[#This Row],[Hr]]&lt;21,"Evening Peak","Night"))))</f>
        <v>Daytime</v>
      </c>
      <c r="S771" s="1" t="str">
        <f>IF(Bike_Sharing_Master6[[#This Row],[Holiday]]=1,"Holiday","Non-Holiday")</f>
        <v>Non-Holiday</v>
      </c>
      <c r="T771" s="1" t="str">
        <f>IF(Bike_Sharing_Master6[[#This Row],[Cnt]]&lt;80,"Low",IF(Bike_Sharing_Master6[[#This Row],[Cnt]]&lt;160,"Medium","High"))</f>
        <v>Medium</v>
      </c>
      <c r="U771" s="1" t="str">
        <f>VLOOKUP(Bike_Sharing_Master6[[#This Row],[Weathersit]],[1]Lookup_Weather!A:B,2,FALSE)</f>
        <v>Mist</v>
      </c>
    </row>
    <row r="772" spans="1:21" x14ac:dyDescent="0.3">
      <c r="A772">
        <v>771</v>
      </c>
      <c r="B772" s="3">
        <v>40578</v>
      </c>
      <c r="C772" s="1">
        <v>1</v>
      </c>
      <c r="D772" s="1">
        <v>0</v>
      </c>
      <c r="E772" s="1">
        <v>2</v>
      </c>
      <c r="F772" s="1">
        <v>13</v>
      </c>
      <c r="G772" t="b">
        <v>0</v>
      </c>
      <c r="H772" s="1">
        <v>5</v>
      </c>
      <c r="I772" s="1">
        <v>2</v>
      </c>
      <c r="J772" s="2">
        <v>0.26</v>
      </c>
      <c r="K772" s="2">
        <v>0.2576</v>
      </c>
      <c r="L772" s="2">
        <v>0.5</v>
      </c>
      <c r="M772" s="2">
        <v>0.22389999999999999</v>
      </c>
      <c r="N772" s="1">
        <v>9</v>
      </c>
      <c r="O772" s="1">
        <v>73</v>
      </c>
      <c r="P772" s="1">
        <v>82</v>
      </c>
      <c r="Q772" s="1" t="str">
        <f>IF(WEEKDAY(Bike_Sharing_Master6[[#This Row],[Dteday]],2)&gt;=6,"Weekend","Weekday")</f>
        <v>Weekday</v>
      </c>
      <c r="R772" s="1" t="str">
        <f xml:space="preserve"> IF(Bike_Sharing_Master6[[#This Row],[Hr]]&lt;6,"Late Night", IF(Bike_Sharing_Master6[[#This Row],[Hr]]&lt;10,"Morning Peak", IF(Bike_Sharing_Master6[[#This Row],[Hr]]&lt;17,"Daytime", IF(Bike_Sharing_Master6[[#This Row],[Hr]]&lt;21,"Evening Peak","Night"))))</f>
        <v>Daytime</v>
      </c>
      <c r="S772" s="1" t="str">
        <f>IF(Bike_Sharing_Master6[[#This Row],[Holiday]]=1,"Holiday","Non-Holiday")</f>
        <v>Non-Holiday</v>
      </c>
      <c r="T772" s="1" t="str">
        <f>IF(Bike_Sharing_Master6[[#This Row],[Cnt]]&lt;80,"Low",IF(Bike_Sharing_Master6[[#This Row],[Cnt]]&lt;160,"Medium","High"))</f>
        <v>Medium</v>
      </c>
      <c r="U772" s="1" t="str">
        <f>VLOOKUP(Bike_Sharing_Master6[[#This Row],[Weathersit]],[1]Lookup_Weather!A:B,2,FALSE)</f>
        <v>Mist</v>
      </c>
    </row>
    <row r="773" spans="1:21" x14ac:dyDescent="0.3">
      <c r="A773">
        <v>772</v>
      </c>
      <c r="B773" s="3">
        <v>40578</v>
      </c>
      <c r="C773" s="1">
        <v>1</v>
      </c>
      <c r="D773" s="1">
        <v>0</v>
      </c>
      <c r="E773" s="1">
        <v>2</v>
      </c>
      <c r="F773" s="1">
        <v>14</v>
      </c>
      <c r="G773" t="b">
        <v>0</v>
      </c>
      <c r="H773" s="1">
        <v>5</v>
      </c>
      <c r="I773" s="1">
        <v>2</v>
      </c>
      <c r="J773" s="2">
        <v>0.28000000000000003</v>
      </c>
      <c r="K773" s="2">
        <v>0.2727</v>
      </c>
      <c r="L773" s="2">
        <v>0.45</v>
      </c>
      <c r="M773" s="2">
        <v>0.16420000000000001</v>
      </c>
      <c r="N773" s="1">
        <v>15</v>
      </c>
      <c r="O773" s="1">
        <v>76</v>
      </c>
      <c r="P773" s="1">
        <v>91</v>
      </c>
      <c r="Q773" s="1" t="str">
        <f>IF(WEEKDAY(Bike_Sharing_Master6[[#This Row],[Dteday]],2)&gt;=6,"Weekend","Weekday")</f>
        <v>Weekday</v>
      </c>
      <c r="R773" s="1" t="str">
        <f xml:space="preserve"> IF(Bike_Sharing_Master6[[#This Row],[Hr]]&lt;6,"Late Night", IF(Bike_Sharing_Master6[[#This Row],[Hr]]&lt;10,"Morning Peak", IF(Bike_Sharing_Master6[[#This Row],[Hr]]&lt;17,"Daytime", IF(Bike_Sharing_Master6[[#This Row],[Hr]]&lt;21,"Evening Peak","Night"))))</f>
        <v>Daytime</v>
      </c>
      <c r="S773" s="1" t="str">
        <f>IF(Bike_Sharing_Master6[[#This Row],[Holiday]]=1,"Holiday","Non-Holiday")</f>
        <v>Non-Holiday</v>
      </c>
      <c r="T773" s="1" t="str">
        <f>IF(Bike_Sharing_Master6[[#This Row],[Cnt]]&lt;80,"Low",IF(Bike_Sharing_Master6[[#This Row],[Cnt]]&lt;160,"Medium","High"))</f>
        <v>Medium</v>
      </c>
      <c r="U773" s="1" t="str">
        <f>VLOOKUP(Bike_Sharing_Master6[[#This Row],[Weathersit]],[1]Lookup_Weather!A:B,2,FALSE)</f>
        <v>Mist</v>
      </c>
    </row>
    <row r="774" spans="1:21" x14ac:dyDescent="0.3">
      <c r="A774">
        <v>773</v>
      </c>
      <c r="B774" s="3">
        <v>40578</v>
      </c>
      <c r="C774" s="1">
        <v>1</v>
      </c>
      <c r="D774" s="1">
        <v>0</v>
      </c>
      <c r="E774" s="1">
        <v>2</v>
      </c>
      <c r="F774" s="1">
        <v>15</v>
      </c>
      <c r="G774" t="b">
        <v>0</v>
      </c>
      <c r="H774" s="1">
        <v>5</v>
      </c>
      <c r="I774" s="1">
        <v>2</v>
      </c>
      <c r="J774" s="2">
        <v>0.28000000000000003</v>
      </c>
      <c r="K774" s="2">
        <v>0.2727</v>
      </c>
      <c r="L774" s="2">
        <v>0.48</v>
      </c>
      <c r="M774" s="2">
        <v>0.25369999999999998</v>
      </c>
      <c r="N774" s="1">
        <v>9</v>
      </c>
      <c r="O774" s="1">
        <v>81</v>
      </c>
      <c r="P774" s="1">
        <v>90</v>
      </c>
      <c r="Q774" s="1" t="str">
        <f>IF(WEEKDAY(Bike_Sharing_Master6[[#This Row],[Dteday]],2)&gt;=6,"Weekend","Weekday")</f>
        <v>Weekday</v>
      </c>
      <c r="R774" s="1" t="str">
        <f xml:space="preserve"> IF(Bike_Sharing_Master6[[#This Row],[Hr]]&lt;6,"Late Night", IF(Bike_Sharing_Master6[[#This Row],[Hr]]&lt;10,"Morning Peak", IF(Bike_Sharing_Master6[[#This Row],[Hr]]&lt;17,"Daytime", IF(Bike_Sharing_Master6[[#This Row],[Hr]]&lt;21,"Evening Peak","Night"))))</f>
        <v>Daytime</v>
      </c>
      <c r="S774" s="1" t="str">
        <f>IF(Bike_Sharing_Master6[[#This Row],[Holiday]]=1,"Holiday","Non-Holiday")</f>
        <v>Non-Holiday</v>
      </c>
      <c r="T774" s="1" t="str">
        <f>IF(Bike_Sharing_Master6[[#This Row],[Cnt]]&lt;80,"Low",IF(Bike_Sharing_Master6[[#This Row],[Cnt]]&lt;160,"Medium","High"))</f>
        <v>Medium</v>
      </c>
      <c r="U774" s="1" t="str">
        <f>VLOOKUP(Bike_Sharing_Master6[[#This Row],[Weathersit]],[1]Lookup_Weather!A:B,2,FALSE)</f>
        <v>Mist</v>
      </c>
    </row>
    <row r="775" spans="1:21" x14ac:dyDescent="0.3">
      <c r="A775">
        <v>774</v>
      </c>
      <c r="B775" s="3">
        <v>40578</v>
      </c>
      <c r="C775" s="1">
        <v>1</v>
      </c>
      <c r="D775" s="1">
        <v>0</v>
      </c>
      <c r="E775" s="1">
        <v>2</v>
      </c>
      <c r="F775" s="1">
        <v>16</v>
      </c>
      <c r="G775" t="b">
        <v>0</v>
      </c>
      <c r="H775" s="1">
        <v>5</v>
      </c>
      <c r="I775" s="1">
        <v>2</v>
      </c>
      <c r="J775" s="2">
        <v>0.3</v>
      </c>
      <c r="K775" s="2">
        <v>0.28789999999999999</v>
      </c>
      <c r="L775" s="2">
        <v>0.42</v>
      </c>
      <c r="M775" s="2">
        <v>0.22389999999999999</v>
      </c>
      <c r="N775" s="1">
        <v>8</v>
      </c>
      <c r="O775" s="1">
        <v>91</v>
      </c>
      <c r="P775" s="1">
        <v>99</v>
      </c>
      <c r="Q775" s="1" t="str">
        <f>IF(WEEKDAY(Bike_Sharing_Master6[[#This Row],[Dteday]],2)&gt;=6,"Weekend","Weekday")</f>
        <v>Weekday</v>
      </c>
      <c r="R775" s="1" t="str">
        <f xml:space="preserve"> IF(Bike_Sharing_Master6[[#This Row],[Hr]]&lt;6,"Late Night", IF(Bike_Sharing_Master6[[#This Row],[Hr]]&lt;10,"Morning Peak", IF(Bike_Sharing_Master6[[#This Row],[Hr]]&lt;17,"Daytime", IF(Bike_Sharing_Master6[[#This Row],[Hr]]&lt;21,"Evening Peak","Night"))))</f>
        <v>Daytime</v>
      </c>
      <c r="S775" s="1" t="str">
        <f>IF(Bike_Sharing_Master6[[#This Row],[Holiday]]=1,"Holiday","Non-Holiday")</f>
        <v>Non-Holiday</v>
      </c>
      <c r="T775" s="1" t="str">
        <f>IF(Bike_Sharing_Master6[[#This Row],[Cnt]]&lt;80,"Low",IF(Bike_Sharing_Master6[[#This Row],[Cnt]]&lt;160,"Medium","High"))</f>
        <v>Medium</v>
      </c>
      <c r="U775" s="1" t="str">
        <f>VLOOKUP(Bike_Sharing_Master6[[#This Row],[Weathersit]],[1]Lookup_Weather!A:B,2,FALSE)</f>
        <v>Mist</v>
      </c>
    </row>
    <row r="776" spans="1:21" x14ac:dyDescent="0.3">
      <c r="A776">
        <v>775</v>
      </c>
      <c r="B776" s="3">
        <v>40578</v>
      </c>
      <c r="C776" s="1">
        <v>1</v>
      </c>
      <c r="D776" s="1">
        <v>0</v>
      </c>
      <c r="E776" s="1">
        <v>2</v>
      </c>
      <c r="F776" s="1">
        <v>17</v>
      </c>
      <c r="G776" t="b">
        <v>0</v>
      </c>
      <c r="H776" s="1">
        <v>5</v>
      </c>
      <c r="I776" s="1">
        <v>2</v>
      </c>
      <c r="J776" s="2">
        <v>0.26</v>
      </c>
      <c r="K776" s="2">
        <v>0.2727</v>
      </c>
      <c r="L776" s="2">
        <v>0.56000000000000005</v>
      </c>
      <c r="M776" s="2">
        <v>0.1343</v>
      </c>
      <c r="N776" s="1">
        <v>10</v>
      </c>
      <c r="O776" s="1">
        <v>195</v>
      </c>
      <c r="P776" s="1">
        <v>205</v>
      </c>
      <c r="Q776" s="1" t="str">
        <f>IF(WEEKDAY(Bike_Sharing_Master6[[#This Row],[Dteday]],2)&gt;=6,"Weekend","Weekday")</f>
        <v>Weekday</v>
      </c>
      <c r="R776" s="1" t="str">
        <f xml:space="preserve"> IF(Bike_Sharing_Master6[[#This Row],[Hr]]&lt;6,"Late Night", IF(Bike_Sharing_Master6[[#This Row],[Hr]]&lt;10,"Morning Peak", IF(Bike_Sharing_Master6[[#This Row],[Hr]]&lt;17,"Daytime", IF(Bike_Sharing_Master6[[#This Row],[Hr]]&lt;21,"Evening Peak","Night"))))</f>
        <v>Evening Peak</v>
      </c>
      <c r="S776" s="1" t="str">
        <f>IF(Bike_Sharing_Master6[[#This Row],[Holiday]]=1,"Holiday","Non-Holiday")</f>
        <v>Non-Holiday</v>
      </c>
      <c r="T776" s="1" t="str">
        <f>IF(Bike_Sharing_Master6[[#This Row],[Cnt]]&lt;80,"Low",IF(Bike_Sharing_Master6[[#This Row],[Cnt]]&lt;160,"Medium","High"))</f>
        <v>High</v>
      </c>
      <c r="U776" s="1" t="str">
        <f>VLOOKUP(Bike_Sharing_Master6[[#This Row],[Weathersit]],[1]Lookup_Weather!A:B,2,FALSE)</f>
        <v>Mist</v>
      </c>
    </row>
    <row r="777" spans="1:21" x14ac:dyDescent="0.3">
      <c r="A777">
        <v>776</v>
      </c>
      <c r="B777" s="3">
        <v>40578</v>
      </c>
      <c r="C777" s="1">
        <v>1</v>
      </c>
      <c r="D777" s="1">
        <v>0</v>
      </c>
      <c r="E777" s="1">
        <v>2</v>
      </c>
      <c r="F777" s="1">
        <v>18</v>
      </c>
      <c r="G777" t="b">
        <v>0</v>
      </c>
      <c r="H777" s="1">
        <v>5</v>
      </c>
      <c r="I777" s="1">
        <v>2</v>
      </c>
      <c r="J777" s="2">
        <v>0.24</v>
      </c>
      <c r="K777" s="2">
        <v>0.2576</v>
      </c>
      <c r="L777" s="2">
        <v>0.6</v>
      </c>
      <c r="M777" s="2">
        <v>0.1045</v>
      </c>
      <c r="N777" s="1">
        <v>3</v>
      </c>
      <c r="O777" s="1">
        <v>152</v>
      </c>
      <c r="P777" s="1">
        <v>155</v>
      </c>
      <c r="Q777" s="1" t="str">
        <f>IF(WEEKDAY(Bike_Sharing_Master6[[#This Row],[Dteday]],2)&gt;=6,"Weekend","Weekday")</f>
        <v>Weekday</v>
      </c>
      <c r="R777" s="1" t="str">
        <f xml:space="preserve"> IF(Bike_Sharing_Master6[[#This Row],[Hr]]&lt;6,"Late Night", IF(Bike_Sharing_Master6[[#This Row],[Hr]]&lt;10,"Morning Peak", IF(Bike_Sharing_Master6[[#This Row],[Hr]]&lt;17,"Daytime", IF(Bike_Sharing_Master6[[#This Row],[Hr]]&lt;21,"Evening Peak","Night"))))</f>
        <v>Evening Peak</v>
      </c>
      <c r="S777" s="1" t="str">
        <f>IF(Bike_Sharing_Master6[[#This Row],[Holiday]]=1,"Holiday","Non-Holiday")</f>
        <v>Non-Holiday</v>
      </c>
      <c r="T777" s="1" t="str">
        <f>IF(Bike_Sharing_Master6[[#This Row],[Cnt]]&lt;80,"Low",IF(Bike_Sharing_Master6[[#This Row],[Cnt]]&lt;160,"Medium","High"))</f>
        <v>Medium</v>
      </c>
      <c r="U777" s="1" t="str">
        <f>VLOOKUP(Bike_Sharing_Master6[[#This Row],[Weathersit]],[1]Lookup_Weather!A:B,2,FALSE)</f>
        <v>Mist</v>
      </c>
    </row>
    <row r="778" spans="1:21" x14ac:dyDescent="0.3">
      <c r="A778">
        <v>777</v>
      </c>
      <c r="B778" s="3">
        <v>40578</v>
      </c>
      <c r="C778" s="1">
        <v>1</v>
      </c>
      <c r="D778" s="1">
        <v>0</v>
      </c>
      <c r="E778" s="1">
        <v>2</v>
      </c>
      <c r="F778" s="1">
        <v>19</v>
      </c>
      <c r="G778" t="b">
        <v>0</v>
      </c>
      <c r="H778" s="1">
        <v>5</v>
      </c>
      <c r="I778" s="1">
        <v>2</v>
      </c>
      <c r="J778" s="2">
        <v>0.24</v>
      </c>
      <c r="K778" s="2">
        <v>0.2424</v>
      </c>
      <c r="L778" s="2">
        <v>0.65</v>
      </c>
      <c r="M778" s="2">
        <v>0.1343</v>
      </c>
      <c r="N778" s="1">
        <v>1</v>
      </c>
      <c r="O778" s="1">
        <v>102</v>
      </c>
      <c r="P778" s="1">
        <v>103</v>
      </c>
      <c r="Q778" s="1" t="str">
        <f>IF(WEEKDAY(Bike_Sharing_Master6[[#This Row],[Dteday]],2)&gt;=6,"Weekend","Weekday")</f>
        <v>Weekday</v>
      </c>
      <c r="R778" s="1" t="str">
        <f xml:space="preserve"> IF(Bike_Sharing_Master6[[#This Row],[Hr]]&lt;6,"Late Night", IF(Bike_Sharing_Master6[[#This Row],[Hr]]&lt;10,"Morning Peak", IF(Bike_Sharing_Master6[[#This Row],[Hr]]&lt;17,"Daytime", IF(Bike_Sharing_Master6[[#This Row],[Hr]]&lt;21,"Evening Peak","Night"))))</f>
        <v>Evening Peak</v>
      </c>
      <c r="S778" s="1" t="str">
        <f>IF(Bike_Sharing_Master6[[#This Row],[Holiday]]=1,"Holiday","Non-Holiday")</f>
        <v>Non-Holiday</v>
      </c>
      <c r="T778" s="1" t="str">
        <f>IF(Bike_Sharing_Master6[[#This Row],[Cnt]]&lt;80,"Low",IF(Bike_Sharing_Master6[[#This Row],[Cnt]]&lt;160,"Medium","High"))</f>
        <v>Medium</v>
      </c>
      <c r="U778" s="1" t="str">
        <f>VLOOKUP(Bike_Sharing_Master6[[#This Row],[Weathersit]],[1]Lookup_Weather!A:B,2,FALSE)</f>
        <v>Mist</v>
      </c>
    </row>
    <row r="779" spans="1:21" x14ac:dyDescent="0.3">
      <c r="A779">
        <v>778</v>
      </c>
      <c r="B779" s="3">
        <v>40578</v>
      </c>
      <c r="C779" s="1">
        <v>1</v>
      </c>
      <c r="D779" s="1">
        <v>0</v>
      </c>
      <c r="E779" s="1">
        <v>2</v>
      </c>
      <c r="F779" s="1">
        <v>20</v>
      </c>
      <c r="G779" t="b">
        <v>0</v>
      </c>
      <c r="H779" s="1">
        <v>5</v>
      </c>
      <c r="I779" s="1">
        <v>2</v>
      </c>
      <c r="J779" s="2">
        <v>0.24</v>
      </c>
      <c r="K779" s="2">
        <v>0.2424</v>
      </c>
      <c r="L779" s="2">
        <v>0.65</v>
      </c>
      <c r="M779" s="2">
        <v>0.16420000000000001</v>
      </c>
      <c r="N779" s="1">
        <v>2</v>
      </c>
      <c r="O779" s="1">
        <v>69</v>
      </c>
      <c r="P779" s="1">
        <v>71</v>
      </c>
      <c r="Q779" s="1" t="str">
        <f>IF(WEEKDAY(Bike_Sharing_Master6[[#This Row],[Dteday]],2)&gt;=6,"Weekend","Weekday")</f>
        <v>Weekday</v>
      </c>
      <c r="R779" s="1" t="str">
        <f xml:space="preserve"> IF(Bike_Sharing_Master6[[#This Row],[Hr]]&lt;6,"Late Night", IF(Bike_Sharing_Master6[[#This Row],[Hr]]&lt;10,"Morning Peak", IF(Bike_Sharing_Master6[[#This Row],[Hr]]&lt;17,"Daytime", IF(Bike_Sharing_Master6[[#This Row],[Hr]]&lt;21,"Evening Peak","Night"))))</f>
        <v>Evening Peak</v>
      </c>
      <c r="S779" s="1" t="str">
        <f>IF(Bike_Sharing_Master6[[#This Row],[Holiday]]=1,"Holiday","Non-Holiday")</f>
        <v>Non-Holiday</v>
      </c>
      <c r="T779" s="1" t="str">
        <f>IF(Bike_Sharing_Master6[[#This Row],[Cnt]]&lt;80,"Low",IF(Bike_Sharing_Master6[[#This Row],[Cnt]]&lt;160,"Medium","High"))</f>
        <v>Low</v>
      </c>
      <c r="U779" s="1" t="str">
        <f>VLOOKUP(Bike_Sharing_Master6[[#This Row],[Weathersit]],[1]Lookup_Weather!A:B,2,FALSE)</f>
        <v>Mist</v>
      </c>
    </row>
    <row r="780" spans="1:21" x14ac:dyDescent="0.3">
      <c r="A780">
        <v>779</v>
      </c>
      <c r="B780" s="3">
        <v>40578</v>
      </c>
      <c r="C780" s="1">
        <v>1</v>
      </c>
      <c r="D780" s="1">
        <v>0</v>
      </c>
      <c r="E780" s="1">
        <v>2</v>
      </c>
      <c r="F780" s="1">
        <v>21</v>
      </c>
      <c r="G780" t="b">
        <v>0</v>
      </c>
      <c r="H780" s="1">
        <v>5</v>
      </c>
      <c r="I780" s="1">
        <v>2</v>
      </c>
      <c r="J780" s="2">
        <v>0.24</v>
      </c>
      <c r="K780" s="2">
        <v>0.2424</v>
      </c>
      <c r="L780" s="2">
        <v>0.7</v>
      </c>
      <c r="M780" s="2">
        <v>0.16420000000000001</v>
      </c>
      <c r="N780" s="1">
        <v>2</v>
      </c>
      <c r="O780" s="1">
        <v>41</v>
      </c>
      <c r="P780" s="1">
        <v>43</v>
      </c>
      <c r="Q780" s="1" t="str">
        <f>IF(WEEKDAY(Bike_Sharing_Master6[[#This Row],[Dteday]],2)&gt;=6,"Weekend","Weekday")</f>
        <v>Weekday</v>
      </c>
      <c r="R780" s="1" t="str">
        <f xml:space="preserve"> IF(Bike_Sharing_Master6[[#This Row],[Hr]]&lt;6,"Late Night", IF(Bike_Sharing_Master6[[#This Row],[Hr]]&lt;10,"Morning Peak", IF(Bike_Sharing_Master6[[#This Row],[Hr]]&lt;17,"Daytime", IF(Bike_Sharing_Master6[[#This Row],[Hr]]&lt;21,"Evening Peak","Night"))))</f>
        <v>Night</v>
      </c>
      <c r="S780" s="1" t="str">
        <f>IF(Bike_Sharing_Master6[[#This Row],[Holiday]]=1,"Holiday","Non-Holiday")</f>
        <v>Non-Holiday</v>
      </c>
      <c r="T780" s="1" t="str">
        <f>IF(Bike_Sharing_Master6[[#This Row],[Cnt]]&lt;80,"Low",IF(Bike_Sharing_Master6[[#This Row],[Cnt]]&lt;160,"Medium","High"))</f>
        <v>Low</v>
      </c>
      <c r="U780" s="1" t="str">
        <f>VLOOKUP(Bike_Sharing_Master6[[#This Row],[Weathersit]],[1]Lookup_Weather!A:B,2,FALSE)</f>
        <v>Mist</v>
      </c>
    </row>
    <row r="781" spans="1:21" x14ac:dyDescent="0.3">
      <c r="A781">
        <v>780</v>
      </c>
      <c r="B781" s="3">
        <v>40578</v>
      </c>
      <c r="C781" s="1">
        <v>1</v>
      </c>
      <c r="D781" s="1">
        <v>0</v>
      </c>
      <c r="E781" s="1">
        <v>2</v>
      </c>
      <c r="F781" s="1">
        <v>22</v>
      </c>
      <c r="G781" t="b">
        <v>0</v>
      </c>
      <c r="H781" s="1">
        <v>5</v>
      </c>
      <c r="I781" s="1">
        <v>2</v>
      </c>
      <c r="J781" s="2">
        <v>0.24</v>
      </c>
      <c r="K781" s="2">
        <v>0.2424</v>
      </c>
      <c r="L781" s="2">
        <v>0.65</v>
      </c>
      <c r="M781" s="2">
        <v>0.16420000000000001</v>
      </c>
      <c r="N781" s="1">
        <v>1</v>
      </c>
      <c r="O781" s="1">
        <v>45</v>
      </c>
      <c r="P781" s="1">
        <v>46</v>
      </c>
      <c r="Q781" s="1" t="str">
        <f>IF(WEEKDAY(Bike_Sharing_Master6[[#This Row],[Dteday]],2)&gt;=6,"Weekend","Weekday")</f>
        <v>Weekday</v>
      </c>
      <c r="R781" s="1" t="str">
        <f xml:space="preserve"> IF(Bike_Sharing_Master6[[#This Row],[Hr]]&lt;6,"Late Night", IF(Bike_Sharing_Master6[[#This Row],[Hr]]&lt;10,"Morning Peak", IF(Bike_Sharing_Master6[[#This Row],[Hr]]&lt;17,"Daytime", IF(Bike_Sharing_Master6[[#This Row],[Hr]]&lt;21,"Evening Peak","Night"))))</f>
        <v>Night</v>
      </c>
      <c r="S781" s="1" t="str">
        <f>IF(Bike_Sharing_Master6[[#This Row],[Holiday]]=1,"Holiday","Non-Holiday")</f>
        <v>Non-Holiday</v>
      </c>
      <c r="T781" s="1" t="str">
        <f>IF(Bike_Sharing_Master6[[#This Row],[Cnt]]&lt;80,"Low",IF(Bike_Sharing_Master6[[#This Row],[Cnt]]&lt;160,"Medium","High"))</f>
        <v>Low</v>
      </c>
      <c r="U781" s="1" t="str">
        <f>VLOOKUP(Bike_Sharing_Master6[[#This Row],[Weathersit]],[1]Lookup_Weather!A:B,2,FALSE)</f>
        <v>Mist</v>
      </c>
    </row>
    <row r="782" spans="1:21" x14ac:dyDescent="0.3">
      <c r="A782">
        <v>781</v>
      </c>
      <c r="B782" s="3">
        <v>40578</v>
      </c>
      <c r="C782" s="1">
        <v>1</v>
      </c>
      <c r="D782" s="1">
        <v>0</v>
      </c>
      <c r="E782" s="1">
        <v>2</v>
      </c>
      <c r="F782" s="1">
        <v>23</v>
      </c>
      <c r="G782" t="b">
        <v>0</v>
      </c>
      <c r="H782" s="1">
        <v>5</v>
      </c>
      <c r="I782" s="1">
        <v>2</v>
      </c>
      <c r="J782" s="2">
        <v>0.24</v>
      </c>
      <c r="K782" s="2">
        <v>0.2424</v>
      </c>
      <c r="L782" s="2">
        <v>0.7</v>
      </c>
      <c r="M782" s="2">
        <v>0.1343</v>
      </c>
      <c r="N782" s="1">
        <v>1</v>
      </c>
      <c r="O782" s="1">
        <v>30</v>
      </c>
      <c r="P782" s="1">
        <v>31</v>
      </c>
      <c r="Q782" s="1" t="str">
        <f>IF(WEEKDAY(Bike_Sharing_Master6[[#This Row],[Dteday]],2)&gt;=6,"Weekend","Weekday")</f>
        <v>Weekday</v>
      </c>
      <c r="R782" s="1" t="str">
        <f xml:space="preserve"> IF(Bike_Sharing_Master6[[#This Row],[Hr]]&lt;6,"Late Night", IF(Bike_Sharing_Master6[[#This Row],[Hr]]&lt;10,"Morning Peak", IF(Bike_Sharing_Master6[[#This Row],[Hr]]&lt;17,"Daytime", IF(Bike_Sharing_Master6[[#This Row],[Hr]]&lt;21,"Evening Peak","Night"))))</f>
        <v>Night</v>
      </c>
      <c r="S782" s="1" t="str">
        <f>IF(Bike_Sharing_Master6[[#This Row],[Holiday]]=1,"Holiday","Non-Holiday")</f>
        <v>Non-Holiday</v>
      </c>
      <c r="T782" s="1" t="str">
        <f>IF(Bike_Sharing_Master6[[#This Row],[Cnt]]&lt;80,"Low",IF(Bike_Sharing_Master6[[#This Row],[Cnt]]&lt;160,"Medium","High"))</f>
        <v>Low</v>
      </c>
      <c r="U782" s="1" t="str">
        <f>VLOOKUP(Bike_Sharing_Master6[[#This Row],[Weathersit]],[1]Lookup_Weather!A:B,2,FALSE)</f>
        <v>Mist</v>
      </c>
    </row>
    <row r="783" spans="1:21" x14ac:dyDescent="0.3">
      <c r="A783">
        <v>782</v>
      </c>
      <c r="B783" s="3">
        <v>40579</v>
      </c>
      <c r="C783" s="1">
        <v>1</v>
      </c>
      <c r="D783" s="1">
        <v>0</v>
      </c>
      <c r="E783" s="1">
        <v>2</v>
      </c>
      <c r="F783" s="1">
        <v>0</v>
      </c>
      <c r="G783" t="b">
        <v>0</v>
      </c>
      <c r="H783" s="1">
        <v>6</v>
      </c>
      <c r="I783" s="1">
        <v>2</v>
      </c>
      <c r="J783" s="2">
        <v>0.24</v>
      </c>
      <c r="K783" s="2">
        <v>0.2424</v>
      </c>
      <c r="L783" s="2">
        <v>0.7</v>
      </c>
      <c r="M783" s="2">
        <v>0.16420000000000001</v>
      </c>
      <c r="N783" s="1">
        <v>3</v>
      </c>
      <c r="O783" s="1">
        <v>36</v>
      </c>
      <c r="P783" s="1">
        <v>39</v>
      </c>
      <c r="Q783" s="1" t="str">
        <f>IF(WEEKDAY(Bike_Sharing_Master6[[#This Row],[Dteday]],2)&gt;=6,"Weekend","Weekday")</f>
        <v>Weekend</v>
      </c>
      <c r="R783" s="1" t="str">
        <f xml:space="preserve"> IF(Bike_Sharing_Master6[[#This Row],[Hr]]&lt;6,"Late Night", IF(Bike_Sharing_Master6[[#This Row],[Hr]]&lt;10,"Morning Peak", IF(Bike_Sharing_Master6[[#This Row],[Hr]]&lt;17,"Daytime", IF(Bike_Sharing_Master6[[#This Row],[Hr]]&lt;21,"Evening Peak","Night"))))</f>
        <v>Late Night</v>
      </c>
      <c r="S783" s="1" t="str">
        <f>IF(Bike_Sharing_Master6[[#This Row],[Holiday]]=1,"Holiday","Non-Holiday")</f>
        <v>Non-Holiday</v>
      </c>
      <c r="T783" s="1" t="str">
        <f>IF(Bike_Sharing_Master6[[#This Row],[Cnt]]&lt;80,"Low",IF(Bike_Sharing_Master6[[#This Row],[Cnt]]&lt;160,"Medium","High"))</f>
        <v>Low</v>
      </c>
      <c r="U783" s="1" t="str">
        <f>VLOOKUP(Bike_Sharing_Master6[[#This Row],[Weathersit]],[1]Lookup_Weather!A:B,2,FALSE)</f>
        <v>Mist</v>
      </c>
    </row>
    <row r="784" spans="1:21" x14ac:dyDescent="0.3">
      <c r="A784">
        <v>783</v>
      </c>
      <c r="B784" s="3">
        <v>40579</v>
      </c>
      <c r="C784" s="1">
        <v>1</v>
      </c>
      <c r="D784" s="1">
        <v>0</v>
      </c>
      <c r="E784" s="1">
        <v>2</v>
      </c>
      <c r="F784" s="1">
        <v>1</v>
      </c>
      <c r="G784" t="b">
        <v>0</v>
      </c>
      <c r="H784" s="1">
        <v>6</v>
      </c>
      <c r="I784" s="1">
        <v>2</v>
      </c>
      <c r="J784" s="2">
        <v>0.24</v>
      </c>
      <c r="K784" s="2">
        <v>0.2424</v>
      </c>
      <c r="L784" s="2">
        <v>0.65</v>
      </c>
      <c r="M784" s="2">
        <v>0.16420000000000001</v>
      </c>
      <c r="N784" s="1">
        <v>1</v>
      </c>
      <c r="O784" s="1">
        <v>17</v>
      </c>
      <c r="P784" s="1">
        <v>18</v>
      </c>
      <c r="Q784" s="1" t="str">
        <f>IF(WEEKDAY(Bike_Sharing_Master6[[#This Row],[Dteday]],2)&gt;=6,"Weekend","Weekday")</f>
        <v>Weekend</v>
      </c>
      <c r="R784" s="1" t="str">
        <f xml:space="preserve"> IF(Bike_Sharing_Master6[[#This Row],[Hr]]&lt;6,"Late Night", IF(Bike_Sharing_Master6[[#This Row],[Hr]]&lt;10,"Morning Peak", IF(Bike_Sharing_Master6[[#This Row],[Hr]]&lt;17,"Daytime", IF(Bike_Sharing_Master6[[#This Row],[Hr]]&lt;21,"Evening Peak","Night"))))</f>
        <v>Late Night</v>
      </c>
      <c r="S784" s="1" t="str">
        <f>IF(Bike_Sharing_Master6[[#This Row],[Holiday]]=1,"Holiday","Non-Holiday")</f>
        <v>Non-Holiday</v>
      </c>
      <c r="T784" s="1" t="str">
        <f>IF(Bike_Sharing_Master6[[#This Row],[Cnt]]&lt;80,"Low",IF(Bike_Sharing_Master6[[#This Row],[Cnt]]&lt;160,"Medium","High"))</f>
        <v>Low</v>
      </c>
      <c r="U784" s="1" t="str">
        <f>VLOOKUP(Bike_Sharing_Master6[[#This Row],[Weathersit]],[1]Lookup_Weather!A:B,2,FALSE)</f>
        <v>Mist</v>
      </c>
    </row>
    <row r="785" spans="1:21" x14ac:dyDescent="0.3">
      <c r="A785">
        <v>784</v>
      </c>
      <c r="B785" s="3">
        <v>40579</v>
      </c>
      <c r="C785" s="1">
        <v>1</v>
      </c>
      <c r="D785" s="1">
        <v>0</v>
      </c>
      <c r="E785" s="1">
        <v>2</v>
      </c>
      <c r="F785" s="1">
        <v>2</v>
      </c>
      <c r="G785" t="b">
        <v>0</v>
      </c>
      <c r="H785" s="1">
        <v>6</v>
      </c>
      <c r="I785" s="1">
        <v>2</v>
      </c>
      <c r="J785" s="2">
        <v>0.24</v>
      </c>
      <c r="K785" s="2">
        <v>0.2424</v>
      </c>
      <c r="L785" s="2">
        <v>0.75</v>
      </c>
      <c r="M785" s="2">
        <v>0.16420000000000001</v>
      </c>
      <c r="N785" s="1">
        <v>5</v>
      </c>
      <c r="O785" s="1">
        <v>12</v>
      </c>
      <c r="P785" s="1">
        <v>17</v>
      </c>
      <c r="Q785" s="1" t="str">
        <f>IF(WEEKDAY(Bike_Sharing_Master6[[#This Row],[Dteday]],2)&gt;=6,"Weekend","Weekday")</f>
        <v>Weekend</v>
      </c>
      <c r="R785" s="1" t="str">
        <f xml:space="preserve"> IF(Bike_Sharing_Master6[[#This Row],[Hr]]&lt;6,"Late Night", IF(Bike_Sharing_Master6[[#This Row],[Hr]]&lt;10,"Morning Peak", IF(Bike_Sharing_Master6[[#This Row],[Hr]]&lt;17,"Daytime", IF(Bike_Sharing_Master6[[#This Row],[Hr]]&lt;21,"Evening Peak","Night"))))</f>
        <v>Late Night</v>
      </c>
      <c r="S785" s="1" t="str">
        <f>IF(Bike_Sharing_Master6[[#This Row],[Holiday]]=1,"Holiday","Non-Holiday")</f>
        <v>Non-Holiday</v>
      </c>
      <c r="T785" s="1" t="str">
        <f>IF(Bike_Sharing_Master6[[#This Row],[Cnt]]&lt;80,"Low",IF(Bike_Sharing_Master6[[#This Row],[Cnt]]&lt;160,"Medium","High"))</f>
        <v>Low</v>
      </c>
      <c r="U785" s="1" t="str">
        <f>VLOOKUP(Bike_Sharing_Master6[[#This Row],[Weathersit]],[1]Lookup_Weather!A:B,2,FALSE)</f>
        <v>Mist</v>
      </c>
    </row>
    <row r="786" spans="1:21" x14ac:dyDescent="0.3">
      <c r="A786">
        <v>785</v>
      </c>
      <c r="B786" s="3">
        <v>40579</v>
      </c>
      <c r="C786" s="1">
        <v>1</v>
      </c>
      <c r="D786" s="1">
        <v>0</v>
      </c>
      <c r="E786" s="1">
        <v>2</v>
      </c>
      <c r="F786" s="1">
        <v>3</v>
      </c>
      <c r="G786" t="b">
        <v>0</v>
      </c>
      <c r="H786" s="1">
        <v>6</v>
      </c>
      <c r="I786" s="1">
        <v>2</v>
      </c>
      <c r="J786" s="2">
        <v>0.24</v>
      </c>
      <c r="K786" s="2">
        <v>0.2424</v>
      </c>
      <c r="L786" s="2">
        <v>0.75</v>
      </c>
      <c r="M786" s="2">
        <v>0.16420000000000001</v>
      </c>
      <c r="N786" s="1">
        <v>1</v>
      </c>
      <c r="O786" s="1">
        <v>10</v>
      </c>
      <c r="P786" s="1">
        <v>11</v>
      </c>
      <c r="Q786" s="1" t="str">
        <f>IF(WEEKDAY(Bike_Sharing_Master6[[#This Row],[Dteday]],2)&gt;=6,"Weekend","Weekday")</f>
        <v>Weekend</v>
      </c>
      <c r="R786" s="1" t="str">
        <f xml:space="preserve"> IF(Bike_Sharing_Master6[[#This Row],[Hr]]&lt;6,"Late Night", IF(Bike_Sharing_Master6[[#This Row],[Hr]]&lt;10,"Morning Peak", IF(Bike_Sharing_Master6[[#This Row],[Hr]]&lt;17,"Daytime", IF(Bike_Sharing_Master6[[#This Row],[Hr]]&lt;21,"Evening Peak","Night"))))</f>
        <v>Late Night</v>
      </c>
      <c r="S786" s="1" t="str">
        <f>IF(Bike_Sharing_Master6[[#This Row],[Holiday]]=1,"Holiday","Non-Holiday")</f>
        <v>Non-Holiday</v>
      </c>
      <c r="T786" s="1" t="str">
        <f>IF(Bike_Sharing_Master6[[#This Row],[Cnt]]&lt;80,"Low",IF(Bike_Sharing_Master6[[#This Row],[Cnt]]&lt;160,"Medium","High"))</f>
        <v>Low</v>
      </c>
      <c r="U786" s="1" t="str">
        <f>VLOOKUP(Bike_Sharing_Master6[[#This Row],[Weathersit]],[1]Lookup_Weather!A:B,2,FALSE)</f>
        <v>Mist</v>
      </c>
    </row>
    <row r="787" spans="1:21" x14ac:dyDescent="0.3">
      <c r="A787">
        <v>786</v>
      </c>
      <c r="B787" s="3">
        <v>40579</v>
      </c>
      <c r="C787" s="1">
        <v>1</v>
      </c>
      <c r="D787" s="1">
        <v>0</v>
      </c>
      <c r="E787" s="1">
        <v>2</v>
      </c>
      <c r="F787" s="1">
        <v>4</v>
      </c>
      <c r="G787" t="b">
        <v>0</v>
      </c>
      <c r="H787" s="1">
        <v>6</v>
      </c>
      <c r="I787" s="1">
        <v>3</v>
      </c>
      <c r="J787" s="2">
        <v>0.22</v>
      </c>
      <c r="K787" s="2">
        <v>0.2273</v>
      </c>
      <c r="L787" s="2">
        <v>0.93</v>
      </c>
      <c r="M787" s="2">
        <v>0.1343</v>
      </c>
      <c r="N787" s="1">
        <v>0</v>
      </c>
      <c r="O787" s="1">
        <v>8</v>
      </c>
      <c r="P787" s="1">
        <v>8</v>
      </c>
      <c r="Q787" s="1" t="str">
        <f>IF(WEEKDAY(Bike_Sharing_Master6[[#This Row],[Dteday]],2)&gt;=6,"Weekend","Weekday")</f>
        <v>Weekend</v>
      </c>
      <c r="R787" s="1" t="str">
        <f xml:space="preserve"> IF(Bike_Sharing_Master6[[#This Row],[Hr]]&lt;6,"Late Night", IF(Bike_Sharing_Master6[[#This Row],[Hr]]&lt;10,"Morning Peak", IF(Bike_Sharing_Master6[[#This Row],[Hr]]&lt;17,"Daytime", IF(Bike_Sharing_Master6[[#This Row],[Hr]]&lt;21,"Evening Peak","Night"))))</f>
        <v>Late Night</v>
      </c>
      <c r="S787" s="1" t="str">
        <f>IF(Bike_Sharing_Master6[[#This Row],[Holiday]]=1,"Holiday","Non-Holiday")</f>
        <v>Non-Holiday</v>
      </c>
      <c r="T787" s="1" t="str">
        <f>IF(Bike_Sharing_Master6[[#This Row],[Cnt]]&lt;80,"Low",IF(Bike_Sharing_Master6[[#This Row],[Cnt]]&lt;160,"Medium","High"))</f>
        <v>Low</v>
      </c>
      <c r="U787" s="1" t="str">
        <f>VLOOKUP(Bike_Sharing_Master6[[#This Row],[Weathersit]],[1]Lookup_Weather!A:B,2,FALSE)</f>
        <v>Light Rain</v>
      </c>
    </row>
    <row r="788" spans="1:21" x14ac:dyDescent="0.3">
      <c r="A788">
        <v>787</v>
      </c>
      <c r="B788" s="3">
        <v>40579</v>
      </c>
      <c r="C788" s="1">
        <v>1</v>
      </c>
      <c r="D788" s="1">
        <v>0</v>
      </c>
      <c r="E788" s="1">
        <v>2</v>
      </c>
      <c r="F788" s="1">
        <v>5</v>
      </c>
      <c r="G788" t="b">
        <v>0</v>
      </c>
      <c r="H788" s="1">
        <v>6</v>
      </c>
      <c r="I788" s="1">
        <v>3</v>
      </c>
      <c r="J788" s="2">
        <v>0.2</v>
      </c>
      <c r="K788" s="2">
        <v>0.2273</v>
      </c>
      <c r="L788" s="2">
        <v>1</v>
      </c>
      <c r="M788" s="2">
        <v>8.9599999999999999E-2</v>
      </c>
      <c r="N788" s="1">
        <v>0</v>
      </c>
      <c r="O788" s="1">
        <v>9</v>
      </c>
      <c r="P788" s="1">
        <v>9</v>
      </c>
      <c r="Q788" s="1" t="str">
        <f>IF(WEEKDAY(Bike_Sharing_Master6[[#This Row],[Dteday]],2)&gt;=6,"Weekend","Weekday")</f>
        <v>Weekend</v>
      </c>
      <c r="R788" s="1" t="str">
        <f xml:space="preserve"> IF(Bike_Sharing_Master6[[#This Row],[Hr]]&lt;6,"Late Night", IF(Bike_Sharing_Master6[[#This Row],[Hr]]&lt;10,"Morning Peak", IF(Bike_Sharing_Master6[[#This Row],[Hr]]&lt;17,"Daytime", IF(Bike_Sharing_Master6[[#This Row],[Hr]]&lt;21,"Evening Peak","Night"))))</f>
        <v>Late Night</v>
      </c>
      <c r="S788" s="1" t="str">
        <f>IF(Bike_Sharing_Master6[[#This Row],[Holiday]]=1,"Holiday","Non-Holiday")</f>
        <v>Non-Holiday</v>
      </c>
      <c r="T788" s="1" t="str">
        <f>IF(Bike_Sharing_Master6[[#This Row],[Cnt]]&lt;80,"Low",IF(Bike_Sharing_Master6[[#This Row],[Cnt]]&lt;160,"Medium","High"))</f>
        <v>Low</v>
      </c>
      <c r="U788" s="1" t="str">
        <f>VLOOKUP(Bike_Sharing_Master6[[#This Row],[Weathersit]],[1]Lookup_Weather!A:B,2,FALSE)</f>
        <v>Light Rain</v>
      </c>
    </row>
    <row r="789" spans="1:21" x14ac:dyDescent="0.3">
      <c r="A789">
        <v>788</v>
      </c>
      <c r="B789" s="3">
        <v>40579</v>
      </c>
      <c r="C789" s="1">
        <v>1</v>
      </c>
      <c r="D789" s="1">
        <v>0</v>
      </c>
      <c r="E789" s="1">
        <v>2</v>
      </c>
      <c r="F789" s="1">
        <v>6</v>
      </c>
      <c r="G789" t="b">
        <v>0</v>
      </c>
      <c r="H789" s="1">
        <v>6</v>
      </c>
      <c r="I789" s="1">
        <v>3</v>
      </c>
      <c r="J789" s="2">
        <v>0.2</v>
      </c>
      <c r="K789" s="2">
        <v>0.2576</v>
      </c>
      <c r="L789" s="2">
        <v>1</v>
      </c>
      <c r="M789" s="2">
        <v>0</v>
      </c>
      <c r="N789" s="1">
        <v>0</v>
      </c>
      <c r="O789" s="1">
        <v>4</v>
      </c>
      <c r="P789" s="1">
        <v>4</v>
      </c>
      <c r="Q789" s="1" t="str">
        <f>IF(WEEKDAY(Bike_Sharing_Master6[[#This Row],[Dteday]],2)&gt;=6,"Weekend","Weekday")</f>
        <v>Weekend</v>
      </c>
      <c r="R789" s="1" t="str">
        <f xml:space="preserve"> IF(Bike_Sharing_Master6[[#This Row],[Hr]]&lt;6,"Late Night", IF(Bike_Sharing_Master6[[#This Row],[Hr]]&lt;10,"Morning Peak", IF(Bike_Sharing_Master6[[#This Row],[Hr]]&lt;17,"Daytime", IF(Bike_Sharing_Master6[[#This Row],[Hr]]&lt;21,"Evening Peak","Night"))))</f>
        <v>Morning Peak</v>
      </c>
      <c r="S789" s="1" t="str">
        <f>IF(Bike_Sharing_Master6[[#This Row],[Holiday]]=1,"Holiday","Non-Holiday")</f>
        <v>Non-Holiday</v>
      </c>
      <c r="T789" s="1" t="str">
        <f>IF(Bike_Sharing_Master6[[#This Row],[Cnt]]&lt;80,"Low",IF(Bike_Sharing_Master6[[#This Row],[Cnt]]&lt;160,"Medium","High"))</f>
        <v>Low</v>
      </c>
      <c r="U789" s="1" t="str">
        <f>VLOOKUP(Bike_Sharing_Master6[[#This Row],[Weathersit]],[1]Lookup_Weather!A:B,2,FALSE)</f>
        <v>Light Rain</v>
      </c>
    </row>
    <row r="790" spans="1:21" x14ac:dyDescent="0.3">
      <c r="A790">
        <v>789</v>
      </c>
      <c r="B790" s="3">
        <v>40579</v>
      </c>
      <c r="C790" s="1">
        <v>1</v>
      </c>
      <c r="D790" s="1">
        <v>0</v>
      </c>
      <c r="E790" s="1">
        <v>2</v>
      </c>
      <c r="F790" s="1">
        <v>7</v>
      </c>
      <c r="G790" t="b">
        <v>0</v>
      </c>
      <c r="H790" s="1">
        <v>6</v>
      </c>
      <c r="I790" s="1">
        <v>3</v>
      </c>
      <c r="J790" s="2">
        <v>0.22</v>
      </c>
      <c r="K790" s="2">
        <v>0.2576</v>
      </c>
      <c r="L790" s="2">
        <v>0.93</v>
      </c>
      <c r="M790" s="2">
        <v>8.9599999999999999E-2</v>
      </c>
      <c r="N790" s="1">
        <v>0</v>
      </c>
      <c r="O790" s="1">
        <v>4</v>
      </c>
      <c r="P790" s="1">
        <v>4</v>
      </c>
      <c r="Q790" s="1" t="str">
        <f>IF(WEEKDAY(Bike_Sharing_Master6[[#This Row],[Dteday]],2)&gt;=6,"Weekend","Weekday")</f>
        <v>Weekend</v>
      </c>
      <c r="R790" s="1" t="str">
        <f xml:space="preserve"> IF(Bike_Sharing_Master6[[#This Row],[Hr]]&lt;6,"Late Night", IF(Bike_Sharing_Master6[[#This Row],[Hr]]&lt;10,"Morning Peak", IF(Bike_Sharing_Master6[[#This Row],[Hr]]&lt;17,"Daytime", IF(Bike_Sharing_Master6[[#This Row],[Hr]]&lt;21,"Evening Peak","Night"))))</f>
        <v>Morning Peak</v>
      </c>
      <c r="S790" s="1" t="str">
        <f>IF(Bike_Sharing_Master6[[#This Row],[Holiday]]=1,"Holiday","Non-Holiday")</f>
        <v>Non-Holiday</v>
      </c>
      <c r="T790" s="1" t="str">
        <f>IF(Bike_Sharing_Master6[[#This Row],[Cnt]]&lt;80,"Low",IF(Bike_Sharing_Master6[[#This Row],[Cnt]]&lt;160,"Medium","High"))</f>
        <v>Low</v>
      </c>
      <c r="U790" s="1" t="str">
        <f>VLOOKUP(Bike_Sharing_Master6[[#This Row],[Weathersit]],[1]Lookup_Weather!A:B,2,FALSE)</f>
        <v>Light Rain</v>
      </c>
    </row>
    <row r="791" spans="1:21" x14ac:dyDescent="0.3">
      <c r="A791">
        <v>790</v>
      </c>
      <c r="B791" s="3">
        <v>40579</v>
      </c>
      <c r="C791" s="1">
        <v>1</v>
      </c>
      <c r="D791" s="1">
        <v>0</v>
      </c>
      <c r="E791" s="1">
        <v>2</v>
      </c>
      <c r="F791" s="1">
        <v>8</v>
      </c>
      <c r="G791" t="b">
        <v>0</v>
      </c>
      <c r="H791" s="1">
        <v>6</v>
      </c>
      <c r="I791" s="1">
        <v>3</v>
      </c>
      <c r="J791" s="2">
        <v>0.2</v>
      </c>
      <c r="K791" s="2">
        <v>0.2273</v>
      </c>
      <c r="L791" s="2">
        <v>1</v>
      </c>
      <c r="M791" s="2">
        <v>8.9599999999999999E-2</v>
      </c>
      <c r="N791" s="1">
        <v>0</v>
      </c>
      <c r="O791" s="1">
        <v>10</v>
      </c>
      <c r="P791" s="1">
        <v>10</v>
      </c>
      <c r="Q791" s="1" t="str">
        <f>IF(WEEKDAY(Bike_Sharing_Master6[[#This Row],[Dteday]],2)&gt;=6,"Weekend","Weekday")</f>
        <v>Weekend</v>
      </c>
      <c r="R791" s="1" t="str">
        <f xml:space="preserve"> IF(Bike_Sharing_Master6[[#This Row],[Hr]]&lt;6,"Late Night", IF(Bike_Sharing_Master6[[#This Row],[Hr]]&lt;10,"Morning Peak", IF(Bike_Sharing_Master6[[#This Row],[Hr]]&lt;17,"Daytime", IF(Bike_Sharing_Master6[[#This Row],[Hr]]&lt;21,"Evening Peak","Night"))))</f>
        <v>Morning Peak</v>
      </c>
      <c r="S791" s="1" t="str">
        <f>IF(Bike_Sharing_Master6[[#This Row],[Holiday]]=1,"Holiday","Non-Holiday")</f>
        <v>Non-Holiday</v>
      </c>
      <c r="T791" s="1" t="str">
        <f>IF(Bike_Sharing_Master6[[#This Row],[Cnt]]&lt;80,"Low",IF(Bike_Sharing_Master6[[#This Row],[Cnt]]&lt;160,"Medium","High"))</f>
        <v>Low</v>
      </c>
      <c r="U791" s="1" t="str">
        <f>VLOOKUP(Bike_Sharing_Master6[[#This Row],[Weathersit]],[1]Lookup_Weather!A:B,2,FALSE)</f>
        <v>Light Rain</v>
      </c>
    </row>
    <row r="792" spans="1:21" x14ac:dyDescent="0.3">
      <c r="A792">
        <v>791</v>
      </c>
      <c r="B792" s="3">
        <v>40579</v>
      </c>
      <c r="C792" s="1">
        <v>1</v>
      </c>
      <c r="D792" s="1">
        <v>0</v>
      </c>
      <c r="E792" s="1">
        <v>2</v>
      </c>
      <c r="F792" s="1">
        <v>9</v>
      </c>
      <c r="G792" t="b">
        <v>0</v>
      </c>
      <c r="H792" s="1">
        <v>6</v>
      </c>
      <c r="I792" s="1">
        <v>3</v>
      </c>
      <c r="J792" s="2">
        <v>0.2</v>
      </c>
      <c r="K792" s="2">
        <v>0.2273</v>
      </c>
      <c r="L792" s="2">
        <v>1</v>
      </c>
      <c r="M792" s="2">
        <v>8.9599999999999999E-2</v>
      </c>
      <c r="N792" s="1">
        <v>3</v>
      </c>
      <c r="O792" s="1">
        <v>17</v>
      </c>
      <c r="P792" s="1">
        <v>20</v>
      </c>
      <c r="Q792" s="1" t="str">
        <f>IF(WEEKDAY(Bike_Sharing_Master6[[#This Row],[Dteday]],2)&gt;=6,"Weekend","Weekday")</f>
        <v>Weekend</v>
      </c>
      <c r="R792" s="1" t="str">
        <f xml:space="preserve"> IF(Bike_Sharing_Master6[[#This Row],[Hr]]&lt;6,"Late Night", IF(Bike_Sharing_Master6[[#This Row],[Hr]]&lt;10,"Morning Peak", IF(Bike_Sharing_Master6[[#This Row],[Hr]]&lt;17,"Daytime", IF(Bike_Sharing_Master6[[#This Row],[Hr]]&lt;21,"Evening Peak","Night"))))</f>
        <v>Morning Peak</v>
      </c>
      <c r="S792" s="1" t="str">
        <f>IF(Bike_Sharing_Master6[[#This Row],[Holiday]]=1,"Holiday","Non-Holiday")</f>
        <v>Non-Holiday</v>
      </c>
      <c r="T792" s="1" t="str">
        <f>IF(Bike_Sharing_Master6[[#This Row],[Cnt]]&lt;80,"Low",IF(Bike_Sharing_Master6[[#This Row],[Cnt]]&lt;160,"Medium","High"))</f>
        <v>Low</v>
      </c>
      <c r="U792" s="1" t="str">
        <f>VLOOKUP(Bike_Sharing_Master6[[#This Row],[Weathersit]],[1]Lookup_Weather!A:B,2,FALSE)</f>
        <v>Light Rain</v>
      </c>
    </row>
    <row r="793" spans="1:21" x14ac:dyDescent="0.3">
      <c r="A793">
        <v>792</v>
      </c>
      <c r="B793" s="3">
        <v>40579</v>
      </c>
      <c r="C793" s="1">
        <v>1</v>
      </c>
      <c r="D793" s="1">
        <v>0</v>
      </c>
      <c r="E793" s="1">
        <v>2</v>
      </c>
      <c r="F793" s="1">
        <v>10</v>
      </c>
      <c r="G793" t="b">
        <v>0</v>
      </c>
      <c r="H793" s="1">
        <v>6</v>
      </c>
      <c r="I793" s="1">
        <v>3</v>
      </c>
      <c r="J793" s="2">
        <v>0.2</v>
      </c>
      <c r="K793" s="2">
        <v>0.21210000000000001</v>
      </c>
      <c r="L793" s="2">
        <v>1</v>
      </c>
      <c r="M793" s="2">
        <v>0.1343</v>
      </c>
      <c r="N793" s="1">
        <v>3</v>
      </c>
      <c r="O793" s="1">
        <v>31</v>
      </c>
      <c r="P793" s="1">
        <v>34</v>
      </c>
      <c r="Q793" s="1" t="str">
        <f>IF(WEEKDAY(Bike_Sharing_Master6[[#This Row],[Dteday]],2)&gt;=6,"Weekend","Weekday")</f>
        <v>Weekend</v>
      </c>
      <c r="R793" s="1" t="str">
        <f xml:space="preserve"> IF(Bike_Sharing_Master6[[#This Row],[Hr]]&lt;6,"Late Night", IF(Bike_Sharing_Master6[[#This Row],[Hr]]&lt;10,"Morning Peak", IF(Bike_Sharing_Master6[[#This Row],[Hr]]&lt;17,"Daytime", IF(Bike_Sharing_Master6[[#This Row],[Hr]]&lt;21,"Evening Peak","Night"))))</f>
        <v>Daytime</v>
      </c>
      <c r="S793" s="1" t="str">
        <f>IF(Bike_Sharing_Master6[[#This Row],[Holiday]]=1,"Holiday","Non-Holiday")</f>
        <v>Non-Holiday</v>
      </c>
      <c r="T793" s="1" t="str">
        <f>IF(Bike_Sharing_Master6[[#This Row],[Cnt]]&lt;80,"Low",IF(Bike_Sharing_Master6[[#This Row],[Cnt]]&lt;160,"Medium","High"))</f>
        <v>Low</v>
      </c>
      <c r="U793" s="1" t="str">
        <f>VLOOKUP(Bike_Sharing_Master6[[#This Row],[Weathersit]],[1]Lookup_Weather!A:B,2,FALSE)</f>
        <v>Light Rain</v>
      </c>
    </row>
    <row r="794" spans="1:21" x14ac:dyDescent="0.3">
      <c r="A794">
        <v>793</v>
      </c>
      <c r="B794" s="3">
        <v>40579</v>
      </c>
      <c r="C794" s="1">
        <v>1</v>
      </c>
      <c r="D794" s="1">
        <v>0</v>
      </c>
      <c r="E794" s="1">
        <v>2</v>
      </c>
      <c r="F794" s="1">
        <v>11</v>
      </c>
      <c r="G794" t="b">
        <v>0</v>
      </c>
      <c r="H794" s="1">
        <v>6</v>
      </c>
      <c r="I794" s="1">
        <v>3</v>
      </c>
      <c r="J794" s="2">
        <v>0.22</v>
      </c>
      <c r="K794" s="2">
        <v>0.2273</v>
      </c>
      <c r="L794" s="2">
        <v>1</v>
      </c>
      <c r="M794" s="2">
        <v>0.1343</v>
      </c>
      <c r="N794" s="1">
        <v>1</v>
      </c>
      <c r="O794" s="1">
        <v>46</v>
      </c>
      <c r="P794" s="1">
        <v>47</v>
      </c>
      <c r="Q794" s="1" t="str">
        <f>IF(WEEKDAY(Bike_Sharing_Master6[[#This Row],[Dteday]],2)&gt;=6,"Weekend","Weekday")</f>
        <v>Weekend</v>
      </c>
      <c r="R794" s="1" t="str">
        <f xml:space="preserve"> IF(Bike_Sharing_Master6[[#This Row],[Hr]]&lt;6,"Late Night", IF(Bike_Sharing_Master6[[#This Row],[Hr]]&lt;10,"Morning Peak", IF(Bike_Sharing_Master6[[#This Row],[Hr]]&lt;17,"Daytime", IF(Bike_Sharing_Master6[[#This Row],[Hr]]&lt;21,"Evening Peak","Night"))))</f>
        <v>Daytime</v>
      </c>
      <c r="S794" s="1" t="str">
        <f>IF(Bike_Sharing_Master6[[#This Row],[Holiday]]=1,"Holiday","Non-Holiday")</f>
        <v>Non-Holiday</v>
      </c>
      <c r="T794" s="1" t="str">
        <f>IF(Bike_Sharing_Master6[[#This Row],[Cnt]]&lt;80,"Low",IF(Bike_Sharing_Master6[[#This Row],[Cnt]]&lt;160,"Medium","High"))</f>
        <v>Low</v>
      </c>
      <c r="U794" s="1" t="str">
        <f>VLOOKUP(Bike_Sharing_Master6[[#This Row],[Weathersit]],[1]Lookup_Weather!A:B,2,FALSE)</f>
        <v>Light Rain</v>
      </c>
    </row>
    <row r="795" spans="1:21" x14ac:dyDescent="0.3">
      <c r="A795">
        <v>794</v>
      </c>
      <c r="B795" s="3">
        <v>40579</v>
      </c>
      <c r="C795" s="1">
        <v>1</v>
      </c>
      <c r="D795" s="1">
        <v>0</v>
      </c>
      <c r="E795" s="1">
        <v>2</v>
      </c>
      <c r="F795" s="1">
        <v>12</v>
      </c>
      <c r="G795" t="b">
        <v>0</v>
      </c>
      <c r="H795" s="1">
        <v>6</v>
      </c>
      <c r="I795" s="1">
        <v>3</v>
      </c>
      <c r="J795" s="2">
        <v>0.22</v>
      </c>
      <c r="K795" s="2">
        <v>0.2273</v>
      </c>
      <c r="L795" s="2">
        <v>1</v>
      </c>
      <c r="M795" s="2">
        <v>0.16420000000000001</v>
      </c>
      <c r="N795" s="1">
        <v>10</v>
      </c>
      <c r="O795" s="1">
        <v>42</v>
      </c>
      <c r="P795" s="1">
        <v>52</v>
      </c>
      <c r="Q795" s="1" t="str">
        <f>IF(WEEKDAY(Bike_Sharing_Master6[[#This Row],[Dteday]],2)&gt;=6,"Weekend","Weekday")</f>
        <v>Weekend</v>
      </c>
      <c r="R795" s="1" t="str">
        <f xml:space="preserve"> IF(Bike_Sharing_Master6[[#This Row],[Hr]]&lt;6,"Late Night", IF(Bike_Sharing_Master6[[#This Row],[Hr]]&lt;10,"Morning Peak", IF(Bike_Sharing_Master6[[#This Row],[Hr]]&lt;17,"Daytime", IF(Bike_Sharing_Master6[[#This Row],[Hr]]&lt;21,"Evening Peak","Night"))))</f>
        <v>Daytime</v>
      </c>
      <c r="S795" s="1" t="str">
        <f>IF(Bike_Sharing_Master6[[#This Row],[Holiday]]=1,"Holiday","Non-Holiday")</f>
        <v>Non-Holiday</v>
      </c>
      <c r="T795" s="1" t="str">
        <f>IF(Bike_Sharing_Master6[[#This Row],[Cnt]]&lt;80,"Low",IF(Bike_Sharing_Master6[[#This Row],[Cnt]]&lt;160,"Medium","High"))</f>
        <v>Low</v>
      </c>
      <c r="U795" s="1" t="str">
        <f>VLOOKUP(Bike_Sharing_Master6[[#This Row],[Weathersit]],[1]Lookup_Weather!A:B,2,FALSE)</f>
        <v>Light Rain</v>
      </c>
    </row>
    <row r="796" spans="1:21" x14ac:dyDescent="0.3">
      <c r="A796">
        <v>795</v>
      </c>
      <c r="B796" s="3">
        <v>40579</v>
      </c>
      <c r="C796" s="1">
        <v>1</v>
      </c>
      <c r="D796" s="1">
        <v>0</v>
      </c>
      <c r="E796" s="1">
        <v>2</v>
      </c>
      <c r="F796" s="1">
        <v>13</v>
      </c>
      <c r="G796" t="b">
        <v>0</v>
      </c>
      <c r="H796" s="1">
        <v>6</v>
      </c>
      <c r="I796" s="1">
        <v>3</v>
      </c>
      <c r="J796" s="2">
        <v>0.22</v>
      </c>
      <c r="K796" s="2">
        <v>0.2273</v>
      </c>
      <c r="L796" s="2">
        <v>1</v>
      </c>
      <c r="M796" s="2">
        <v>0.16420000000000001</v>
      </c>
      <c r="N796" s="1">
        <v>10</v>
      </c>
      <c r="O796" s="1">
        <v>62</v>
      </c>
      <c r="P796" s="1">
        <v>72</v>
      </c>
      <c r="Q796" s="1" t="str">
        <f>IF(WEEKDAY(Bike_Sharing_Master6[[#This Row],[Dteday]],2)&gt;=6,"Weekend","Weekday")</f>
        <v>Weekend</v>
      </c>
      <c r="R796" s="1" t="str">
        <f xml:space="preserve"> IF(Bike_Sharing_Master6[[#This Row],[Hr]]&lt;6,"Late Night", IF(Bike_Sharing_Master6[[#This Row],[Hr]]&lt;10,"Morning Peak", IF(Bike_Sharing_Master6[[#This Row],[Hr]]&lt;17,"Daytime", IF(Bike_Sharing_Master6[[#This Row],[Hr]]&lt;21,"Evening Peak","Night"))))</f>
        <v>Daytime</v>
      </c>
      <c r="S796" s="1" t="str">
        <f>IF(Bike_Sharing_Master6[[#This Row],[Holiday]]=1,"Holiday","Non-Holiday")</f>
        <v>Non-Holiday</v>
      </c>
      <c r="T796" s="1" t="str">
        <f>IF(Bike_Sharing_Master6[[#This Row],[Cnt]]&lt;80,"Low",IF(Bike_Sharing_Master6[[#This Row],[Cnt]]&lt;160,"Medium","High"))</f>
        <v>Low</v>
      </c>
      <c r="U796" s="1" t="str">
        <f>VLOOKUP(Bike_Sharing_Master6[[#This Row],[Weathersit]],[1]Lookup_Weather!A:B,2,FALSE)</f>
        <v>Light Rain</v>
      </c>
    </row>
    <row r="797" spans="1:21" x14ac:dyDescent="0.3">
      <c r="A797">
        <v>796</v>
      </c>
      <c r="B797" s="3">
        <v>40579</v>
      </c>
      <c r="C797" s="1">
        <v>1</v>
      </c>
      <c r="D797" s="1">
        <v>0</v>
      </c>
      <c r="E797" s="1">
        <v>2</v>
      </c>
      <c r="F797" s="1">
        <v>14</v>
      </c>
      <c r="G797" t="b">
        <v>0</v>
      </c>
      <c r="H797" s="1">
        <v>6</v>
      </c>
      <c r="I797" s="1">
        <v>3</v>
      </c>
      <c r="J797" s="2">
        <v>0.22</v>
      </c>
      <c r="K797" s="2">
        <v>0.2727</v>
      </c>
      <c r="L797" s="2">
        <v>1</v>
      </c>
      <c r="M797" s="2">
        <v>0</v>
      </c>
      <c r="N797" s="1">
        <v>5</v>
      </c>
      <c r="O797" s="1">
        <v>50</v>
      </c>
      <c r="P797" s="1">
        <v>55</v>
      </c>
      <c r="Q797" s="1" t="str">
        <f>IF(WEEKDAY(Bike_Sharing_Master6[[#This Row],[Dteday]],2)&gt;=6,"Weekend","Weekday")</f>
        <v>Weekend</v>
      </c>
      <c r="R797" s="1" t="str">
        <f xml:space="preserve"> IF(Bike_Sharing_Master6[[#This Row],[Hr]]&lt;6,"Late Night", IF(Bike_Sharing_Master6[[#This Row],[Hr]]&lt;10,"Morning Peak", IF(Bike_Sharing_Master6[[#This Row],[Hr]]&lt;17,"Daytime", IF(Bike_Sharing_Master6[[#This Row],[Hr]]&lt;21,"Evening Peak","Night"))))</f>
        <v>Daytime</v>
      </c>
      <c r="S797" s="1" t="str">
        <f>IF(Bike_Sharing_Master6[[#This Row],[Holiday]]=1,"Holiday","Non-Holiday")</f>
        <v>Non-Holiday</v>
      </c>
      <c r="T797" s="1" t="str">
        <f>IF(Bike_Sharing_Master6[[#This Row],[Cnt]]&lt;80,"Low",IF(Bike_Sharing_Master6[[#This Row],[Cnt]]&lt;160,"Medium","High"))</f>
        <v>Low</v>
      </c>
      <c r="U797" s="1" t="str">
        <f>VLOOKUP(Bike_Sharing_Master6[[#This Row],[Weathersit]],[1]Lookup_Weather!A:B,2,FALSE)</f>
        <v>Light Rain</v>
      </c>
    </row>
    <row r="798" spans="1:21" x14ac:dyDescent="0.3">
      <c r="A798">
        <v>797</v>
      </c>
      <c r="B798" s="3">
        <v>40579</v>
      </c>
      <c r="C798" s="1">
        <v>1</v>
      </c>
      <c r="D798" s="1">
        <v>0</v>
      </c>
      <c r="E798" s="1">
        <v>2</v>
      </c>
      <c r="F798" s="1">
        <v>15</v>
      </c>
      <c r="G798" t="b">
        <v>0</v>
      </c>
      <c r="H798" s="1">
        <v>6</v>
      </c>
      <c r="I798" s="1">
        <v>3</v>
      </c>
      <c r="J798" s="2">
        <v>0.22</v>
      </c>
      <c r="K798" s="2">
        <v>0.2727</v>
      </c>
      <c r="L798" s="2">
        <v>1</v>
      </c>
      <c r="M798" s="2">
        <v>0</v>
      </c>
      <c r="N798" s="1">
        <v>11</v>
      </c>
      <c r="O798" s="1">
        <v>49</v>
      </c>
      <c r="P798" s="1">
        <v>60</v>
      </c>
      <c r="Q798" s="1" t="str">
        <f>IF(WEEKDAY(Bike_Sharing_Master6[[#This Row],[Dteday]],2)&gt;=6,"Weekend","Weekday")</f>
        <v>Weekend</v>
      </c>
      <c r="R798" s="1" t="str">
        <f xml:space="preserve"> IF(Bike_Sharing_Master6[[#This Row],[Hr]]&lt;6,"Late Night", IF(Bike_Sharing_Master6[[#This Row],[Hr]]&lt;10,"Morning Peak", IF(Bike_Sharing_Master6[[#This Row],[Hr]]&lt;17,"Daytime", IF(Bike_Sharing_Master6[[#This Row],[Hr]]&lt;21,"Evening Peak","Night"))))</f>
        <v>Daytime</v>
      </c>
      <c r="S798" s="1" t="str">
        <f>IF(Bike_Sharing_Master6[[#This Row],[Holiday]]=1,"Holiday","Non-Holiday")</f>
        <v>Non-Holiday</v>
      </c>
      <c r="T798" s="1" t="str">
        <f>IF(Bike_Sharing_Master6[[#This Row],[Cnt]]&lt;80,"Low",IF(Bike_Sharing_Master6[[#This Row],[Cnt]]&lt;160,"Medium","High"))</f>
        <v>Low</v>
      </c>
      <c r="U798" s="1" t="str">
        <f>VLOOKUP(Bike_Sharing_Master6[[#This Row],[Weathersit]],[1]Lookup_Weather!A:B,2,FALSE)</f>
        <v>Light Rain</v>
      </c>
    </row>
    <row r="799" spans="1:21" x14ac:dyDescent="0.3">
      <c r="A799">
        <v>798</v>
      </c>
      <c r="B799" s="3">
        <v>40579</v>
      </c>
      <c r="C799" s="1">
        <v>1</v>
      </c>
      <c r="D799" s="1">
        <v>0</v>
      </c>
      <c r="E799" s="1">
        <v>2</v>
      </c>
      <c r="F799" s="1">
        <v>16</v>
      </c>
      <c r="G799" t="b">
        <v>0</v>
      </c>
      <c r="H799" s="1">
        <v>6</v>
      </c>
      <c r="I799" s="1">
        <v>3</v>
      </c>
      <c r="J799" s="2">
        <v>0.22</v>
      </c>
      <c r="K799" s="2">
        <v>0.2273</v>
      </c>
      <c r="L799" s="2">
        <v>1</v>
      </c>
      <c r="M799" s="2">
        <v>0.1343</v>
      </c>
      <c r="N799" s="1">
        <v>8</v>
      </c>
      <c r="O799" s="1">
        <v>63</v>
      </c>
      <c r="P799" s="1">
        <v>71</v>
      </c>
      <c r="Q799" s="1" t="str">
        <f>IF(WEEKDAY(Bike_Sharing_Master6[[#This Row],[Dteday]],2)&gt;=6,"Weekend","Weekday")</f>
        <v>Weekend</v>
      </c>
      <c r="R799" s="1" t="str">
        <f xml:space="preserve"> IF(Bike_Sharing_Master6[[#This Row],[Hr]]&lt;6,"Late Night", IF(Bike_Sharing_Master6[[#This Row],[Hr]]&lt;10,"Morning Peak", IF(Bike_Sharing_Master6[[#This Row],[Hr]]&lt;17,"Daytime", IF(Bike_Sharing_Master6[[#This Row],[Hr]]&lt;21,"Evening Peak","Night"))))</f>
        <v>Daytime</v>
      </c>
      <c r="S799" s="1" t="str">
        <f>IF(Bike_Sharing_Master6[[#This Row],[Holiday]]=1,"Holiday","Non-Holiday")</f>
        <v>Non-Holiday</v>
      </c>
      <c r="T799" s="1" t="str">
        <f>IF(Bike_Sharing_Master6[[#This Row],[Cnt]]&lt;80,"Low",IF(Bike_Sharing_Master6[[#This Row],[Cnt]]&lt;160,"Medium","High"))</f>
        <v>Low</v>
      </c>
      <c r="U799" s="1" t="str">
        <f>VLOOKUP(Bike_Sharing_Master6[[#This Row],[Weathersit]],[1]Lookup_Weather!A:B,2,FALSE)</f>
        <v>Light Rain</v>
      </c>
    </row>
    <row r="800" spans="1:21" x14ac:dyDescent="0.3">
      <c r="A800">
        <v>799</v>
      </c>
      <c r="B800" s="3">
        <v>40579</v>
      </c>
      <c r="C800" s="1">
        <v>1</v>
      </c>
      <c r="D800" s="1">
        <v>0</v>
      </c>
      <c r="E800" s="1">
        <v>2</v>
      </c>
      <c r="F800" s="1">
        <v>17</v>
      </c>
      <c r="G800" t="b">
        <v>0</v>
      </c>
      <c r="H800" s="1">
        <v>6</v>
      </c>
      <c r="I800" s="1">
        <v>2</v>
      </c>
      <c r="J800" s="2">
        <v>0.24</v>
      </c>
      <c r="K800" s="2">
        <v>0.21210000000000001</v>
      </c>
      <c r="L800" s="2">
        <v>1</v>
      </c>
      <c r="M800" s="2">
        <v>0.28360000000000002</v>
      </c>
      <c r="N800" s="1">
        <v>14</v>
      </c>
      <c r="O800" s="1">
        <v>64</v>
      </c>
      <c r="P800" s="1">
        <v>78</v>
      </c>
      <c r="Q800" s="1" t="str">
        <f>IF(WEEKDAY(Bike_Sharing_Master6[[#This Row],[Dteday]],2)&gt;=6,"Weekend","Weekday")</f>
        <v>Weekend</v>
      </c>
      <c r="R800" s="1" t="str">
        <f xml:space="preserve"> IF(Bike_Sharing_Master6[[#This Row],[Hr]]&lt;6,"Late Night", IF(Bike_Sharing_Master6[[#This Row],[Hr]]&lt;10,"Morning Peak", IF(Bike_Sharing_Master6[[#This Row],[Hr]]&lt;17,"Daytime", IF(Bike_Sharing_Master6[[#This Row],[Hr]]&lt;21,"Evening Peak","Night"))))</f>
        <v>Evening Peak</v>
      </c>
      <c r="S800" s="1" t="str">
        <f>IF(Bike_Sharing_Master6[[#This Row],[Holiday]]=1,"Holiday","Non-Holiday")</f>
        <v>Non-Holiday</v>
      </c>
      <c r="T800" s="1" t="str">
        <f>IF(Bike_Sharing_Master6[[#This Row],[Cnt]]&lt;80,"Low",IF(Bike_Sharing_Master6[[#This Row],[Cnt]]&lt;160,"Medium","High"))</f>
        <v>Low</v>
      </c>
      <c r="U800" s="1" t="str">
        <f>VLOOKUP(Bike_Sharing_Master6[[#This Row],[Weathersit]],[1]Lookup_Weather!A:B,2,FALSE)</f>
        <v>Mist</v>
      </c>
    </row>
    <row r="801" spans="1:21" x14ac:dyDescent="0.3">
      <c r="A801">
        <v>800</v>
      </c>
      <c r="B801" s="3">
        <v>40579</v>
      </c>
      <c r="C801" s="1">
        <v>1</v>
      </c>
      <c r="D801" s="1">
        <v>0</v>
      </c>
      <c r="E801" s="1">
        <v>2</v>
      </c>
      <c r="F801" s="1">
        <v>18</v>
      </c>
      <c r="G801" t="b">
        <v>0</v>
      </c>
      <c r="H801" s="1">
        <v>6</v>
      </c>
      <c r="I801" s="1">
        <v>2</v>
      </c>
      <c r="J801" s="2">
        <v>0.28000000000000003</v>
      </c>
      <c r="K801" s="2">
        <v>0.2424</v>
      </c>
      <c r="L801" s="2">
        <v>0.93</v>
      </c>
      <c r="M801" s="2">
        <v>0.44779999999999998</v>
      </c>
      <c r="N801" s="1">
        <v>2</v>
      </c>
      <c r="O801" s="1">
        <v>81</v>
      </c>
      <c r="P801" s="1">
        <v>83</v>
      </c>
      <c r="Q801" s="1" t="str">
        <f>IF(WEEKDAY(Bike_Sharing_Master6[[#This Row],[Dteday]],2)&gt;=6,"Weekend","Weekday")</f>
        <v>Weekend</v>
      </c>
      <c r="R801" s="1" t="str">
        <f xml:space="preserve"> IF(Bike_Sharing_Master6[[#This Row],[Hr]]&lt;6,"Late Night", IF(Bike_Sharing_Master6[[#This Row],[Hr]]&lt;10,"Morning Peak", IF(Bike_Sharing_Master6[[#This Row],[Hr]]&lt;17,"Daytime", IF(Bike_Sharing_Master6[[#This Row],[Hr]]&lt;21,"Evening Peak","Night"))))</f>
        <v>Evening Peak</v>
      </c>
      <c r="S801" s="1" t="str">
        <f>IF(Bike_Sharing_Master6[[#This Row],[Holiday]]=1,"Holiday","Non-Holiday")</f>
        <v>Non-Holiday</v>
      </c>
      <c r="T801" s="1" t="str">
        <f>IF(Bike_Sharing_Master6[[#This Row],[Cnt]]&lt;80,"Low",IF(Bike_Sharing_Master6[[#This Row],[Cnt]]&lt;160,"Medium","High"))</f>
        <v>Medium</v>
      </c>
      <c r="U801" s="1" t="str">
        <f>VLOOKUP(Bike_Sharing_Master6[[#This Row],[Weathersit]],[1]Lookup_Weather!A:B,2,FALSE)</f>
        <v>Mist</v>
      </c>
    </row>
    <row r="802" spans="1:21" x14ac:dyDescent="0.3">
      <c r="A802">
        <v>801</v>
      </c>
      <c r="B802" s="3">
        <v>40579</v>
      </c>
      <c r="C802" s="1">
        <v>1</v>
      </c>
      <c r="D802" s="1">
        <v>0</v>
      </c>
      <c r="E802" s="1">
        <v>2</v>
      </c>
      <c r="F802" s="1">
        <v>19</v>
      </c>
      <c r="G802" t="b">
        <v>0</v>
      </c>
      <c r="H802" s="1">
        <v>6</v>
      </c>
      <c r="I802" s="1">
        <v>2</v>
      </c>
      <c r="J802" s="2">
        <v>0.28000000000000003</v>
      </c>
      <c r="K802" s="2">
        <v>0.2424</v>
      </c>
      <c r="L802" s="2">
        <v>0.93</v>
      </c>
      <c r="M802" s="2">
        <v>0.44779999999999998</v>
      </c>
      <c r="N802" s="1">
        <v>6</v>
      </c>
      <c r="O802" s="1">
        <v>78</v>
      </c>
      <c r="P802" s="1">
        <v>84</v>
      </c>
      <c r="Q802" s="1" t="str">
        <f>IF(WEEKDAY(Bike_Sharing_Master6[[#This Row],[Dteday]],2)&gt;=6,"Weekend","Weekday")</f>
        <v>Weekend</v>
      </c>
      <c r="R802" s="1" t="str">
        <f xml:space="preserve"> IF(Bike_Sharing_Master6[[#This Row],[Hr]]&lt;6,"Late Night", IF(Bike_Sharing_Master6[[#This Row],[Hr]]&lt;10,"Morning Peak", IF(Bike_Sharing_Master6[[#This Row],[Hr]]&lt;17,"Daytime", IF(Bike_Sharing_Master6[[#This Row],[Hr]]&lt;21,"Evening Peak","Night"))))</f>
        <v>Evening Peak</v>
      </c>
      <c r="S802" s="1" t="str">
        <f>IF(Bike_Sharing_Master6[[#This Row],[Holiday]]=1,"Holiday","Non-Holiday")</f>
        <v>Non-Holiday</v>
      </c>
      <c r="T802" s="1" t="str">
        <f>IF(Bike_Sharing_Master6[[#This Row],[Cnt]]&lt;80,"Low",IF(Bike_Sharing_Master6[[#This Row],[Cnt]]&lt;160,"Medium","High"))</f>
        <v>Medium</v>
      </c>
      <c r="U802" s="1" t="str">
        <f>VLOOKUP(Bike_Sharing_Master6[[#This Row],[Weathersit]],[1]Lookup_Weather!A:B,2,FALSE)</f>
        <v>Mist</v>
      </c>
    </row>
    <row r="803" spans="1:21" x14ac:dyDescent="0.3">
      <c r="A803">
        <v>802</v>
      </c>
      <c r="B803" s="3">
        <v>40579</v>
      </c>
      <c r="C803" s="1">
        <v>1</v>
      </c>
      <c r="D803" s="1">
        <v>0</v>
      </c>
      <c r="E803" s="1">
        <v>2</v>
      </c>
      <c r="F803" s="1">
        <v>20</v>
      </c>
      <c r="G803" t="b">
        <v>0</v>
      </c>
      <c r="H803" s="1">
        <v>6</v>
      </c>
      <c r="I803" s="1">
        <v>1</v>
      </c>
      <c r="J803" s="2">
        <v>0.3</v>
      </c>
      <c r="K803" s="2">
        <v>0.28789999999999999</v>
      </c>
      <c r="L803" s="2">
        <v>0.87</v>
      </c>
      <c r="M803" s="2">
        <v>0.25369999999999998</v>
      </c>
      <c r="N803" s="1">
        <v>5</v>
      </c>
      <c r="O803" s="1">
        <v>64</v>
      </c>
      <c r="P803" s="1">
        <v>69</v>
      </c>
      <c r="Q803" s="1" t="str">
        <f>IF(WEEKDAY(Bike_Sharing_Master6[[#This Row],[Dteday]],2)&gt;=6,"Weekend","Weekday")</f>
        <v>Weekend</v>
      </c>
      <c r="R803" s="1" t="str">
        <f xml:space="preserve"> IF(Bike_Sharing_Master6[[#This Row],[Hr]]&lt;6,"Late Night", IF(Bike_Sharing_Master6[[#This Row],[Hr]]&lt;10,"Morning Peak", IF(Bike_Sharing_Master6[[#This Row],[Hr]]&lt;17,"Daytime", IF(Bike_Sharing_Master6[[#This Row],[Hr]]&lt;21,"Evening Peak","Night"))))</f>
        <v>Evening Peak</v>
      </c>
      <c r="S803" s="1" t="str">
        <f>IF(Bike_Sharing_Master6[[#This Row],[Holiday]]=1,"Holiday","Non-Holiday")</f>
        <v>Non-Holiday</v>
      </c>
      <c r="T803" s="1" t="str">
        <f>IF(Bike_Sharing_Master6[[#This Row],[Cnt]]&lt;80,"Low",IF(Bike_Sharing_Master6[[#This Row],[Cnt]]&lt;160,"Medium","High"))</f>
        <v>Low</v>
      </c>
      <c r="U803" s="1" t="str">
        <f>VLOOKUP(Bike_Sharing_Master6[[#This Row],[Weathersit]],[1]Lookup_Weather!A:B,2,FALSE)</f>
        <v>Clear</v>
      </c>
    </row>
    <row r="804" spans="1:21" x14ac:dyDescent="0.3">
      <c r="A804">
        <v>803</v>
      </c>
      <c r="B804" s="3">
        <v>40579</v>
      </c>
      <c r="C804" s="1">
        <v>1</v>
      </c>
      <c r="D804" s="1">
        <v>0</v>
      </c>
      <c r="E804" s="1">
        <v>2</v>
      </c>
      <c r="F804" s="1">
        <v>21</v>
      </c>
      <c r="G804" t="b">
        <v>0</v>
      </c>
      <c r="H804" s="1">
        <v>6</v>
      </c>
      <c r="I804" s="1">
        <v>1</v>
      </c>
      <c r="J804" s="2">
        <v>0.26</v>
      </c>
      <c r="K804" s="2">
        <v>0.2576</v>
      </c>
      <c r="L804" s="2">
        <v>1</v>
      </c>
      <c r="M804" s="2">
        <v>0.19400000000000001</v>
      </c>
      <c r="N804" s="1">
        <v>3</v>
      </c>
      <c r="O804" s="1">
        <v>53</v>
      </c>
      <c r="P804" s="1">
        <v>56</v>
      </c>
      <c r="Q804" s="1" t="str">
        <f>IF(WEEKDAY(Bike_Sharing_Master6[[#This Row],[Dteday]],2)&gt;=6,"Weekend","Weekday")</f>
        <v>Weekend</v>
      </c>
      <c r="R804" s="1" t="str">
        <f xml:space="preserve"> IF(Bike_Sharing_Master6[[#This Row],[Hr]]&lt;6,"Late Night", IF(Bike_Sharing_Master6[[#This Row],[Hr]]&lt;10,"Morning Peak", IF(Bike_Sharing_Master6[[#This Row],[Hr]]&lt;17,"Daytime", IF(Bike_Sharing_Master6[[#This Row],[Hr]]&lt;21,"Evening Peak","Night"))))</f>
        <v>Night</v>
      </c>
      <c r="S804" s="1" t="str">
        <f>IF(Bike_Sharing_Master6[[#This Row],[Holiday]]=1,"Holiday","Non-Holiday")</f>
        <v>Non-Holiday</v>
      </c>
      <c r="T804" s="1" t="str">
        <f>IF(Bike_Sharing_Master6[[#This Row],[Cnt]]&lt;80,"Low",IF(Bike_Sharing_Master6[[#This Row],[Cnt]]&lt;160,"Medium","High"))</f>
        <v>Low</v>
      </c>
      <c r="U804" s="1" t="str">
        <f>VLOOKUP(Bike_Sharing_Master6[[#This Row],[Weathersit]],[1]Lookup_Weather!A:B,2,FALSE)</f>
        <v>Clear</v>
      </c>
    </row>
    <row r="805" spans="1:21" x14ac:dyDescent="0.3">
      <c r="A805">
        <v>804</v>
      </c>
      <c r="B805" s="3">
        <v>40579</v>
      </c>
      <c r="C805" s="1">
        <v>1</v>
      </c>
      <c r="D805" s="1">
        <v>0</v>
      </c>
      <c r="E805" s="1">
        <v>2</v>
      </c>
      <c r="F805" s="1">
        <v>22</v>
      </c>
      <c r="G805" t="b">
        <v>0</v>
      </c>
      <c r="H805" s="1">
        <v>6</v>
      </c>
      <c r="I805" s="1">
        <v>1</v>
      </c>
      <c r="J805" s="2">
        <v>0.26</v>
      </c>
      <c r="K805" s="2">
        <v>0.2727</v>
      </c>
      <c r="L805" s="2">
        <v>0.93</v>
      </c>
      <c r="M805" s="2">
        <v>0.1343</v>
      </c>
      <c r="N805" s="1">
        <v>2</v>
      </c>
      <c r="O805" s="1">
        <v>43</v>
      </c>
      <c r="P805" s="1">
        <v>45</v>
      </c>
      <c r="Q805" s="1" t="str">
        <f>IF(WEEKDAY(Bike_Sharing_Master6[[#This Row],[Dteday]],2)&gt;=6,"Weekend","Weekday")</f>
        <v>Weekend</v>
      </c>
      <c r="R805" s="1" t="str">
        <f xml:space="preserve"> IF(Bike_Sharing_Master6[[#This Row],[Hr]]&lt;6,"Late Night", IF(Bike_Sharing_Master6[[#This Row],[Hr]]&lt;10,"Morning Peak", IF(Bike_Sharing_Master6[[#This Row],[Hr]]&lt;17,"Daytime", IF(Bike_Sharing_Master6[[#This Row],[Hr]]&lt;21,"Evening Peak","Night"))))</f>
        <v>Night</v>
      </c>
      <c r="S805" s="1" t="str">
        <f>IF(Bike_Sharing_Master6[[#This Row],[Holiday]]=1,"Holiday","Non-Holiday")</f>
        <v>Non-Holiday</v>
      </c>
      <c r="T805" s="1" t="str">
        <f>IF(Bike_Sharing_Master6[[#This Row],[Cnt]]&lt;80,"Low",IF(Bike_Sharing_Master6[[#This Row],[Cnt]]&lt;160,"Medium","High"))</f>
        <v>Low</v>
      </c>
      <c r="U805" s="1" t="str">
        <f>VLOOKUP(Bike_Sharing_Master6[[#This Row],[Weathersit]],[1]Lookup_Weather!A:B,2,FALSE)</f>
        <v>Clear</v>
      </c>
    </row>
    <row r="806" spans="1:21" x14ac:dyDescent="0.3">
      <c r="A806">
        <v>805</v>
      </c>
      <c r="B806" s="3">
        <v>40579</v>
      </c>
      <c r="C806" s="1">
        <v>1</v>
      </c>
      <c r="D806" s="1">
        <v>0</v>
      </c>
      <c r="E806" s="1">
        <v>2</v>
      </c>
      <c r="F806" s="1">
        <v>23</v>
      </c>
      <c r="G806" t="b">
        <v>0</v>
      </c>
      <c r="H806" s="1">
        <v>6</v>
      </c>
      <c r="I806" s="1">
        <v>1</v>
      </c>
      <c r="J806" s="2">
        <v>0.26</v>
      </c>
      <c r="K806" s="2">
        <v>0.2576</v>
      </c>
      <c r="L806" s="2">
        <v>0.93</v>
      </c>
      <c r="M806" s="2">
        <v>0.22389999999999999</v>
      </c>
      <c r="N806" s="1">
        <v>7</v>
      </c>
      <c r="O806" s="1">
        <v>52</v>
      </c>
      <c r="P806" s="1">
        <v>59</v>
      </c>
      <c r="Q806" s="1" t="str">
        <f>IF(WEEKDAY(Bike_Sharing_Master6[[#This Row],[Dteday]],2)&gt;=6,"Weekend","Weekday")</f>
        <v>Weekend</v>
      </c>
      <c r="R806" s="1" t="str">
        <f xml:space="preserve"> IF(Bike_Sharing_Master6[[#This Row],[Hr]]&lt;6,"Late Night", IF(Bike_Sharing_Master6[[#This Row],[Hr]]&lt;10,"Morning Peak", IF(Bike_Sharing_Master6[[#This Row],[Hr]]&lt;17,"Daytime", IF(Bike_Sharing_Master6[[#This Row],[Hr]]&lt;21,"Evening Peak","Night"))))</f>
        <v>Night</v>
      </c>
      <c r="S806" s="1" t="str">
        <f>IF(Bike_Sharing_Master6[[#This Row],[Holiday]]=1,"Holiday","Non-Holiday")</f>
        <v>Non-Holiday</v>
      </c>
      <c r="T806" s="1" t="str">
        <f>IF(Bike_Sharing_Master6[[#This Row],[Cnt]]&lt;80,"Low",IF(Bike_Sharing_Master6[[#This Row],[Cnt]]&lt;160,"Medium","High"))</f>
        <v>Low</v>
      </c>
      <c r="U806" s="1" t="str">
        <f>VLOOKUP(Bike_Sharing_Master6[[#This Row],[Weathersit]],[1]Lookup_Weather!A:B,2,FALSE)</f>
        <v>Clear</v>
      </c>
    </row>
    <row r="807" spans="1:21" x14ac:dyDescent="0.3">
      <c r="A807">
        <v>806</v>
      </c>
      <c r="B807" s="3">
        <v>40580</v>
      </c>
      <c r="C807" s="1">
        <v>1</v>
      </c>
      <c r="D807" s="1">
        <v>0</v>
      </c>
      <c r="E807" s="1">
        <v>2</v>
      </c>
      <c r="F807" s="1">
        <v>0</v>
      </c>
      <c r="G807" t="b">
        <v>0</v>
      </c>
      <c r="H807" s="1">
        <v>0</v>
      </c>
      <c r="I807" s="1">
        <v>1</v>
      </c>
      <c r="J807" s="2">
        <v>0.26</v>
      </c>
      <c r="K807" s="2">
        <v>0.2576</v>
      </c>
      <c r="L807" s="2">
        <v>0.7</v>
      </c>
      <c r="M807" s="2">
        <v>0.19400000000000001</v>
      </c>
      <c r="N807" s="1">
        <v>2</v>
      </c>
      <c r="O807" s="1">
        <v>37</v>
      </c>
      <c r="P807" s="1">
        <v>39</v>
      </c>
      <c r="Q807" s="1" t="str">
        <f>IF(WEEKDAY(Bike_Sharing_Master6[[#This Row],[Dteday]],2)&gt;=6,"Weekend","Weekday")</f>
        <v>Weekend</v>
      </c>
      <c r="R807" s="1" t="str">
        <f xml:space="preserve"> IF(Bike_Sharing_Master6[[#This Row],[Hr]]&lt;6,"Late Night", IF(Bike_Sharing_Master6[[#This Row],[Hr]]&lt;10,"Morning Peak", IF(Bike_Sharing_Master6[[#This Row],[Hr]]&lt;17,"Daytime", IF(Bike_Sharing_Master6[[#This Row],[Hr]]&lt;21,"Evening Peak","Night"))))</f>
        <v>Late Night</v>
      </c>
      <c r="S807" s="1" t="str">
        <f>IF(Bike_Sharing_Master6[[#This Row],[Holiday]]=1,"Holiday","Non-Holiday")</f>
        <v>Non-Holiday</v>
      </c>
      <c r="T807" s="1" t="str">
        <f>IF(Bike_Sharing_Master6[[#This Row],[Cnt]]&lt;80,"Low",IF(Bike_Sharing_Master6[[#This Row],[Cnt]]&lt;160,"Medium","High"))</f>
        <v>Low</v>
      </c>
      <c r="U807" s="1" t="str">
        <f>VLOOKUP(Bike_Sharing_Master6[[#This Row],[Weathersit]],[1]Lookup_Weather!A:B,2,FALSE)</f>
        <v>Clear</v>
      </c>
    </row>
    <row r="808" spans="1:21" x14ac:dyDescent="0.3">
      <c r="A808">
        <v>807</v>
      </c>
      <c r="B808" s="3">
        <v>40580</v>
      </c>
      <c r="C808" s="1">
        <v>1</v>
      </c>
      <c r="D808" s="1">
        <v>0</v>
      </c>
      <c r="E808" s="1">
        <v>2</v>
      </c>
      <c r="F808" s="1">
        <v>1</v>
      </c>
      <c r="G808" t="b">
        <v>0</v>
      </c>
      <c r="H808" s="1">
        <v>0</v>
      </c>
      <c r="I808" s="1">
        <v>1</v>
      </c>
      <c r="J808" s="2">
        <v>0.26</v>
      </c>
      <c r="K808" s="2">
        <v>0.2273</v>
      </c>
      <c r="L808" s="2">
        <v>0.65</v>
      </c>
      <c r="M808" s="2">
        <v>0.41789999999999999</v>
      </c>
      <c r="N808" s="1">
        <v>4</v>
      </c>
      <c r="O808" s="1">
        <v>40</v>
      </c>
      <c r="P808" s="1">
        <v>44</v>
      </c>
      <c r="Q808" s="1" t="str">
        <f>IF(WEEKDAY(Bike_Sharing_Master6[[#This Row],[Dteday]],2)&gt;=6,"Weekend","Weekday")</f>
        <v>Weekend</v>
      </c>
      <c r="R808" s="1" t="str">
        <f xml:space="preserve"> IF(Bike_Sharing_Master6[[#This Row],[Hr]]&lt;6,"Late Night", IF(Bike_Sharing_Master6[[#This Row],[Hr]]&lt;10,"Morning Peak", IF(Bike_Sharing_Master6[[#This Row],[Hr]]&lt;17,"Daytime", IF(Bike_Sharing_Master6[[#This Row],[Hr]]&lt;21,"Evening Peak","Night"))))</f>
        <v>Late Night</v>
      </c>
      <c r="S808" s="1" t="str">
        <f>IF(Bike_Sharing_Master6[[#This Row],[Holiday]]=1,"Holiday","Non-Holiday")</f>
        <v>Non-Holiday</v>
      </c>
      <c r="T808" s="1" t="str">
        <f>IF(Bike_Sharing_Master6[[#This Row],[Cnt]]&lt;80,"Low",IF(Bike_Sharing_Master6[[#This Row],[Cnt]]&lt;160,"Medium","High"))</f>
        <v>Low</v>
      </c>
      <c r="U808" s="1" t="str">
        <f>VLOOKUP(Bike_Sharing_Master6[[#This Row],[Weathersit]],[1]Lookup_Weather!A:B,2,FALSE)</f>
        <v>Clear</v>
      </c>
    </row>
    <row r="809" spans="1:21" x14ac:dyDescent="0.3">
      <c r="A809">
        <v>808</v>
      </c>
      <c r="B809" s="3">
        <v>40580</v>
      </c>
      <c r="C809" s="1">
        <v>1</v>
      </c>
      <c r="D809" s="1">
        <v>0</v>
      </c>
      <c r="E809" s="1">
        <v>2</v>
      </c>
      <c r="F809" s="1">
        <v>2</v>
      </c>
      <c r="G809" t="b">
        <v>0</v>
      </c>
      <c r="H809" s="1">
        <v>0</v>
      </c>
      <c r="I809" s="1">
        <v>1</v>
      </c>
      <c r="J809" s="2">
        <v>0.26</v>
      </c>
      <c r="K809" s="2">
        <v>0.2273</v>
      </c>
      <c r="L809" s="2">
        <v>0.6</v>
      </c>
      <c r="M809" s="2">
        <v>0.32840000000000003</v>
      </c>
      <c r="N809" s="1">
        <v>0</v>
      </c>
      <c r="O809" s="1">
        <v>20</v>
      </c>
      <c r="P809" s="1">
        <v>20</v>
      </c>
      <c r="Q809" s="1" t="str">
        <f>IF(WEEKDAY(Bike_Sharing_Master6[[#This Row],[Dteday]],2)&gt;=6,"Weekend","Weekday")</f>
        <v>Weekend</v>
      </c>
      <c r="R809" s="1" t="str">
        <f xml:space="preserve"> IF(Bike_Sharing_Master6[[#This Row],[Hr]]&lt;6,"Late Night", IF(Bike_Sharing_Master6[[#This Row],[Hr]]&lt;10,"Morning Peak", IF(Bike_Sharing_Master6[[#This Row],[Hr]]&lt;17,"Daytime", IF(Bike_Sharing_Master6[[#This Row],[Hr]]&lt;21,"Evening Peak","Night"))))</f>
        <v>Late Night</v>
      </c>
      <c r="S809" s="1" t="str">
        <f>IF(Bike_Sharing_Master6[[#This Row],[Holiday]]=1,"Holiday","Non-Holiday")</f>
        <v>Non-Holiday</v>
      </c>
      <c r="T809" s="1" t="str">
        <f>IF(Bike_Sharing_Master6[[#This Row],[Cnt]]&lt;80,"Low",IF(Bike_Sharing_Master6[[#This Row],[Cnt]]&lt;160,"Medium","High"))</f>
        <v>Low</v>
      </c>
      <c r="U809" s="1" t="str">
        <f>VLOOKUP(Bike_Sharing_Master6[[#This Row],[Weathersit]],[1]Lookup_Weather!A:B,2,FALSE)</f>
        <v>Clear</v>
      </c>
    </row>
    <row r="810" spans="1:21" x14ac:dyDescent="0.3">
      <c r="A810">
        <v>809</v>
      </c>
      <c r="B810" s="3">
        <v>40580</v>
      </c>
      <c r="C810" s="1">
        <v>1</v>
      </c>
      <c r="D810" s="1">
        <v>0</v>
      </c>
      <c r="E810" s="1">
        <v>2</v>
      </c>
      <c r="F810" s="1">
        <v>3</v>
      </c>
      <c r="G810" t="b">
        <v>0</v>
      </c>
      <c r="H810" s="1">
        <v>0</v>
      </c>
      <c r="I810" s="1">
        <v>1</v>
      </c>
      <c r="J810" s="2">
        <v>0.26</v>
      </c>
      <c r="K810" s="2">
        <v>0.28789999999999999</v>
      </c>
      <c r="L810" s="2">
        <v>0.6</v>
      </c>
      <c r="M810" s="2">
        <v>8.9599999999999999E-2</v>
      </c>
      <c r="N810" s="1">
        <v>3</v>
      </c>
      <c r="O810" s="1">
        <v>10</v>
      </c>
      <c r="P810" s="1">
        <v>13</v>
      </c>
      <c r="Q810" s="1" t="str">
        <f>IF(WEEKDAY(Bike_Sharing_Master6[[#This Row],[Dteday]],2)&gt;=6,"Weekend","Weekday")</f>
        <v>Weekend</v>
      </c>
      <c r="R810" s="1" t="str">
        <f xml:space="preserve"> IF(Bike_Sharing_Master6[[#This Row],[Hr]]&lt;6,"Late Night", IF(Bike_Sharing_Master6[[#This Row],[Hr]]&lt;10,"Morning Peak", IF(Bike_Sharing_Master6[[#This Row],[Hr]]&lt;17,"Daytime", IF(Bike_Sharing_Master6[[#This Row],[Hr]]&lt;21,"Evening Peak","Night"))))</f>
        <v>Late Night</v>
      </c>
      <c r="S810" s="1" t="str">
        <f>IF(Bike_Sharing_Master6[[#This Row],[Holiday]]=1,"Holiday","Non-Holiday")</f>
        <v>Non-Holiday</v>
      </c>
      <c r="T810" s="1" t="str">
        <f>IF(Bike_Sharing_Master6[[#This Row],[Cnt]]&lt;80,"Low",IF(Bike_Sharing_Master6[[#This Row],[Cnt]]&lt;160,"Medium","High"))</f>
        <v>Low</v>
      </c>
      <c r="U810" s="1" t="str">
        <f>VLOOKUP(Bike_Sharing_Master6[[#This Row],[Weathersit]],[1]Lookup_Weather!A:B,2,FALSE)</f>
        <v>Clear</v>
      </c>
    </row>
    <row r="811" spans="1:21" x14ac:dyDescent="0.3">
      <c r="A811">
        <v>810</v>
      </c>
      <c r="B811" s="3">
        <v>40580</v>
      </c>
      <c r="C811" s="1">
        <v>1</v>
      </c>
      <c r="D811" s="1">
        <v>0</v>
      </c>
      <c r="E811" s="1">
        <v>2</v>
      </c>
      <c r="F811" s="1">
        <v>4</v>
      </c>
      <c r="G811" t="b">
        <v>0</v>
      </c>
      <c r="H811" s="1">
        <v>0</v>
      </c>
      <c r="I811" s="1">
        <v>1</v>
      </c>
      <c r="J811" s="2">
        <v>0.26</v>
      </c>
      <c r="K811" s="2">
        <v>0.2273</v>
      </c>
      <c r="L811" s="2">
        <v>0.6</v>
      </c>
      <c r="M811" s="2">
        <v>0.35820000000000002</v>
      </c>
      <c r="N811" s="1">
        <v>0</v>
      </c>
      <c r="O811" s="1">
        <v>2</v>
      </c>
      <c r="P811" s="1">
        <v>2</v>
      </c>
      <c r="Q811" s="1" t="str">
        <f>IF(WEEKDAY(Bike_Sharing_Master6[[#This Row],[Dteday]],2)&gt;=6,"Weekend","Weekday")</f>
        <v>Weekend</v>
      </c>
      <c r="R811" s="1" t="str">
        <f xml:space="preserve"> IF(Bike_Sharing_Master6[[#This Row],[Hr]]&lt;6,"Late Night", IF(Bike_Sharing_Master6[[#This Row],[Hr]]&lt;10,"Morning Peak", IF(Bike_Sharing_Master6[[#This Row],[Hr]]&lt;17,"Daytime", IF(Bike_Sharing_Master6[[#This Row],[Hr]]&lt;21,"Evening Peak","Night"))))</f>
        <v>Late Night</v>
      </c>
      <c r="S811" s="1" t="str">
        <f>IF(Bike_Sharing_Master6[[#This Row],[Holiday]]=1,"Holiday","Non-Holiday")</f>
        <v>Non-Holiday</v>
      </c>
      <c r="T811" s="1" t="str">
        <f>IF(Bike_Sharing_Master6[[#This Row],[Cnt]]&lt;80,"Low",IF(Bike_Sharing_Master6[[#This Row],[Cnt]]&lt;160,"Medium","High"))</f>
        <v>Low</v>
      </c>
      <c r="U811" s="1" t="str">
        <f>VLOOKUP(Bike_Sharing_Master6[[#This Row],[Weathersit]],[1]Lookup_Weather!A:B,2,FALSE)</f>
        <v>Clear</v>
      </c>
    </row>
    <row r="812" spans="1:21" x14ac:dyDescent="0.3">
      <c r="A812">
        <v>811</v>
      </c>
      <c r="B812" s="3">
        <v>40580</v>
      </c>
      <c r="C812" s="1">
        <v>1</v>
      </c>
      <c r="D812" s="1">
        <v>0</v>
      </c>
      <c r="E812" s="1">
        <v>2</v>
      </c>
      <c r="F812" s="1">
        <v>5</v>
      </c>
      <c r="G812" t="b">
        <v>0</v>
      </c>
      <c r="H812" s="1">
        <v>0</v>
      </c>
      <c r="I812" s="1">
        <v>1</v>
      </c>
      <c r="J812" s="2">
        <v>0.26</v>
      </c>
      <c r="K812" s="2">
        <v>0.2576</v>
      </c>
      <c r="L812" s="2">
        <v>0.6</v>
      </c>
      <c r="M812" s="2">
        <v>0.22389999999999999</v>
      </c>
      <c r="N812" s="1">
        <v>0</v>
      </c>
      <c r="O812" s="1">
        <v>1</v>
      </c>
      <c r="P812" s="1">
        <v>1</v>
      </c>
      <c r="Q812" s="1" t="str">
        <f>IF(WEEKDAY(Bike_Sharing_Master6[[#This Row],[Dteday]],2)&gt;=6,"Weekend","Weekday")</f>
        <v>Weekend</v>
      </c>
      <c r="R812" s="1" t="str">
        <f xml:space="preserve"> IF(Bike_Sharing_Master6[[#This Row],[Hr]]&lt;6,"Late Night", IF(Bike_Sharing_Master6[[#This Row],[Hr]]&lt;10,"Morning Peak", IF(Bike_Sharing_Master6[[#This Row],[Hr]]&lt;17,"Daytime", IF(Bike_Sharing_Master6[[#This Row],[Hr]]&lt;21,"Evening Peak","Night"))))</f>
        <v>Late Night</v>
      </c>
      <c r="S812" s="1" t="str">
        <f>IF(Bike_Sharing_Master6[[#This Row],[Holiday]]=1,"Holiday","Non-Holiday")</f>
        <v>Non-Holiday</v>
      </c>
      <c r="T812" s="1" t="str">
        <f>IF(Bike_Sharing_Master6[[#This Row],[Cnt]]&lt;80,"Low",IF(Bike_Sharing_Master6[[#This Row],[Cnt]]&lt;160,"Medium","High"))</f>
        <v>Low</v>
      </c>
      <c r="U812" s="1" t="str">
        <f>VLOOKUP(Bike_Sharing_Master6[[#This Row],[Weathersit]],[1]Lookup_Weather!A:B,2,FALSE)</f>
        <v>Clear</v>
      </c>
    </row>
    <row r="813" spans="1:21" x14ac:dyDescent="0.3">
      <c r="A813">
        <v>812</v>
      </c>
      <c r="B813" s="3">
        <v>40580</v>
      </c>
      <c r="C813" s="1">
        <v>1</v>
      </c>
      <c r="D813" s="1">
        <v>0</v>
      </c>
      <c r="E813" s="1">
        <v>2</v>
      </c>
      <c r="F813" s="1">
        <v>6</v>
      </c>
      <c r="G813" t="b">
        <v>0</v>
      </c>
      <c r="H813" s="1">
        <v>0</v>
      </c>
      <c r="I813" s="1">
        <v>1</v>
      </c>
      <c r="J813" s="2">
        <v>0.26</v>
      </c>
      <c r="K813" s="2">
        <v>0.2576</v>
      </c>
      <c r="L813" s="2">
        <v>0.6</v>
      </c>
      <c r="M813" s="2">
        <v>0.22389999999999999</v>
      </c>
      <c r="N813" s="1">
        <v>0</v>
      </c>
      <c r="O813" s="1">
        <v>1</v>
      </c>
      <c r="P813" s="1">
        <v>1</v>
      </c>
      <c r="Q813" s="1" t="str">
        <f>IF(WEEKDAY(Bike_Sharing_Master6[[#This Row],[Dteday]],2)&gt;=6,"Weekend","Weekday")</f>
        <v>Weekend</v>
      </c>
      <c r="R813" s="1" t="str">
        <f xml:space="preserve"> IF(Bike_Sharing_Master6[[#This Row],[Hr]]&lt;6,"Late Night", IF(Bike_Sharing_Master6[[#This Row],[Hr]]&lt;10,"Morning Peak", IF(Bike_Sharing_Master6[[#This Row],[Hr]]&lt;17,"Daytime", IF(Bike_Sharing_Master6[[#This Row],[Hr]]&lt;21,"Evening Peak","Night"))))</f>
        <v>Morning Peak</v>
      </c>
      <c r="S813" s="1" t="str">
        <f>IF(Bike_Sharing_Master6[[#This Row],[Holiday]]=1,"Holiday","Non-Holiday")</f>
        <v>Non-Holiday</v>
      </c>
      <c r="T813" s="1" t="str">
        <f>IF(Bike_Sharing_Master6[[#This Row],[Cnt]]&lt;80,"Low",IF(Bike_Sharing_Master6[[#This Row],[Cnt]]&lt;160,"Medium","High"))</f>
        <v>Low</v>
      </c>
      <c r="U813" s="1" t="str">
        <f>VLOOKUP(Bike_Sharing_Master6[[#This Row],[Weathersit]],[1]Lookup_Weather!A:B,2,FALSE)</f>
        <v>Clear</v>
      </c>
    </row>
    <row r="814" spans="1:21" x14ac:dyDescent="0.3">
      <c r="A814">
        <v>813</v>
      </c>
      <c r="B814" s="3">
        <v>40580</v>
      </c>
      <c r="C814" s="1">
        <v>1</v>
      </c>
      <c r="D814" s="1">
        <v>0</v>
      </c>
      <c r="E814" s="1">
        <v>2</v>
      </c>
      <c r="F814" s="1">
        <v>7</v>
      </c>
      <c r="G814" t="b">
        <v>0</v>
      </c>
      <c r="H814" s="1">
        <v>0</v>
      </c>
      <c r="I814" s="1">
        <v>1</v>
      </c>
      <c r="J814" s="2">
        <v>0.24</v>
      </c>
      <c r="K814" s="2">
        <v>0.2424</v>
      </c>
      <c r="L814" s="2">
        <v>0.65</v>
      </c>
      <c r="M814" s="2">
        <v>0.16420000000000001</v>
      </c>
      <c r="N814" s="1">
        <v>0</v>
      </c>
      <c r="O814" s="1">
        <v>8</v>
      </c>
      <c r="P814" s="1">
        <v>8</v>
      </c>
      <c r="Q814" s="1" t="str">
        <f>IF(WEEKDAY(Bike_Sharing_Master6[[#This Row],[Dteday]],2)&gt;=6,"Weekend","Weekday")</f>
        <v>Weekend</v>
      </c>
      <c r="R814" s="1" t="str">
        <f xml:space="preserve"> IF(Bike_Sharing_Master6[[#This Row],[Hr]]&lt;6,"Late Night", IF(Bike_Sharing_Master6[[#This Row],[Hr]]&lt;10,"Morning Peak", IF(Bike_Sharing_Master6[[#This Row],[Hr]]&lt;17,"Daytime", IF(Bike_Sharing_Master6[[#This Row],[Hr]]&lt;21,"Evening Peak","Night"))))</f>
        <v>Morning Peak</v>
      </c>
      <c r="S814" s="1" t="str">
        <f>IF(Bike_Sharing_Master6[[#This Row],[Holiday]]=1,"Holiday","Non-Holiday")</f>
        <v>Non-Holiday</v>
      </c>
      <c r="T814" s="1" t="str">
        <f>IF(Bike_Sharing_Master6[[#This Row],[Cnt]]&lt;80,"Low",IF(Bike_Sharing_Master6[[#This Row],[Cnt]]&lt;160,"Medium","High"))</f>
        <v>Low</v>
      </c>
      <c r="U814" s="1" t="str">
        <f>VLOOKUP(Bike_Sharing_Master6[[#This Row],[Weathersit]],[1]Lookup_Weather!A:B,2,FALSE)</f>
        <v>Clear</v>
      </c>
    </row>
    <row r="815" spans="1:21" x14ac:dyDescent="0.3">
      <c r="A815">
        <v>814</v>
      </c>
      <c r="B815" s="3">
        <v>40580</v>
      </c>
      <c r="C815" s="1">
        <v>1</v>
      </c>
      <c r="D815" s="1">
        <v>0</v>
      </c>
      <c r="E815" s="1">
        <v>2</v>
      </c>
      <c r="F815" s="1">
        <v>8</v>
      </c>
      <c r="G815" t="b">
        <v>0</v>
      </c>
      <c r="H815" s="1">
        <v>0</v>
      </c>
      <c r="I815" s="1">
        <v>1</v>
      </c>
      <c r="J815" s="2">
        <v>0.24</v>
      </c>
      <c r="K815" s="2">
        <v>0.2576</v>
      </c>
      <c r="L815" s="2">
        <v>0.65</v>
      </c>
      <c r="M815" s="2">
        <v>0.1045</v>
      </c>
      <c r="N815" s="1">
        <v>2</v>
      </c>
      <c r="O815" s="1">
        <v>21</v>
      </c>
      <c r="P815" s="1">
        <v>23</v>
      </c>
      <c r="Q815" s="1" t="str">
        <f>IF(WEEKDAY(Bike_Sharing_Master6[[#This Row],[Dteday]],2)&gt;=6,"Weekend","Weekday")</f>
        <v>Weekend</v>
      </c>
      <c r="R815" s="1" t="str">
        <f xml:space="preserve"> IF(Bike_Sharing_Master6[[#This Row],[Hr]]&lt;6,"Late Night", IF(Bike_Sharing_Master6[[#This Row],[Hr]]&lt;10,"Morning Peak", IF(Bike_Sharing_Master6[[#This Row],[Hr]]&lt;17,"Daytime", IF(Bike_Sharing_Master6[[#This Row],[Hr]]&lt;21,"Evening Peak","Night"))))</f>
        <v>Morning Peak</v>
      </c>
      <c r="S815" s="1" t="str">
        <f>IF(Bike_Sharing_Master6[[#This Row],[Holiday]]=1,"Holiday","Non-Holiday")</f>
        <v>Non-Holiday</v>
      </c>
      <c r="T815" s="1" t="str">
        <f>IF(Bike_Sharing_Master6[[#This Row],[Cnt]]&lt;80,"Low",IF(Bike_Sharing_Master6[[#This Row],[Cnt]]&lt;160,"Medium","High"))</f>
        <v>Low</v>
      </c>
      <c r="U815" s="1" t="str">
        <f>VLOOKUP(Bike_Sharing_Master6[[#This Row],[Weathersit]],[1]Lookup_Weather!A:B,2,FALSE)</f>
        <v>Clear</v>
      </c>
    </row>
    <row r="816" spans="1:21" x14ac:dyDescent="0.3">
      <c r="A816">
        <v>815</v>
      </c>
      <c r="B816" s="3">
        <v>40580</v>
      </c>
      <c r="C816" s="1">
        <v>1</v>
      </c>
      <c r="D816" s="1">
        <v>0</v>
      </c>
      <c r="E816" s="1">
        <v>2</v>
      </c>
      <c r="F816" s="1">
        <v>9</v>
      </c>
      <c r="G816" t="b">
        <v>0</v>
      </c>
      <c r="H816" s="1">
        <v>0</v>
      </c>
      <c r="I816" s="1">
        <v>1</v>
      </c>
      <c r="J816" s="2">
        <v>0.28000000000000003</v>
      </c>
      <c r="K816" s="2">
        <v>0.28789999999999999</v>
      </c>
      <c r="L816" s="2">
        <v>0.56000000000000005</v>
      </c>
      <c r="M816" s="2">
        <v>0.1045</v>
      </c>
      <c r="N816" s="1">
        <v>7</v>
      </c>
      <c r="O816" s="1">
        <v>38</v>
      </c>
      <c r="P816" s="1">
        <v>45</v>
      </c>
      <c r="Q816" s="1" t="str">
        <f>IF(WEEKDAY(Bike_Sharing_Master6[[#This Row],[Dteday]],2)&gt;=6,"Weekend","Weekday")</f>
        <v>Weekend</v>
      </c>
      <c r="R816" s="1" t="str">
        <f xml:space="preserve"> IF(Bike_Sharing_Master6[[#This Row],[Hr]]&lt;6,"Late Night", IF(Bike_Sharing_Master6[[#This Row],[Hr]]&lt;10,"Morning Peak", IF(Bike_Sharing_Master6[[#This Row],[Hr]]&lt;17,"Daytime", IF(Bike_Sharing_Master6[[#This Row],[Hr]]&lt;21,"Evening Peak","Night"))))</f>
        <v>Morning Peak</v>
      </c>
      <c r="S816" s="1" t="str">
        <f>IF(Bike_Sharing_Master6[[#This Row],[Holiday]]=1,"Holiday","Non-Holiday")</f>
        <v>Non-Holiday</v>
      </c>
      <c r="T816" s="1" t="str">
        <f>IF(Bike_Sharing_Master6[[#This Row],[Cnt]]&lt;80,"Low",IF(Bike_Sharing_Master6[[#This Row],[Cnt]]&lt;160,"Medium","High"))</f>
        <v>Low</v>
      </c>
      <c r="U816" s="1" t="str">
        <f>VLOOKUP(Bike_Sharing_Master6[[#This Row],[Weathersit]],[1]Lookup_Weather!A:B,2,FALSE)</f>
        <v>Clear</v>
      </c>
    </row>
    <row r="817" spans="1:21" x14ac:dyDescent="0.3">
      <c r="A817">
        <v>816</v>
      </c>
      <c r="B817" s="3">
        <v>40580</v>
      </c>
      <c r="C817" s="1">
        <v>1</v>
      </c>
      <c r="D817" s="1">
        <v>0</v>
      </c>
      <c r="E817" s="1">
        <v>2</v>
      </c>
      <c r="F817" s="1">
        <v>10</v>
      </c>
      <c r="G817" t="b">
        <v>0</v>
      </c>
      <c r="H817" s="1">
        <v>0</v>
      </c>
      <c r="I817" s="1">
        <v>1</v>
      </c>
      <c r="J817" s="2">
        <v>0.3</v>
      </c>
      <c r="K817" s="2">
        <v>0.28789999999999999</v>
      </c>
      <c r="L817" s="2">
        <v>0.52</v>
      </c>
      <c r="M817" s="2">
        <v>0.25369999999999998</v>
      </c>
      <c r="N817" s="1">
        <v>15</v>
      </c>
      <c r="O817" s="1">
        <v>74</v>
      </c>
      <c r="P817" s="1">
        <v>89</v>
      </c>
      <c r="Q817" s="1" t="str">
        <f>IF(WEEKDAY(Bike_Sharing_Master6[[#This Row],[Dteday]],2)&gt;=6,"Weekend","Weekday")</f>
        <v>Weekend</v>
      </c>
      <c r="R817" s="1" t="str">
        <f xml:space="preserve"> IF(Bike_Sharing_Master6[[#This Row],[Hr]]&lt;6,"Late Night", IF(Bike_Sharing_Master6[[#This Row],[Hr]]&lt;10,"Morning Peak", IF(Bike_Sharing_Master6[[#This Row],[Hr]]&lt;17,"Daytime", IF(Bike_Sharing_Master6[[#This Row],[Hr]]&lt;21,"Evening Peak","Night"))))</f>
        <v>Daytime</v>
      </c>
      <c r="S817" s="1" t="str">
        <f>IF(Bike_Sharing_Master6[[#This Row],[Holiday]]=1,"Holiday","Non-Holiday")</f>
        <v>Non-Holiday</v>
      </c>
      <c r="T817" s="1" t="str">
        <f>IF(Bike_Sharing_Master6[[#This Row],[Cnt]]&lt;80,"Low",IF(Bike_Sharing_Master6[[#This Row],[Cnt]]&lt;160,"Medium","High"))</f>
        <v>Medium</v>
      </c>
      <c r="U817" s="1" t="str">
        <f>VLOOKUP(Bike_Sharing_Master6[[#This Row],[Weathersit]],[1]Lookup_Weather!A:B,2,FALSE)</f>
        <v>Clear</v>
      </c>
    </row>
    <row r="818" spans="1:21" x14ac:dyDescent="0.3">
      <c r="A818">
        <v>817</v>
      </c>
      <c r="B818" s="3">
        <v>40580</v>
      </c>
      <c r="C818" s="1">
        <v>1</v>
      </c>
      <c r="D818" s="1">
        <v>0</v>
      </c>
      <c r="E818" s="1">
        <v>2</v>
      </c>
      <c r="F818" s="1">
        <v>11</v>
      </c>
      <c r="G818" t="b">
        <v>0</v>
      </c>
      <c r="H818" s="1">
        <v>0</v>
      </c>
      <c r="I818" s="1">
        <v>1</v>
      </c>
      <c r="J818" s="2">
        <v>0.32</v>
      </c>
      <c r="K818" s="2">
        <v>0.30299999999999999</v>
      </c>
      <c r="L818" s="2">
        <v>0.49</v>
      </c>
      <c r="M818" s="2">
        <v>0.25369999999999998</v>
      </c>
      <c r="N818" s="1">
        <v>28</v>
      </c>
      <c r="O818" s="1">
        <v>89</v>
      </c>
      <c r="P818" s="1">
        <v>117</v>
      </c>
      <c r="Q818" s="1" t="str">
        <f>IF(WEEKDAY(Bike_Sharing_Master6[[#This Row],[Dteday]],2)&gt;=6,"Weekend","Weekday")</f>
        <v>Weekend</v>
      </c>
      <c r="R818" s="1" t="str">
        <f xml:space="preserve"> IF(Bike_Sharing_Master6[[#This Row],[Hr]]&lt;6,"Late Night", IF(Bike_Sharing_Master6[[#This Row],[Hr]]&lt;10,"Morning Peak", IF(Bike_Sharing_Master6[[#This Row],[Hr]]&lt;17,"Daytime", IF(Bike_Sharing_Master6[[#This Row],[Hr]]&lt;21,"Evening Peak","Night"))))</f>
        <v>Daytime</v>
      </c>
      <c r="S818" s="1" t="str">
        <f>IF(Bike_Sharing_Master6[[#This Row],[Holiday]]=1,"Holiday","Non-Holiday")</f>
        <v>Non-Holiday</v>
      </c>
      <c r="T818" s="1" t="str">
        <f>IF(Bike_Sharing_Master6[[#This Row],[Cnt]]&lt;80,"Low",IF(Bike_Sharing_Master6[[#This Row],[Cnt]]&lt;160,"Medium","High"))</f>
        <v>Medium</v>
      </c>
      <c r="U818" s="1" t="str">
        <f>VLOOKUP(Bike_Sharing_Master6[[#This Row],[Weathersit]],[1]Lookup_Weather!A:B,2,FALSE)</f>
        <v>Clear</v>
      </c>
    </row>
    <row r="819" spans="1:21" x14ac:dyDescent="0.3">
      <c r="A819">
        <v>818</v>
      </c>
      <c r="B819" s="3">
        <v>40580</v>
      </c>
      <c r="C819" s="1">
        <v>1</v>
      </c>
      <c r="D819" s="1">
        <v>0</v>
      </c>
      <c r="E819" s="1">
        <v>2</v>
      </c>
      <c r="F819" s="1">
        <v>12</v>
      </c>
      <c r="G819" t="b">
        <v>0</v>
      </c>
      <c r="H819" s="1">
        <v>0</v>
      </c>
      <c r="I819" s="1">
        <v>1</v>
      </c>
      <c r="J819" s="2">
        <v>0.34</v>
      </c>
      <c r="K819" s="2">
        <v>0.33329999999999999</v>
      </c>
      <c r="L819" s="2">
        <v>0.46</v>
      </c>
      <c r="M819" s="2">
        <v>0</v>
      </c>
      <c r="N819" s="1">
        <v>48</v>
      </c>
      <c r="O819" s="1">
        <v>126</v>
      </c>
      <c r="P819" s="1">
        <v>174</v>
      </c>
      <c r="Q819" s="1" t="str">
        <f>IF(WEEKDAY(Bike_Sharing_Master6[[#This Row],[Dteday]],2)&gt;=6,"Weekend","Weekday")</f>
        <v>Weekend</v>
      </c>
      <c r="R819" s="1" t="str">
        <f xml:space="preserve"> IF(Bike_Sharing_Master6[[#This Row],[Hr]]&lt;6,"Late Night", IF(Bike_Sharing_Master6[[#This Row],[Hr]]&lt;10,"Morning Peak", IF(Bike_Sharing_Master6[[#This Row],[Hr]]&lt;17,"Daytime", IF(Bike_Sharing_Master6[[#This Row],[Hr]]&lt;21,"Evening Peak","Night"))))</f>
        <v>Daytime</v>
      </c>
      <c r="S819" s="1" t="str">
        <f>IF(Bike_Sharing_Master6[[#This Row],[Holiday]]=1,"Holiday","Non-Holiday")</f>
        <v>Non-Holiday</v>
      </c>
      <c r="T819" s="1" t="str">
        <f>IF(Bike_Sharing_Master6[[#This Row],[Cnt]]&lt;80,"Low",IF(Bike_Sharing_Master6[[#This Row],[Cnt]]&lt;160,"Medium","High"))</f>
        <v>High</v>
      </c>
      <c r="U819" s="1" t="str">
        <f>VLOOKUP(Bike_Sharing_Master6[[#This Row],[Weathersit]],[1]Lookup_Weather!A:B,2,FALSE)</f>
        <v>Clear</v>
      </c>
    </row>
    <row r="820" spans="1:21" x14ac:dyDescent="0.3">
      <c r="A820">
        <v>819</v>
      </c>
      <c r="B820" s="3">
        <v>40580</v>
      </c>
      <c r="C820" s="1">
        <v>1</v>
      </c>
      <c r="D820" s="1">
        <v>0</v>
      </c>
      <c r="E820" s="1">
        <v>2</v>
      </c>
      <c r="F820" s="1">
        <v>13</v>
      </c>
      <c r="G820" t="b">
        <v>0</v>
      </c>
      <c r="H820" s="1">
        <v>0</v>
      </c>
      <c r="I820" s="1">
        <v>1</v>
      </c>
      <c r="J820" s="2">
        <v>0.34</v>
      </c>
      <c r="K820" s="2">
        <v>0.36359999999999998</v>
      </c>
      <c r="L820" s="2">
        <v>0.46</v>
      </c>
      <c r="M820" s="2">
        <v>0</v>
      </c>
      <c r="N820" s="1">
        <v>47</v>
      </c>
      <c r="O820" s="1">
        <v>135</v>
      </c>
      <c r="P820" s="1">
        <v>182</v>
      </c>
      <c r="Q820" s="1" t="str">
        <f>IF(WEEKDAY(Bike_Sharing_Master6[[#This Row],[Dteday]],2)&gt;=6,"Weekend","Weekday")</f>
        <v>Weekend</v>
      </c>
      <c r="R820" s="1" t="str">
        <f xml:space="preserve"> IF(Bike_Sharing_Master6[[#This Row],[Hr]]&lt;6,"Late Night", IF(Bike_Sharing_Master6[[#This Row],[Hr]]&lt;10,"Morning Peak", IF(Bike_Sharing_Master6[[#This Row],[Hr]]&lt;17,"Daytime", IF(Bike_Sharing_Master6[[#This Row],[Hr]]&lt;21,"Evening Peak","Night"))))</f>
        <v>Daytime</v>
      </c>
      <c r="S820" s="1" t="str">
        <f>IF(Bike_Sharing_Master6[[#This Row],[Holiday]]=1,"Holiday","Non-Holiday")</f>
        <v>Non-Holiday</v>
      </c>
      <c r="T820" s="1" t="str">
        <f>IF(Bike_Sharing_Master6[[#This Row],[Cnt]]&lt;80,"Low",IF(Bike_Sharing_Master6[[#This Row],[Cnt]]&lt;160,"Medium","High"))</f>
        <v>High</v>
      </c>
      <c r="U820" s="1" t="str">
        <f>VLOOKUP(Bike_Sharing_Master6[[#This Row],[Weathersit]],[1]Lookup_Weather!A:B,2,FALSE)</f>
        <v>Clear</v>
      </c>
    </row>
    <row r="821" spans="1:21" x14ac:dyDescent="0.3">
      <c r="A821">
        <v>820</v>
      </c>
      <c r="B821" s="3">
        <v>40580</v>
      </c>
      <c r="C821" s="1">
        <v>1</v>
      </c>
      <c r="D821" s="1">
        <v>0</v>
      </c>
      <c r="E821" s="1">
        <v>2</v>
      </c>
      <c r="F821" s="1">
        <v>14</v>
      </c>
      <c r="G821" t="b">
        <v>0</v>
      </c>
      <c r="H821" s="1">
        <v>0</v>
      </c>
      <c r="I821" s="1">
        <v>1</v>
      </c>
      <c r="J821" s="2">
        <v>0.34</v>
      </c>
      <c r="K821" s="2">
        <v>0.34849999999999998</v>
      </c>
      <c r="L821" s="2">
        <v>0.46</v>
      </c>
      <c r="M821" s="2">
        <v>8.9599999999999999E-2</v>
      </c>
      <c r="N821" s="1">
        <v>47</v>
      </c>
      <c r="O821" s="1">
        <v>114</v>
      </c>
      <c r="P821" s="1">
        <v>161</v>
      </c>
      <c r="Q821" s="1" t="str">
        <f>IF(WEEKDAY(Bike_Sharing_Master6[[#This Row],[Dteday]],2)&gt;=6,"Weekend","Weekday")</f>
        <v>Weekend</v>
      </c>
      <c r="R821" s="1" t="str">
        <f xml:space="preserve"> IF(Bike_Sharing_Master6[[#This Row],[Hr]]&lt;6,"Late Night", IF(Bike_Sharing_Master6[[#This Row],[Hr]]&lt;10,"Morning Peak", IF(Bike_Sharing_Master6[[#This Row],[Hr]]&lt;17,"Daytime", IF(Bike_Sharing_Master6[[#This Row],[Hr]]&lt;21,"Evening Peak","Night"))))</f>
        <v>Daytime</v>
      </c>
      <c r="S821" s="1" t="str">
        <f>IF(Bike_Sharing_Master6[[#This Row],[Holiday]]=1,"Holiday","Non-Holiday")</f>
        <v>Non-Holiday</v>
      </c>
      <c r="T821" s="1" t="str">
        <f>IF(Bike_Sharing_Master6[[#This Row],[Cnt]]&lt;80,"Low",IF(Bike_Sharing_Master6[[#This Row],[Cnt]]&lt;160,"Medium","High"))</f>
        <v>High</v>
      </c>
      <c r="U821" s="1" t="str">
        <f>VLOOKUP(Bike_Sharing_Master6[[#This Row],[Weathersit]],[1]Lookup_Weather!A:B,2,FALSE)</f>
        <v>Clear</v>
      </c>
    </row>
    <row r="822" spans="1:21" x14ac:dyDescent="0.3">
      <c r="A822">
        <v>821</v>
      </c>
      <c r="B822" s="3">
        <v>40580</v>
      </c>
      <c r="C822" s="1">
        <v>1</v>
      </c>
      <c r="D822" s="1">
        <v>0</v>
      </c>
      <c r="E822" s="1">
        <v>2</v>
      </c>
      <c r="F822" s="1">
        <v>15</v>
      </c>
      <c r="G822" t="b">
        <v>0</v>
      </c>
      <c r="H822" s="1">
        <v>0</v>
      </c>
      <c r="I822" s="1">
        <v>1</v>
      </c>
      <c r="J822" s="2">
        <v>0.34</v>
      </c>
      <c r="K822" s="2">
        <v>0.34849999999999998</v>
      </c>
      <c r="L822" s="2">
        <v>0.46</v>
      </c>
      <c r="M822" s="2">
        <v>8.9599999999999999E-2</v>
      </c>
      <c r="N822" s="1">
        <v>52</v>
      </c>
      <c r="O822" s="1">
        <v>130</v>
      </c>
      <c r="P822" s="1">
        <v>182</v>
      </c>
      <c r="Q822" s="1" t="str">
        <f>IF(WEEKDAY(Bike_Sharing_Master6[[#This Row],[Dteday]],2)&gt;=6,"Weekend","Weekday")</f>
        <v>Weekend</v>
      </c>
      <c r="R822" s="1" t="str">
        <f xml:space="preserve"> IF(Bike_Sharing_Master6[[#This Row],[Hr]]&lt;6,"Late Night", IF(Bike_Sharing_Master6[[#This Row],[Hr]]&lt;10,"Morning Peak", IF(Bike_Sharing_Master6[[#This Row],[Hr]]&lt;17,"Daytime", IF(Bike_Sharing_Master6[[#This Row],[Hr]]&lt;21,"Evening Peak","Night"))))</f>
        <v>Daytime</v>
      </c>
      <c r="S822" s="1" t="str">
        <f>IF(Bike_Sharing_Master6[[#This Row],[Holiday]]=1,"Holiday","Non-Holiday")</f>
        <v>Non-Holiday</v>
      </c>
      <c r="T822" s="1" t="str">
        <f>IF(Bike_Sharing_Master6[[#This Row],[Cnt]]&lt;80,"Low",IF(Bike_Sharing_Master6[[#This Row],[Cnt]]&lt;160,"Medium","High"))</f>
        <v>High</v>
      </c>
      <c r="U822" s="1" t="str">
        <f>VLOOKUP(Bike_Sharing_Master6[[#This Row],[Weathersit]],[1]Lookup_Weather!A:B,2,FALSE)</f>
        <v>Clear</v>
      </c>
    </row>
    <row r="823" spans="1:21" x14ac:dyDescent="0.3">
      <c r="A823">
        <v>822</v>
      </c>
      <c r="B823" s="3">
        <v>40580</v>
      </c>
      <c r="C823" s="1">
        <v>1</v>
      </c>
      <c r="D823" s="1">
        <v>0</v>
      </c>
      <c r="E823" s="1">
        <v>2</v>
      </c>
      <c r="F823" s="1">
        <v>16</v>
      </c>
      <c r="G823" t="b">
        <v>0</v>
      </c>
      <c r="H823" s="1">
        <v>0</v>
      </c>
      <c r="I823" s="1">
        <v>1</v>
      </c>
      <c r="J823" s="2">
        <v>0.34</v>
      </c>
      <c r="K823" s="2">
        <v>0.34849999999999998</v>
      </c>
      <c r="L823" s="2">
        <v>0.49</v>
      </c>
      <c r="M823" s="2">
        <v>0.1045</v>
      </c>
      <c r="N823" s="1">
        <v>42</v>
      </c>
      <c r="O823" s="1">
        <v>115</v>
      </c>
      <c r="P823" s="1">
        <v>157</v>
      </c>
      <c r="Q823" s="1" t="str">
        <f>IF(WEEKDAY(Bike_Sharing_Master6[[#This Row],[Dteday]],2)&gt;=6,"Weekend","Weekday")</f>
        <v>Weekend</v>
      </c>
      <c r="R823" s="1" t="str">
        <f xml:space="preserve"> IF(Bike_Sharing_Master6[[#This Row],[Hr]]&lt;6,"Late Night", IF(Bike_Sharing_Master6[[#This Row],[Hr]]&lt;10,"Morning Peak", IF(Bike_Sharing_Master6[[#This Row],[Hr]]&lt;17,"Daytime", IF(Bike_Sharing_Master6[[#This Row],[Hr]]&lt;21,"Evening Peak","Night"))))</f>
        <v>Daytime</v>
      </c>
      <c r="S823" s="1" t="str">
        <f>IF(Bike_Sharing_Master6[[#This Row],[Holiday]]=1,"Holiday","Non-Holiday")</f>
        <v>Non-Holiday</v>
      </c>
      <c r="T823" s="1" t="str">
        <f>IF(Bike_Sharing_Master6[[#This Row],[Cnt]]&lt;80,"Low",IF(Bike_Sharing_Master6[[#This Row],[Cnt]]&lt;160,"Medium","High"))</f>
        <v>Medium</v>
      </c>
      <c r="U823" s="1" t="str">
        <f>VLOOKUP(Bike_Sharing_Master6[[#This Row],[Weathersit]],[1]Lookup_Weather!A:B,2,FALSE)</f>
        <v>Clear</v>
      </c>
    </row>
    <row r="824" spans="1:21" x14ac:dyDescent="0.3">
      <c r="A824">
        <v>823</v>
      </c>
      <c r="B824" s="3">
        <v>40580</v>
      </c>
      <c r="C824" s="1">
        <v>1</v>
      </c>
      <c r="D824" s="1">
        <v>0</v>
      </c>
      <c r="E824" s="1">
        <v>2</v>
      </c>
      <c r="F824" s="1">
        <v>17</v>
      </c>
      <c r="G824" t="b">
        <v>0</v>
      </c>
      <c r="H824" s="1">
        <v>0</v>
      </c>
      <c r="I824" s="1">
        <v>1</v>
      </c>
      <c r="J824" s="2">
        <v>0.34</v>
      </c>
      <c r="K824" s="2">
        <v>0.36359999999999998</v>
      </c>
      <c r="L824" s="2">
        <v>0.46</v>
      </c>
      <c r="M824" s="2">
        <v>0</v>
      </c>
      <c r="N824" s="1">
        <v>24</v>
      </c>
      <c r="O824" s="1">
        <v>97</v>
      </c>
      <c r="P824" s="1">
        <v>121</v>
      </c>
      <c r="Q824" s="1" t="str">
        <f>IF(WEEKDAY(Bike_Sharing_Master6[[#This Row],[Dteday]],2)&gt;=6,"Weekend","Weekday")</f>
        <v>Weekend</v>
      </c>
      <c r="R824" s="1" t="str">
        <f xml:space="preserve"> IF(Bike_Sharing_Master6[[#This Row],[Hr]]&lt;6,"Late Night", IF(Bike_Sharing_Master6[[#This Row],[Hr]]&lt;10,"Morning Peak", IF(Bike_Sharing_Master6[[#This Row],[Hr]]&lt;17,"Daytime", IF(Bike_Sharing_Master6[[#This Row],[Hr]]&lt;21,"Evening Peak","Night"))))</f>
        <v>Evening Peak</v>
      </c>
      <c r="S824" s="1" t="str">
        <f>IF(Bike_Sharing_Master6[[#This Row],[Holiday]]=1,"Holiday","Non-Holiday")</f>
        <v>Non-Holiday</v>
      </c>
      <c r="T824" s="1" t="str">
        <f>IF(Bike_Sharing_Master6[[#This Row],[Cnt]]&lt;80,"Low",IF(Bike_Sharing_Master6[[#This Row],[Cnt]]&lt;160,"Medium","High"))</f>
        <v>Medium</v>
      </c>
      <c r="U824" s="1" t="str">
        <f>VLOOKUP(Bike_Sharing_Master6[[#This Row],[Weathersit]],[1]Lookup_Weather!A:B,2,FALSE)</f>
        <v>Clear</v>
      </c>
    </row>
    <row r="825" spans="1:21" x14ac:dyDescent="0.3">
      <c r="A825">
        <v>824</v>
      </c>
      <c r="B825" s="3">
        <v>40580</v>
      </c>
      <c r="C825" s="1">
        <v>1</v>
      </c>
      <c r="D825" s="1">
        <v>0</v>
      </c>
      <c r="E825" s="1">
        <v>2</v>
      </c>
      <c r="F825" s="1">
        <v>18</v>
      </c>
      <c r="G825" t="b">
        <v>0</v>
      </c>
      <c r="H825" s="1">
        <v>0</v>
      </c>
      <c r="I825" s="1">
        <v>1</v>
      </c>
      <c r="J825" s="2">
        <v>0.3</v>
      </c>
      <c r="K825" s="2">
        <v>0.30299999999999999</v>
      </c>
      <c r="L825" s="2">
        <v>0.56000000000000005</v>
      </c>
      <c r="M825" s="2">
        <v>0.16420000000000001</v>
      </c>
      <c r="N825" s="1">
        <v>13</v>
      </c>
      <c r="O825" s="1">
        <v>65</v>
      </c>
      <c r="P825" s="1">
        <v>78</v>
      </c>
      <c r="Q825" s="1" t="str">
        <f>IF(WEEKDAY(Bike_Sharing_Master6[[#This Row],[Dteday]],2)&gt;=6,"Weekend","Weekday")</f>
        <v>Weekend</v>
      </c>
      <c r="R825" s="1" t="str">
        <f xml:space="preserve"> IF(Bike_Sharing_Master6[[#This Row],[Hr]]&lt;6,"Late Night", IF(Bike_Sharing_Master6[[#This Row],[Hr]]&lt;10,"Morning Peak", IF(Bike_Sharing_Master6[[#This Row],[Hr]]&lt;17,"Daytime", IF(Bike_Sharing_Master6[[#This Row],[Hr]]&lt;21,"Evening Peak","Night"))))</f>
        <v>Evening Peak</v>
      </c>
      <c r="S825" s="1" t="str">
        <f>IF(Bike_Sharing_Master6[[#This Row],[Holiday]]=1,"Holiday","Non-Holiday")</f>
        <v>Non-Holiday</v>
      </c>
      <c r="T825" s="1" t="str">
        <f>IF(Bike_Sharing_Master6[[#This Row],[Cnt]]&lt;80,"Low",IF(Bike_Sharing_Master6[[#This Row],[Cnt]]&lt;160,"Medium","High"))</f>
        <v>Low</v>
      </c>
      <c r="U825" s="1" t="str">
        <f>VLOOKUP(Bike_Sharing_Master6[[#This Row],[Weathersit]],[1]Lookup_Weather!A:B,2,FALSE)</f>
        <v>Clear</v>
      </c>
    </row>
    <row r="826" spans="1:21" x14ac:dyDescent="0.3">
      <c r="A826">
        <v>825</v>
      </c>
      <c r="B826" s="3">
        <v>40580</v>
      </c>
      <c r="C826" s="1">
        <v>1</v>
      </c>
      <c r="D826" s="1">
        <v>0</v>
      </c>
      <c r="E826" s="1">
        <v>2</v>
      </c>
      <c r="F826" s="1">
        <v>19</v>
      </c>
      <c r="G826" t="b">
        <v>0</v>
      </c>
      <c r="H826" s="1">
        <v>0</v>
      </c>
      <c r="I826" s="1">
        <v>1</v>
      </c>
      <c r="J826" s="2">
        <v>0.28000000000000003</v>
      </c>
      <c r="K826" s="2">
        <v>0.28789999999999999</v>
      </c>
      <c r="L826" s="2">
        <v>0.61</v>
      </c>
      <c r="M826" s="2">
        <v>0.1343</v>
      </c>
      <c r="N826" s="1">
        <v>1</v>
      </c>
      <c r="O826" s="1">
        <v>20</v>
      </c>
      <c r="P826" s="1">
        <v>21</v>
      </c>
      <c r="Q826" s="1" t="str">
        <f>IF(WEEKDAY(Bike_Sharing_Master6[[#This Row],[Dteday]],2)&gt;=6,"Weekend","Weekday")</f>
        <v>Weekend</v>
      </c>
      <c r="R826" s="1" t="str">
        <f xml:space="preserve"> IF(Bike_Sharing_Master6[[#This Row],[Hr]]&lt;6,"Late Night", IF(Bike_Sharing_Master6[[#This Row],[Hr]]&lt;10,"Morning Peak", IF(Bike_Sharing_Master6[[#This Row],[Hr]]&lt;17,"Daytime", IF(Bike_Sharing_Master6[[#This Row],[Hr]]&lt;21,"Evening Peak","Night"))))</f>
        <v>Evening Peak</v>
      </c>
      <c r="S826" s="1" t="str">
        <f>IF(Bike_Sharing_Master6[[#This Row],[Holiday]]=1,"Holiday","Non-Holiday")</f>
        <v>Non-Holiday</v>
      </c>
      <c r="T826" s="1" t="str">
        <f>IF(Bike_Sharing_Master6[[#This Row],[Cnt]]&lt;80,"Low",IF(Bike_Sharing_Master6[[#This Row],[Cnt]]&lt;160,"Medium","High"))</f>
        <v>Low</v>
      </c>
      <c r="U826" s="1" t="str">
        <f>VLOOKUP(Bike_Sharing_Master6[[#This Row],[Weathersit]],[1]Lookup_Weather!A:B,2,FALSE)</f>
        <v>Clear</v>
      </c>
    </row>
    <row r="827" spans="1:21" x14ac:dyDescent="0.3">
      <c r="A827">
        <v>826</v>
      </c>
      <c r="B827" s="3">
        <v>40580</v>
      </c>
      <c r="C827" s="1">
        <v>1</v>
      </c>
      <c r="D827" s="1">
        <v>0</v>
      </c>
      <c r="E827" s="1">
        <v>2</v>
      </c>
      <c r="F827" s="1">
        <v>20</v>
      </c>
      <c r="G827" t="b">
        <v>0</v>
      </c>
      <c r="H827" s="1">
        <v>0</v>
      </c>
      <c r="I827" s="1">
        <v>1</v>
      </c>
      <c r="J827" s="2">
        <v>0.28000000000000003</v>
      </c>
      <c r="K827" s="2">
        <v>0.28789999999999999</v>
      </c>
      <c r="L827" s="2">
        <v>0.61</v>
      </c>
      <c r="M827" s="2">
        <v>0.1045</v>
      </c>
      <c r="N827" s="1">
        <v>5</v>
      </c>
      <c r="O827" s="1">
        <v>21</v>
      </c>
      <c r="P827" s="1">
        <v>26</v>
      </c>
      <c r="Q827" s="1" t="str">
        <f>IF(WEEKDAY(Bike_Sharing_Master6[[#This Row],[Dteday]],2)&gt;=6,"Weekend","Weekday")</f>
        <v>Weekend</v>
      </c>
      <c r="R827" s="1" t="str">
        <f xml:space="preserve"> IF(Bike_Sharing_Master6[[#This Row],[Hr]]&lt;6,"Late Night", IF(Bike_Sharing_Master6[[#This Row],[Hr]]&lt;10,"Morning Peak", IF(Bike_Sharing_Master6[[#This Row],[Hr]]&lt;17,"Daytime", IF(Bike_Sharing_Master6[[#This Row],[Hr]]&lt;21,"Evening Peak","Night"))))</f>
        <v>Evening Peak</v>
      </c>
      <c r="S827" s="1" t="str">
        <f>IF(Bike_Sharing_Master6[[#This Row],[Holiday]]=1,"Holiday","Non-Holiday")</f>
        <v>Non-Holiday</v>
      </c>
      <c r="T827" s="1" t="str">
        <f>IF(Bike_Sharing_Master6[[#This Row],[Cnt]]&lt;80,"Low",IF(Bike_Sharing_Master6[[#This Row],[Cnt]]&lt;160,"Medium","High"))</f>
        <v>Low</v>
      </c>
      <c r="U827" s="1" t="str">
        <f>VLOOKUP(Bike_Sharing_Master6[[#This Row],[Weathersit]],[1]Lookup_Weather!A:B,2,FALSE)</f>
        <v>Clear</v>
      </c>
    </row>
    <row r="828" spans="1:21" x14ac:dyDescent="0.3">
      <c r="A828">
        <v>827</v>
      </c>
      <c r="B828" s="3">
        <v>40580</v>
      </c>
      <c r="C828" s="1">
        <v>1</v>
      </c>
      <c r="D828" s="1">
        <v>0</v>
      </c>
      <c r="E828" s="1">
        <v>2</v>
      </c>
      <c r="F828" s="1">
        <v>21</v>
      </c>
      <c r="G828" t="b">
        <v>0</v>
      </c>
      <c r="H828" s="1">
        <v>0</v>
      </c>
      <c r="I828" s="1">
        <v>1</v>
      </c>
      <c r="J828" s="2">
        <v>0.26</v>
      </c>
      <c r="K828" s="2">
        <v>0.30299999999999999</v>
      </c>
      <c r="L828" s="2">
        <v>0.6</v>
      </c>
      <c r="M828" s="2">
        <v>0</v>
      </c>
      <c r="N828" s="1">
        <v>5</v>
      </c>
      <c r="O828" s="1">
        <v>22</v>
      </c>
      <c r="P828" s="1">
        <v>27</v>
      </c>
      <c r="Q828" s="1" t="str">
        <f>IF(WEEKDAY(Bike_Sharing_Master6[[#This Row],[Dteday]],2)&gt;=6,"Weekend","Weekday")</f>
        <v>Weekend</v>
      </c>
      <c r="R828" s="1" t="str">
        <f xml:space="preserve"> IF(Bike_Sharing_Master6[[#This Row],[Hr]]&lt;6,"Late Night", IF(Bike_Sharing_Master6[[#This Row],[Hr]]&lt;10,"Morning Peak", IF(Bike_Sharing_Master6[[#This Row],[Hr]]&lt;17,"Daytime", IF(Bike_Sharing_Master6[[#This Row],[Hr]]&lt;21,"Evening Peak","Night"))))</f>
        <v>Night</v>
      </c>
      <c r="S828" s="1" t="str">
        <f>IF(Bike_Sharing_Master6[[#This Row],[Holiday]]=1,"Holiday","Non-Holiday")</f>
        <v>Non-Holiday</v>
      </c>
      <c r="T828" s="1" t="str">
        <f>IF(Bike_Sharing_Master6[[#This Row],[Cnt]]&lt;80,"Low",IF(Bike_Sharing_Master6[[#This Row],[Cnt]]&lt;160,"Medium","High"))</f>
        <v>Low</v>
      </c>
      <c r="U828" s="1" t="str">
        <f>VLOOKUP(Bike_Sharing_Master6[[#This Row],[Weathersit]],[1]Lookup_Weather!A:B,2,FALSE)</f>
        <v>Clear</v>
      </c>
    </row>
    <row r="829" spans="1:21" x14ac:dyDescent="0.3">
      <c r="A829">
        <v>828</v>
      </c>
      <c r="B829" s="3">
        <v>40580</v>
      </c>
      <c r="C829" s="1">
        <v>1</v>
      </c>
      <c r="D829" s="1">
        <v>0</v>
      </c>
      <c r="E829" s="1">
        <v>2</v>
      </c>
      <c r="F829" s="1">
        <v>22</v>
      </c>
      <c r="G829" t="b">
        <v>0</v>
      </c>
      <c r="H829" s="1">
        <v>0</v>
      </c>
      <c r="I829" s="1">
        <v>1</v>
      </c>
      <c r="J829" s="2">
        <v>0.26</v>
      </c>
      <c r="K829" s="2">
        <v>0.30299999999999999</v>
      </c>
      <c r="L829" s="2">
        <v>0.6</v>
      </c>
      <c r="M829" s="2">
        <v>0</v>
      </c>
      <c r="N829" s="1">
        <v>5</v>
      </c>
      <c r="O829" s="1">
        <v>57</v>
      </c>
      <c r="P829" s="1">
        <v>62</v>
      </c>
      <c r="Q829" s="1" t="str">
        <f>IF(WEEKDAY(Bike_Sharing_Master6[[#This Row],[Dteday]],2)&gt;=6,"Weekend","Weekday")</f>
        <v>Weekend</v>
      </c>
      <c r="R829" s="1" t="str">
        <f xml:space="preserve"> IF(Bike_Sharing_Master6[[#This Row],[Hr]]&lt;6,"Late Night", IF(Bike_Sharing_Master6[[#This Row],[Hr]]&lt;10,"Morning Peak", IF(Bike_Sharing_Master6[[#This Row],[Hr]]&lt;17,"Daytime", IF(Bike_Sharing_Master6[[#This Row],[Hr]]&lt;21,"Evening Peak","Night"))))</f>
        <v>Night</v>
      </c>
      <c r="S829" s="1" t="str">
        <f>IF(Bike_Sharing_Master6[[#This Row],[Holiday]]=1,"Holiday","Non-Holiday")</f>
        <v>Non-Holiday</v>
      </c>
      <c r="T829" s="1" t="str">
        <f>IF(Bike_Sharing_Master6[[#This Row],[Cnt]]&lt;80,"Low",IF(Bike_Sharing_Master6[[#This Row],[Cnt]]&lt;160,"Medium","High"))</f>
        <v>Low</v>
      </c>
      <c r="U829" s="1" t="str">
        <f>VLOOKUP(Bike_Sharing_Master6[[#This Row],[Weathersit]],[1]Lookup_Weather!A:B,2,FALSE)</f>
        <v>Clear</v>
      </c>
    </row>
    <row r="830" spans="1:21" x14ac:dyDescent="0.3">
      <c r="A830">
        <v>829</v>
      </c>
      <c r="B830" s="3">
        <v>40580</v>
      </c>
      <c r="C830" s="1">
        <v>1</v>
      </c>
      <c r="D830" s="1">
        <v>0</v>
      </c>
      <c r="E830" s="1">
        <v>2</v>
      </c>
      <c r="F830" s="1">
        <v>23</v>
      </c>
      <c r="G830" t="b">
        <v>0</v>
      </c>
      <c r="H830" s="1">
        <v>0</v>
      </c>
      <c r="I830" s="1">
        <v>1</v>
      </c>
      <c r="J830" s="2">
        <v>0.24</v>
      </c>
      <c r="K830" s="2">
        <v>0.28789999999999999</v>
      </c>
      <c r="L830" s="2">
        <v>0.65</v>
      </c>
      <c r="M830" s="2">
        <v>0</v>
      </c>
      <c r="N830" s="1">
        <v>4</v>
      </c>
      <c r="O830" s="1">
        <v>26</v>
      </c>
      <c r="P830" s="1">
        <v>30</v>
      </c>
      <c r="Q830" s="1" t="str">
        <f>IF(WEEKDAY(Bike_Sharing_Master6[[#This Row],[Dteday]],2)&gt;=6,"Weekend","Weekday")</f>
        <v>Weekend</v>
      </c>
      <c r="R830" s="1" t="str">
        <f xml:space="preserve"> IF(Bike_Sharing_Master6[[#This Row],[Hr]]&lt;6,"Late Night", IF(Bike_Sharing_Master6[[#This Row],[Hr]]&lt;10,"Morning Peak", IF(Bike_Sharing_Master6[[#This Row],[Hr]]&lt;17,"Daytime", IF(Bike_Sharing_Master6[[#This Row],[Hr]]&lt;21,"Evening Peak","Night"))))</f>
        <v>Night</v>
      </c>
      <c r="S830" s="1" t="str">
        <f>IF(Bike_Sharing_Master6[[#This Row],[Holiday]]=1,"Holiday","Non-Holiday")</f>
        <v>Non-Holiday</v>
      </c>
      <c r="T830" s="1" t="str">
        <f>IF(Bike_Sharing_Master6[[#This Row],[Cnt]]&lt;80,"Low",IF(Bike_Sharing_Master6[[#This Row],[Cnt]]&lt;160,"Medium","High"))</f>
        <v>Low</v>
      </c>
      <c r="U830" s="1" t="str">
        <f>VLOOKUP(Bike_Sharing_Master6[[#This Row],[Weathersit]],[1]Lookup_Weather!A:B,2,FALSE)</f>
        <v>Clear</v>
      </c>
    </row>
    <row r="831" spans="1:21" x14ac:dyDescent="0.3">
      <c r="A831">
        <v>830</v>
      </c>
      <c r="B831" s="3">
        <v>40581</v>
      </c>
      <c r="C831" s="1">
        <v>1</v>
      </c>
      <c r="D831" s="1">
        <v>0</v>
      </c>
      <c r="E831" s="1">
        <v>2</v>
      </c>
      <c r="F831" s="1">
        <v>0</v>
      </c>
      <c r="G831" t="b">
        <v>0</v>
      </c>
      <c r="H831" s="1">
        <v>1</v>
      </c>
      <c r="I831" s="1">
        <v>1</v>
      </c>
      <c r="J831" s="2">
        <v>0.24</v>
      </c>
      <c r="K831" s="2">
        <v>0.28789999999999999</v>
      </c>
      <c r="L831" s="2">
        <v>0.65</v>
      </c>
      <c r="M831" s="2">
        <v>0</v>
      </c>
      <c r="N831" s="1">
        <v>1</v>
      </c>
      <c r="O831" s="1">
        <v>14</v>
      </c>
      <c r="P831" s="1">
        <v>15</v>
      </c>
      <c r="Q831" s="1" t="str">
        <f>IF(WEEKDAY(Bike_Sharing_Master6[[#This Row],[Dteday]],2)&gt;=6,"Weekend","Weekday")</f>
        <v>Weekday</v>
      </c>
      <c r="R831" s="1" t="str">
        <f xml:space="preserve"> IF(Bike_Sharing_Master6[[#This Row],[Hr]]&lt;6,"Late Night", IF(Bike_Sharing_Master6[[#This Row],[Hr]]&lt;10,"Morning Peak", IF(Bike_Sharing_Master6[[#This Row],[Hr]]&lt;17,"Daytime", IF(Bike_Sharing_Master6[[#This Row],[Hr]]&lt;21,"Evening Peak","Night"))))</f>
        <v>Late Night</v>
      </c>
      <c r="S831" s="1" t="str">
        <f>IF(Bike_Sharing_Master6[[#This Row],[Holiday]]=1,"Holiday","Non-Holiday")</f>
        <v>Non-Holiday</v>
      </c>
      <c r="T831" s="1" t="str">
        <f>IF(Bike_Sharing_Master6[[#This Row],[Cnt]]&lt;80,"Low",IF(Bike_Sharing_Master6[[#This Row],[Cnt]]&lt;160,"Medium","High"))</f>
        <v>Low</v>
      </c>
      <c r="U831" s="1" t="str">
        <f>VLOOKUP(Bike_Sharing_Master6[[#This Row],[Weathersit]],[1]Lookup_Weather!A:B,2,FALSE)</f>
        <v>Clear</v>
      </c>
    </row>
    <row r="832" spans="1:21" x14ac:dyDescent="0.3">
      <c r="A832">
        <v>831</v>
      </c>
      <c r="B832" s="3">
        <v>40581</v>
      </c>
      <c r="C832" s="1">
        <v>1</v>
      </c>
      <c r="D832" s="1">
        <v>0</v>
      </c>
      <c r="E832" s="1">
        <v>2</v>
      </c>
      <c r="F832" s="1">
        <v>1</v>
      </c>
      <c r="G832" t="b">
        <v>0</v>
      </c>
      <c r="H832" s="1">
        <v>1</v>
      </c>
      <c r="I832" s="1">
        <v>1</v>
      </c>
      <c r="J832" s="2">
        <v>0.22</v>
      </c>
      <c r="K832" s="2">
        <v>0.2727</v>
      </c>
      <c r="L832" s="2">
        <v>0.75</v>
      </c>
      <c r="M832" s="2">
        <v>0</v>
      </c>
      <c r="N832" s="1">
        <v>1</v>
      </c>
      <c r="O832" s="1">
        <v>4</v>
      </c>
      <c r="P832" s="1">
        <v>5</v>
      </c>
      <c r="Q832" s="1" t="str">
        <f>IF(WEEKDAY(Bike_Sharing_Master6[[#This Row],[Dteday]],2)&gt;=6,"Weekend","Weekday")</f>
        <v>Weekday</v>
      </c>
      <c r="R832" s="1" t="str">
        <f xml:space="preserve"> IF(Bike_Sharing_Master6[[#This Row],[Hr]]&lt;6,"Late Night", IF(Bike_Sharing_Master6[[#This Row],[Hr]]&lt;10,"Morning Peak", IF(Bike_Sharing_Master6[[#This Row],[Hr]]&lt;17,"Daytime", IF(Bike_Sharing_Master6[[#This Row],[Hr]]&lt;21,"Evening Peak","Night"))))</f>
        <v>Late Night</v>
      </c>
      <c r="S832" s="1" t="str">
        <f>IF(Bike_Sharing_Master6[[#This Row],[Holiday]]=1,"Holiday","Non-Holiday")</f>
        <v>Non-Holiday</v>
      </c>
      <c r="T832" s="1" t="str">
        <f>IF(Bike_Sharing_Master6[[#This Row],[Cnt]]&lt;80,"Low",IF(Bike_Sharing_Master6[[#This Row],[Cnt]]&lt;160,"Medium","High"))</f>
        <v>Low</v>
      </c>
      <c r="U832" s="1" t="str">
        <f>VLOOKUP(Bike_Sharing_Master6[[#This Row],[Weathersit]],[1]Lookup_Weather!A:B,2,FALSE)</f>
        <v>Clear</v>
      </c>
    </row>
    <row r="833" spans="1:21" x14ac:dyDescent="0.3">
      <c r="A833">
        <v>832</v>
      </c>
      <c r="B833" s="3">
        <v>40581</v>
      </c>
      <c r="C833" s="1">
        <v>1</v>
      </c>
      <c r="D833" s="1">
        <v>0</v>
      </c>
      <c r="E833" s="1">
        <v>2</v>
      </c>
      <c r="F833" s="1">
        <v>2</v>
      </c>
      <c r="G833" t="b">
        <v>0</v>
      </c>
      <c r="H833" s="1">
        <v>1</v>
      </c>
      <c r="I833" s="1">
        <v>1</v>
      </c>
      <c r="J833" s="2">
        <v>0.2</v>
      </c>
      <c r="K833" s="2">
        <v>0.2576</v>
      </c>
      <c r="L833" s="2">
        <v>0.8</v>
      </c>
      <c r="M833" s="2">
        <v>0</v>
      </c>
      <c r="N833" s="1">
        <v>0</v>
      </c>
      <c r="O833" s="1">
        <v>3</v>
      </c>
      <c r="P833" s="1">
        <v>3</v>
      </c>
      <c r="Q833" s="1" t="str">
        <f>IF(WEEKDAY(Bike_Sharing_Master6[[#This Row],[Dteday]],2)&gt;=6,"Weekend","Weekday")</f>
        <v>Weekday</v>
      </c>
      <c r="R833" s="1" t="str">
        <f xml:space="preserve"> IF(Bike_Sharing_Master6[[#This Row],[Hr]]&lt;6,"Late Night", IF(Bike_Sharing_Master6[[#This Row],[Hr]]&lt;10,"Morning Peak", IF(Bike_Sharing_Master6[[#This Row],[Hr]]&lt;17,"Daytime", IF(Bike_Sharing_Master6[[#This Row],[Hr]]&lt;21,"Evening Peak","Night"))))</f>
        <v>Late Night</v>
      </c>
      <c r="S833" s="1" t="str">
        <f>IF(Bike_Sharing_Master6[[#This Row],[Holiday]]=1,"Holiday","Non-Holiday")</f>
        <v>Non-Holiday</v>
      </c>
      <c r="T833" s="1" t="str">
        <f>IF(Bike_Sharing_Master6[[#This Row],[Cnt]]&lt;80,"Low",IF(Bike_Sharing_Master6[[#This Row],[Cnt]]&lt;160,"Medium","High"))</f>
        <v>Low</v>
      </c>
      <c r="U833" s="1" t="str">
        <f>VLOOKUP(Bike_Sharing_Master6[[#This Row],[Weathersit]],[1]Lookup_Weather!A:B,2,FALSE)</f>
        <v>Clear</v>
      </c>
    </row>
    <row r="834" spans="1:21" x14ac:dyDescent="0.3">
      <c r="A834">
        <v>833</v>
      </c>
      <c r="B834" s="3">
        <v>40581</v>
      </c>
      <c r="C834" s="1">
        <v>1</v>
      </c>
      <c r="D834" s="1">
        <v>0</v>
      </c>
      <c r="E834" s="1">
        <v>2</v>
      </c>
      <c r="F834" s="1">
        <v>3</v>
      </c>
      <c r="G834" t="b">
        <v>0</v>
      </c>
      <c r="H834" s="1">
        <v>1</v>
      </c>
      <c r="I834" s="1">
        <v>1</v>
      </c>
      <c r="J834" s="2">
        <v>0.2</v>
      </c>
      <c r="K834" s="2">
        <v>0.2576</v>
      </c>
      <c r="L834" s="2">
        <v>0.86</v>
      </c>
      <c r="M834" s="2">
        <v>0</v>
      </c>
      <c r="N834" s="1">
        <v>0</v>
      </c>
      <c r="O834" s="1">
        <v>1</v>
      </c>
      <c r="P834" s="1">
        <v>1</v>
      </c>
      <c r="Q834" s="1" t="str">
        <f>IF(WEEKDAY(Bike_Sharing_Master6[[#This Row],[Dteday]],2)&gt;=6,"Weekend","Weekday")</f>
        <v>Weekday</v>
      </c>
      <c r="R834" s="1" t="str">
        <f xml:space="preserve"> IF(Bike_Sharing_Master6[[#This Row],[Hr]]&lt;6,"Late Night", IF(Bike_Sharing_Master6[[#This Row],[Hr]]&lt;10,"Morning Peak", IF(Bike_Sharing_Master6[[#This Row],[Hr]]&lt;17,"Daytime", IF(Bike_Sharing_Master6[[#This Row],[Hr]]&lt;21,"Evening Peak","Night"))))</f>
        <v>Late Night</v>
      </c>
      <c r="S834" s="1" t="str">
        <f>IF(Bike_Sharing_Master6[[#This Row],[Holiday]]=1,"Holiday","Non-Holiday")</f>
        <v>Non-Holiday</v>
      </c>
      <c r="T834" s="1" t="str">
        <f>IF(Bike_Sharing_Master6[[#This Row],[Cnt]]&lt;80,"Low",IF(Bike_Sharing_Master6[[#This Row],[Cnt]]&lt;160,"Medium","High"))</f>
        <v>Low</v>
      </c>
      <c r="U834" s="1" t="str">
        <f>VLOOKUP(Bike_Sharing_Master6[[#This Row],[Weathersit]],[1]Lookup_Weather!A:B,2,FALSE)</f>
        <v>Clear</v>
      </c>
    </row>
    <row r="835" spans="1:21" x14ac:dyDescent="0.3">
      <c r="A835">
        <v>834</v>
      </c>
      <c r="B835" s="3">
        <v>40581</v>
      </c>
      <c r="C835" s="1">
        <v>1</v>
      </c>
      <c r="D835" s="1">
        <v>0</v>
      </c>
      <c r="E835" s="1">
        <v>2</v>
      </c>
      <c r="F835" s="1">
        <v>4</v>
      </c>
      <c r="G835" t="b">
        <v>0</v>
      </c>
      <c r="H835" s="1">
        <v>1</v>
      </c>
      <c r="I835" s="1">
        <v>1</v>
      </c>
      <c r="J835" s="2">
        <v>0.2</v>
      </c>
      <c r="K835" s="2">
        <v>0.2576</v>
      </c>
      <c r="L835" s="2">
        <v>0.86</v>
      </c>
      <c r="M835" s="2">
        <v>0</v>
      </c>
      <c r="N835" s="1">
        <v>1</v>
      </c>
      <c r="O835" s="1">
        <v>1</v>
      </c>
      <c r="P835" s="1">
        <v>2</v>
      </c>
      <c r="Q835" s="1" t="str">
        <f>IF(WEEKDAY(Bike_Sharing_Master6[[#This Row],[Dteday]],2)&gt;=6,"Weekend","Weekday")</f>
        <v>Weekday</v>
      </c>
      <c r="R835" s="1" t="str">
        <f xml:space="preserve"> IF(Bike_Sharing_Master6[[#This Row],[Hr]]&lt;6,"Late Night", IF(Bike_Sharing_Master6[[#This Row],[Hr]]&lt;10,"Morning Peak", IF(Bike_Sharing_Master6[[#This Row],[Hr]]&lt;17,"Daytime", IF(Bike_Sharing_Master6[[#This Row],[Hr]]&lt;21,"Evening Peak","Night"))))</f>
        <v>Late Night</v>
      </c>
      <c r="S835" s="1" t="str">
        <f>IF(Bike_Sharing_Master6[[#This Row],[Holiday]]=1,"Holiday","Non-Holiday")</f>
        <v>Non-Holiday</v>
      </c>
      <c r="T835" s="1" t="str">
        <f>IF(Bike_Sharing_Master6[[#This Row],[Cnt]]&lt;80,"Low",IF(Bike_Sharing_Master6[[#This Row],[Cnt]]&lt;160,"Medium","High"))</f>
        <v>Low</v>
      </c>
      <c r="U835" s="1" t="str">
        <f>VLOOKUP(Bike_Sharing_Master6[[#This Row],[Weathersit]],[1]Lookup_Weather!A:B,2,FALSE)</f>
        <v>Clear</v>
      </c>
    </row>
    <row r="836" spans="1:21" x14ac:dyDescent="0.3">
      <c r="A836">
        <v>835</v>
      </c>
      <c r="B836" s="3">
        <v>40581</v>
      </c>
      <c r="C836" s="1">
        <v>1</v>
      </c>
      <c r="D836" s="1">
        <v>0</v>
      </c>
      <c r="E836" s="1">
        <v>2</v>
      </c>
      <c r="F836" s="1">
        <v>5</v>
      </c>
      <c r="G836" t="b">
        <v>0</v>
      </c>
      <c r="H836" s="1">
        <v>1</v>
      </c>
      <c r="I836" s="1">
        <v>1</v>
      </c>
      <c r="J836" s="2">
        <v>0.2</v>
      </c>
      <c r="K836" s="2">
        <v>0.2576</v>
      </c>
      <c r="L836" s="2">
        <v>0.86</v>
      </c>
      <c r="M836" s="2">
        <v>0</v>
      </c>
      <c r="N836" s="1">
        <v>1</v>
      </c>
      <c r="O836" s="1">
        <v>9</v>
      </c>
      <c r="P836" s="1">
        <v>10</v>
      </c>
      <c r="Q836" s="1" t="str">
        <f>IF(WEEKDAY(Bike_Sharing_Master6[[#This Row],[Dteday]],2)&gt;=6,"Weekend","Weekday")</f>
        <v>Weekday</v>
      </c>
      <c r="R836" s="1" t="str">
        <f xml:space="preserve"> IF(Bike_Sharing_Master6[[#This Row],[Hr]]&lt;6,"Late Night", IF(Bike_Sharing_Master6[[#This Row],[Hr]]&lt;10,"Morning Peak", IF(Bike_Sharing_Master6[[#This Row],[Hr]]&lt;17,"Daytime", IF(Bike_Sharing_Master6[[#This Row],[Hr]]&lt;21,"Evening Peak","Night"))))</f>
        <v>Late Night</v>
      </c>
      <c r="S836" s="1" t="str">
        <f>IF(Bike_Sharing_Master6[[#This Row],[Holiday]]=1,"Holiday","Non-Holiday")</f>
        <v>Non-Holiday</v>
      </c>
      <c r="T836" s="1" t="str">
        <f>IF(Bike_Sharing_Master6[[#This Row],[Cnt]]&lt;80,"Low",IF(Bike_Sharing_Master6[[#This Row],[Cnt]]&lt;160,"Medium","High"))</f>
        <v>Low</v>
      </c>
      <c r="U836" s="1" t="str">
        <f>VLOOKUP(Bike_Sharing_Master6[[#This Row],[Weathersit]],[1]Lookup_Weather!A:B,2,FALSE)</f>
        <v>Clear</v>
      </c>
    </row>
    <row r="837" spans="1:21" x14ac:dyDescent="0.3">
      <c r="A837">
        <v>836</v>
      </c>
      <c r="B837" s="3">
        <v>40581</v>
      </c>
      <c r="C837" s="1">
        <v>1</v>
      </c>
      <c r="D837" s="1">
        <v>0</v>
      </c>
      <c r="E837" s="1">
        <v>2</v>
      </c>
      <c r="F837" s="1">
        <v>6</v>
      </c>
      <c r="G837" t="b">
        <v>0</v>
      </c>
      <c r="H837" s="1">
        <v>1</v>
      </c>
      <c r="I837" s="1">
        <v>1</v>
      </c>
      <c r="J837" s="2">
        <v>0.18</v>
      </c>
      <c r="K837" s="2">
        <v>0.2424</v>
      </c>
      <c r="L837" s="2">
        <v>0.93</v>
      </c>
      <c r="M837" s="2">
        <v>0</v>
      </c>
      <c r="N837" s="1">
        <v>1</v>
      </c>
      <c r="O837" s="1">
        <v>29</v>
      </c>
      <c r="P837" s="1">
        <v>30</v>
      </c>
      <c r="Q837" s="1" t="str">
        <f>IF(WEEKDAY(Bike_Sharing_Master6[[#This Row],[Dteday]],2)&gt;=6,"Weekend","Weekday")</f>
        <v>Weekday</v>
      </c>
      <c r="R837" s="1" t="str">
        <f xml:space="preserve"> IF(Bike_Sharing_Master6[[#This Row],[Hr]]&lt;6,"Late Night", IF(Bike_Sharing_Master6[[#This Row],[Hr]]&lt;10,"Morning Peak", IF(Bike_Sharing_Master6[[#This Row],[Hr]]&lt;17,"Daytime", IF(Bike_Sharing_Master6[[#This Row],[Hr]]&lt;21,"Evening Peak","Night"))))</f>
        <v>Morning Peak</v>
      </c>
      <c r="S837" s="1" t="str">
        <f>IF(Bike_Sharing_Master6[[#This Row],[Holiday]]=1,"Holiday","Non-Holiday")</f>
        <v>Non-Holiday</v>
      </c>
      <c r="T837" s="1" t="str">
        <f>IF(Bike_Sharing_Master6[[#This Row],[Cnt]]&lt;80,"Low",IF(Bike_Sharing_Master6[[#This Row],[Cnt]]&lt;160,"Medium","High"))</f>
        <v>Low</v>
      </c>
      <c r="U837" s="1" t="str">
        <f>VLOOKUP(Bike_Sharing_Master6[[#This Row],[Weathersit]],[1]Lookup_Weather!A:B,2,FALSE)</f>
        <v>Clear</v>
      </c>
    </row>
    <row r="838" spans="1:21" x14ac:dyDescent="0.3">
      <c r="A838">
        <v>837</v>
      </c>
      <c r="B838" s="3">
        <v>40581</v>
      </c>
      <c r="C838" s="1">
        <v>1</v>
      </c>
      <c r="D838" s="1">
        <v>0</v>
      </c>
      <c r="E838" s="1">
        <v>2</v>
      </c>
      <c r="F838" s="1">
        <v>7</v>
      </c>
      <c r="G838" t="b">
        <v>0</v>
      </c>
      <c r="H838" s="1">
        <v>1</v>
      </c>
      <c r="I838" s="1">
        <v>1</v>
      </c>
      <c r="J838" s="2">
        <v>0.18</v>
      </c>
      <c r="K838" s="2">
        <v>0.2424</v>
      </c>
      <c r="L838" s="2">
        <v>0.86</v>
      </c>
      <c r="M838" s="2">
        <v>0</v>
      </c>
      <c r="N838" s="1">
        <v>6</v>
      </c>
      <c r="O838" s="1">
        <v>89</v>
      </c>
      <c r="P838" s="1">
        <v>95</v>
      </c>
      <c r="Q838" s="1" t="str">
        <f>IF(WEEKDAY(Bike_Sharing_Master6[[#This Row],[Dteday]],2)&gt;=6,"Weekend","Weekday")</f>
        <v>Weekday</v>
      </c>
      <c r="R838" s="1" t="str">
        <f xml:space="preserve"> IF(Bike_Sharing_Master6[[#This Row],[Hr]]&lt;6,"Late Night", IF(Bike_Sharing_Master6[[#This Row],[Hr]]&lt;10,"Morning Peak", IF(Bike_Sharing_Master6[[#This Row],[Hr]]&lt;17,"Daytime", IF(Bike_Sharing_Master6[[#This Row],[Hr]]&lt;21,"Evening Peak","Night"))))</f>
        <v>Morning Peak</v>
      </c>
      <c r="S838" s="1" t="str">
        <f>IF(Bike_Sharing_Master6[[#This Row],[Holiday]]=1,"Holiday","Non-Holiday")</f>
        <v>Non-Holiday</v>
      </c>
      <c r="T838" s="1" t="str">
        <f>IF(Bike_Sharing_Master6[[#This Row],[Cnt]]&lt;80,"Low",IF(Bike_Sharing_Master6[[#This Row],[Cnt]]&lt;160,"Medium","High"))</f>
        <v>Medium</v>
      </c>
      <c r="U838" s="1" t="str">
        <f>VLOOKUP(Bike_Sharing_Master6[[#This Row],[Weathersit]],[1]Lookup_Weather!A:B,2,FALSE)</f>
        <v>Clear</v>
      </c>
    </row>
    <row r="839" spans="1:21" x14ac:dyDescent="0.3">
      <c r="A839">
        <v>838</v>
      </c>
      <c r="B839" s="3">
        <v>40581</v>
      </c>
      <c r="C839" s="1">
        <v>1</v>
      </c>
      <c r="D839" s="1">
        <v>0</v>
      </c>
      <c r="E839" s="1">
        <v>2</v>
      </c>
      <c r="F839" s="1">
        <v>8</v>
      </c>
      <c r="G839" t="b">
        <v>0</v>
      </c>
      <c r="H839" s="1">
        <v>1</v>
      </c>
      <c r="I839" s="1">
        <v>2</v>
      </c>
      <c r="J839" s="2">
        <v>0.16</v>
      </c>
      <c r="K839" s="2">
        <v>0.2273</v>
      </c>
      <c r="L839" s="2">
        <v>1</v>
      </c>
      <c r="M839" s="2">
        <v>0</v>
      </c>
      <c r="N839" s="1">
        <v>7</v>
      </c>
      <c r="O839" s="1">
        <v>223</v>
      </c>
      <c r="P839" s="1">
        <v>230</v>
      </c>
      <c r="Q839" s="1" t="str">
        <f>IF(WEEKDAY(Bike_Sharing_Master6[[#This Row],[Dteday]],2)&gt;=6,"Weekend","Weekday")</f>
        <v>Weekday</v>
      </c>
      <c r="R839" s="1" t="str">
        <f xml:space="preserve"> IF(Bike_Sharing_Master6[[#This Row],[Hr]]&lt;6,"Late Night", IF(Bike_Sharing_Master6[[#This Row],[Hr]]&lt;10,"Morning Peak", IF(Bike_Sharing_Master6[[#This Row],[Hr]]&lt;17,"Daytime", IF(Bike_Sharing_Master6[[#This Row],[Hr]]&lt;21,"Evening Peak","Night"))))</f>
        <v>Morning Peak</v>
      </c>
      <c r="S839" s="1" t="str">
        <f>IF(Bike_Sharing_Master6[[#This Row],[Holiday]]=1,"Holiday","Non-Holiday")</f>
        <v>Non-Holiday</v>
      </c>
      <c r="T839" s="1" t="str">
        <f>IF(Bike_Sharing_Master6[[#This Row],[Cnt]]&lt;80,"Low",IF(Bike_Sharing_Master6[[#This Row],[Cnt]]&lt;160,"Medium","High"))</f>
        <v>High</v>
      </c>
      <c r="U839" s="1" t="str">
        <f>VLOOKUP(Bike_Sharing_Master6[[#This Row],[Weathersit]],[1]Lookup_Weather!A:B,2,FALSE)</f>
        <v>Mist</v>
      </c>
    </row>
    <row r="840" spans="1:21" x14ac:dyDescent="0.3">
      <c r="A840">
        <v>839</v>
      </c>
      <c r="B840" s="3">
        <v>40581</v>
      </c>
      <c r="C840" s="1">
        <v>1</v>
      </c>
      <c r="D840" s="1">
        <v>0</v>
      </c>
      <c r="E840" s="1">
        <v>2</v>
      </c>
      <c r="F840" s="1">
        <v>9</v>
      </c>
      <c r="G840" t="b">
        <v>0</v>
      </c>
      <c r="H840" s="1">
        <v>1</v>
      </c>
      <c r="I840" s="1">
        <v>1</v>
      </c>
      <c r="J840" s="2">
        <v>0.22</v>
      </c>
      <c r="K840" s="2">
        <v>0.2727</v>
      </c>
      <c r="L840" s="2">
        <v>0.8</v>
      </c>
      <c r="M840" s="2">
        <v>0</v>
      </c>
      <c r="N840" s="1">
        <v>3</v>
      </c>
      <c r="O840" s="1">
        <v>115</v>
      </c>
      <c r="P840" s="1">
        <v>118</v>
      </c>
      <c r="Q840" s="1" t="str">
        <f>IF(WEEKDAY(Bike_Sharing_Master6[[#This Row],[Dteday]],2)&gt;=6,"Weekend","Weekday")</f>
        <v>Weekday</v>
      </c>
      <c r="R840" s="1" t="str">
        <f xml:space="preserve"> IF(Bike_Sharing_Master6[[#This Row],[Hr]]&lt;6,"Late Night", IF(Bike_Sharing_Master6[[#This Row],[Hr]]&lt;10,"Morning Peak", IF(Bike_Sharing_Master6[[#This Row],[Hr]]&lt;17,"Daytime", IF(Bike_Sharing_Master6[[#This Row],[Hr]]&lt;21,"Evening Peak","Night"))))</f>
        <v>Morning Peak</v>
      </c>
      <c r="S840" s="1" t="str">
        <f>IF(Bike_Sharing_Master6[[#This Row],[Holiday]]=1,"Holiday","Non-Holiday")</f>
        <v>Non-Holiday</v>
      </c>
      <c r="T840" s="1" t="str">
        <f>IF(Bike_Sharing_Master6[[#This Row],[Cnt]]&lt;80,"Low",IF(Bike_Sharing_Master6[[#This Row],[Cnt]]&lt;160,"Medium","High"))</f>
        <v>Medium</v>
      </c>
      <c r="U840" s="1" t="str">
        <f>VLOOKUP(Bike_Sharing_Master6[[#This Row],[Weathersit]],[1]Lookup_Weather!A:B,2,FALSE)</f>
        <v>Clear</v>
      </c>
    </row>
    <row r="841" spans="1:21" x14ac:dyDescent="0.3">
      <c r="A841">
        <v>840</v>
      </c>
      <c r="B841" s="3">
        <v>40581</v>
      </c>
      <c r="C841" s="1">
        <v>1</v>
      </c>
      <c r="D841" s="1">
        <v>0</v>
      </c>
      <c r="E841" s="1">
        <v>2</v>
      </c>
      <c r="F841" s="1">
        <v>10</v>
      </c>
      <c r="G841" t="b">
        <v>0</v>
      </c>
      <c r="H841" s="1">
        <v>1</v>
      </c>
      <c r="I841" s="1">
        <v>1</v>
      </c>
      <c r="J841" s="2">
        <v>0.24</v>
      </c>
      <c r="K841" s="2">
        <v>0.2576</v>
      </c>
      <c r="L841" s="2">
        <v>0.75</v>
      </c>
      <c r="M841" s="2">
        <v>0.1045</v>
      </c>
      <c r="N841" s="1">
        <v>6</v>
      </c>
      <c r="O841" s="1">
        <v>49</v>
      </c>
      <c r="P841" s="1">
        <v>55</v>
      </c>
      <c r="Q841" s="1" t="str">
        <f>IF(WEEKDAY(Bike_Sharing_Master6[[#This Row],[Dteday]],2)&gt;=6,"Weekend","Weekday")</f>
        <v>Weekday</v>
      </c>
      <c r="R841" s="1" t="str">
        <f xml:space="preserve"> IF(Bike_Sharing_Master6[[#This Row],[Hr]]&lt;6,"Late Night", IF(Bike_Sharing_Master6[[#This Row],[Hr]]&lt;10,"Morning Peak", IF(Bike_Sharing_Master6[[#This Row],[Hr]]&lt;17,"Daytime", IF(Bike_Sharing_Master6[[#This Row],[Hr]]&lt;21,"Evening Peak","Night"))))</f>
        <v>Daytime</v>
      </c>
      <c r="S841" s="1" t="str">
        <f>IF(Bike_Sharing_Master6[[#This Row],[Holiday]]=1,"Holiday","Non-Holiday")</f>
        <v>Non-Holiday</v>
      </c>
      <c r="T841" s="1" t="str">
        <f>IF(Bike_Sharing_Master6[[#This Row],[Cnt]]&lt;80,"Low",IF(Bike_Sharing_Master6[[#This Row],[Cnt]]&lt;160,"Medium","High"))</f>
        <v>Low</v>
      </c>
      <c r="U841" s="1" t="str">
        <f>VLOOKUP(Bike_Sharing_Master6[[#This Row],[Weathersit]],[1]Lookup_Weather!A:B,2,FALSE)</f>
        <v>Clear</v>
      </c>
    </row>
    <row r="842" spans="1:21" x14ac:dyDescent="0.3">
      <c r="A842">
        <v>841</v>
      </c>
      <c r="B842" s="3">
        <v>40581</v>
      </c>
      <c r="C842" s="1">
        <v>1</v>
      </c>
      <c r="D842" s="1">
        <v>0</v>
      </c>
      <c r="E842" s="1">
        <v>2</v>
      </c>
      <c r="F842" s="1">
        <v>11</v>
      </c>
      <c r="G842" t="b">
        <v>0</v>
      </c>
      <c r="H842" s="1">
        <v>1</v>
      </c>
      <c r="I842" s="1">
        <v>1</v>
      </c>
      <c r="J842" s="2">
        <v>0.3</v>
      </c>
      <c r="K842" s="2">
        <v>0.31819999999999998</v>
      </c>
      <c r="L842" s="2">
        <v>0.65</v>
      </c>
      <c r="M842" s="2">
        <v>8.9599999999999999E-2</v>
      </c>
      <c r="N842" s="1">
        <v>11</v>
      </c>
      <c r="O842" s="1">
        <v>36</v>
      </c>
      <c r="P842" s="1">
        <v>47</v>
      </c>
      <c r="Q842" s="1" t="str">
        <f>IF(WEEKDAY(Bike_Sharing_Master6[[#This Row],[Dteday]],2)&gt;=6,"Weekend","Weekday")</f>
        <v>Weekday</v>
      </c>
      <c r="R842" s="1" t="str">
        <f xml:space="preserve"> IF(Bike_Sharing_Master6[[#This Row],[Hr]]&lt;6,"Late Night", IF(Bike_Sharing_Master6[[#This Row],[Hr]]&lt;10,"Morning Peak", IF(Bike_Sharing_Master6[[#This Row],[Hr]]&lt;17,"Daytime", IF(Bike_Sharing_Master6[[#This Row],[Hr]]&lt;21,"Evening Peak","Night"))))</f>
        <v>Daytime</v>
      </c>
      <c r="S842" s="1" t="str">
        <f>IF(Bike_Sharing_Master6[[#This Row],[Holiday]]=1,"Holiday","Non-Holiday")</f>
        <v>Non-Holiday</v>
      </c>
      <c r="T842" s="1" t="str">
        <f>IF(Bike_Sharing_Master6[[#This Row],[Cnt]]&lt;80,"Low",IF(Bike_Sharing_Master6[[#This Row],[Cnt]]&lt;160,"Medium","High"))</f>
        <v>Low</v>
      </c>
      <c r="U842" s="1" t="str">
        <f>VLOOKUP(Bike_Sharing_Master6[[#This Row],[Weathersit]],[1]Lookup_Weather!A:B,2,FALSE)</f>
        <v>Clear</v>
      </c>
    </row>
    <row r="843" spans="1:21" x14ac:dyDescent="0.3">
      <c r="A843">
        <v>842</v>
      </c>
      <c r="B843" s="3">
        <v>40581</v>
      </c>
      <c r="C843" s="1">
        <v>1</v>
      </c>
      <c r="D843" s="1">
        <v>0</v>
      </c>
      <c r="E843" s="1">
        <v>2</v>
      </c>
      <c r="F843" s="1">
        <v>12</v>
      </c>
      <c r="G843" t="b">
        <v>0</v>
      </c>
      <c r="H843" s="1">
        <v>1</v>
      </c>
      <c r="I843" s="1">
        <v>2</v>
      </c>
      <c r="J843" s="2">
        <v>0.32</v>
      </c>
      <c r="K843" s="2">
        <v>0.34849999999999998</v>
      </c>
      <c r="L843" s="2">
        <v>0.62</v>
      </c>
      <c r="M843" s="2">
        <v>0</v>
      </c>
      <c r="N843" s="1">
        <v>7</v>
      </c>
      <c r="O843" s="1">
        <v>59</v>
      </c>
      <c r="P843" s="1">
        <v>66</v>
      </c>
      <c r="Q843" s="1" t="str">
        <f>IF(WEEKDAY(Bike_Sharing_Master6[[#This Row],[Dteday]],2)&gt;=6,"Weekend","Weekday")</f>
        <v>Weekday</v>
      </c>
      <c r="R843" s="1" t="str">
        <f xml:space="preserve"> IF(Bike_Sharing_Master6[[#This Row],[Hr]]&lt;6,"Late Night", IF(Bike_Sharing_Master6[[#This Row],[Hr]]&lt;10,"Morning Peak", IF(Bike_Sharing_Master6[[#This Row],[Hr]]&lt;17,"Daytime", IF(Bike_Sharing_Master6[[#This Row],[Hr]]&lt;21,"Evening Peak","Night"))))</f>
        <v>Daytime</v>
      </c>
      <c r="S843" s="1" t="str">
        <f>IF(Bike_Sharing_Master6[[#This Row],[Holiday]]=1,"Holiday","Non-Holiday")</f>
        <v>Non-Holiday</v>
      </c>
      <c r="T843" s="1" t="str">
        <f>IF(Bike_Sharing_Master6[[#This Row],[Cnt]]&lt;80,"Low",IF(Bike_Sharing_Master6[[#This Row],[Cnt]]&lt;160,"Medium","High"))</f>
        <v>Low</v>
      </c>
      <c r="U843" s="1" t="str">
        <f>VLOOKUP(Bike_Sharing_Master6[[#This Row],[Weathersit]],[1]Lookup_Weather!A:B,2,FALSE)</f>
        <v>Mist</v>
      </c>
    </row>
    <row r="844" spans="1:21" x14ac:dyDescent="0.3">
      <c r="A844">
        <v>843</v>
      </c>
      <c r="B844" s="3">
        <v>40581</v>
      </c>
      <c r="C844" s="1">
        <v>1</v>
      </c>
      <c r="D844" s="1">
        <v>0</v>
      </c>
      <c r="E844" s="1">
        <v>2</v>
      </c>
      <c r="F844" s="1">
        <v>13</v>
      </c>
      <c r="G844" t="b">
        <v>0</v>
      </c>
      <c r="H844" s="1">
        <v>1</v>
      </c>
      <c r="I844" s="1">
        <v>2</v>
      </c>
      <c r="J844" s="2">
        <v>0.36</v>
      </c>
      <c r="K844" s="2">
        <v>0.36359999999999998</v>
      </c>
      <c r="L844" s="2">
        <v>0.56999999999999995</v>
      </c>
      <c r="M844" s="2">
        <v>8.9599999999999999E-2</v>
      </c>
      <c r="N844" s="1">
        <v>10</v>
      </c>
      <c r="O844" s="1">
        <v>54</v>
      </c>
      <c r="P844" s="1">
        <v>64</v>
      </c>
      <c r="Q844" s="1" t="str">
        <f>IF(WEEKDAY(Bike_Sharing_Master6[[#This Row],[Dteday]],2)&gt;=6,"Weekend","Weekday")</f>
        <v>Weekday</v>
      </c>
      <c r="R844" s="1" t="str">
        <f xml:space="preserve"> IF(Bike_Sharing_Master6[[#This Row],[Hr]]&lt;6,"Late Night", IF(Bike_Sharing_Master6[[#This Row],[Hr]]&lt;10,"Morning Peak", IF(Bike_Sharing_Master6[[#This Row],[Hr]]&lt;17,"Daytime", IF(Bike_Sharing_Master6[[#This Row],[Hr]]&lt;21,"Evening Peak","Night"))))</f>
        <v>Daytime</v>
      </c>
      <c r="S844" s="1" t="str">
        <f>IF(Bike_Sharing_Master6[[#This Row],[Holiday]]=1,"Holiday","Non-Holiday")</f>
        <v>Non-Holiday</v>
      </c>
      <c r="T844" s="1" t="str">
        <f>IF(Bike_Sharing_Master6[[#This Row],[Cnt]]&lt;80,"Low",IF(Bike_Sharing_Master6[[#This Row],[Cnt]]&lt;160,"Medium","High"))</f>
        <v>Low</v>
      </c>
      <c r="U844" s="1" t="str">
        <f>VLOOKUP(Bike_Sharing_Master6[[#This Row],[Weathersit]],[1]Lookup_Weather!A:B,2,FALSE)</f>
        <v>Mist</v>
      </c>
    </row>
    <row r="845" spans="1:21" x14ac:dyDescent="0.3">
      <c r="A845">
        <v>844</v>
      </c>
      <c r="B845" s="3">
        <v>40581</v>
      </c>
      <c r="C845" s="1">
        <v>1</v>
      </c>
      <c r="D845" s="1">
        <v>0</v>
      </c>
      <c r="E845" s="1">
        <v>2</v>
      </c>
      <c r="F845" s="1">
        <v>14</v>
      </c>
      <c r="G845" t="b">
        <v>0</v>
      </c>
      <c r="H845" s="1">
        <v>1</v>
      </c>
      <c r="I845" s="1">
        <v>2</v>
      </c>
      <c r="J845" s="2">
        <v>0.36</v>
      </c>
      <c r="K845" s="2">
        <v>0.36359999999999998</v>
      </c>
      <c r="L845" s="2">
        <v>0.56999999999999995</v>
      </c>
      <c r="M845" s="2">
        <v>8.9599999999999999E-2</v>
      </c>
      <c r="N845" s="1">
        <v>8</v>
      </c>
      <c r="O845" s="1">
        <v>52</v>
      </c>
      <c r="P845" s="1">
        <v>60</v>
      </c>
      <c r="Q845" s="1" t="str">
        <f>IF(WEEKDAY(Bike_Sharing_Master6[[#This Row],[Dteday]],2)&gt;=6,"Weekend","Weekday")</f>
        <v>Weekday</v>
      </c>
      <c r="R845" s="1" t="str">
        <f xml:space="preserve"> IF(Bike_Sharing_Master6[[#This Row],[Hr]]&lt;6,"Late Night", IF(Bike_Sharing_Master6[[#This Row],[Hr]]&lt;10,"Morning Peak", IF(Bike_Sharing_Master6[[#This Row],[Hr]]&lt;17,"Daytime", IF(Bike_Sharing_Master6[[#This Row],[Hr]]&lt;21,"Evening Peak","Night"))))</f>
        <v>Daytime</v>
      </c>
      <c r="S845" s="1" t="str">
        <f>IF(Bike_Sharing_Master6[[#This Row],[Holiday]]=1,"Holiday","Non-Holiday")</f>
        <v>Non-Holiday</v>
      </c>
      <c r="T845" s="1" t="str">
        <f>IF(Bike_Sharing_Master6[[#This Row],[Cnt]]&lt;80,"Low",IF(Bike_Sharing_Master6[[#This Row],[Cnt]]&lt;160,"Medium","High"))</f>
        <v>Low</v>
      </c>
      <c r="U845" s="1" t="str">
        <f>VLOOKUP(Bike_Sharing_Master6[[#This Row],[Weathersit]],[1]Lookup_Weather!A:B,2,FALSE)</f>
        <v>Mist</v>
      </c>
    </row>
    <row r="846" spans="1:21" x14ac:dyDescent="0.3">
      <c r="A846">
        <v>845</v>
      </c>
      <c r="B846" s="3">
        <v>40581</v>
      </c>
      <c r="C846" s="1">
        <v>1</v>
      </c>
      <c r="D846" s="1">
        <v>0</v>
      </c>
      <c r="E846" s="1">
        <v>2</v>
      </c>
      <c r="F846" s="1">
        <v>15</v>
      </c>
      <c r="G846" t="b">
        <v>0</v>
      </c>
      <c r="H846" s="1">
        <v>1</v>
      </c>
      <c r="I846" s="1">
        <v>2</v>
      </c>
      <c r="J846" s="2">
        <v>0.38</v>
      </c>
      <c r="K846" s="2">
        <v>0.39389999999999997</v>
      </c>
      <c r="L846" s="2">
        <v>0.54</v>
      </c>
      <c r="M846" s="2">
        <v>8.9599999999999999E-2</v>
      </c>
      <c r="N846" s="1">
        <v>4</v>
      </c>
      <c r="O846" s="1">
        <v>46</v>
      </c>
      <c r="P846" s="1">
        <v>50</v>
      </c>
      <c r="Q846" s="1" t="str">
        <f>IF(WEEKDAY(Bike_Sharing_Master6[[#This Row],[Dteday]],2)&gt;=6,"Weekend","Weekday")</f>
        <v>Weekday</v>
      </c>
      <c r="R846" s="1" t="str">
        <f xml:space="preserve"> IF(Bike_Sharing_Master6[[#This Row],[Hr]]&lt;6,"Late Night", IF(Bike_Sharing_Master6[[#This Row],[Hr]]&lt;10,"Morning Peak", IF(Bike_Sharing_Master6[[#This Row],[Hr]]&lt;17,"Daytime", IF(Bike_Sharing_Master6[[#This Row],[Hr]]&lt;21,"Evening Peak","Night"))))</f>
        <v>Daytime</v>
      </c>
      <c r="S846" s="1" t="str">
        <f>IF(Bike_Sharing_Master6[[#This Row],[Holiday]]=1,"Holiday","Non-Holiday")</f>
        <v>Non-Holiday</v>
      </c>
      <c r="T846" s="1" t="str">
        <f>IF(Bike_Sharing_Master6[[#This Row],[Cnt]]&lt;80,"Low",IF(Bike_Sharing_Master6[[#This Row],[Cnt]]&lt;160,"Medium","High"))</f>
        <v>Low</v>
      </c>
      <c r="U846" s="1" t="str">
        <f>VLOOKUP(Bike_Sharing_Master6[[#This Row],[Weathersit]],[1]Lookup_Weather!A:B,2,FALSE)</f>
        <v>Mist</v>
      </c>
    </row>
    <row r="847" spans="1:21" x14ac:dyDescent="0.3">
      <c r="A847">
        <v>846</v>
      </c>
      <c r="B847" s="3">
        <v>40581</v>
      </c>
      <c r="C847" s="1">
        <v>1</v>
      </c>
      <c r="D847" s="1">
        <v>0</v>
      </c>
      <c r="E847" s="1">
        <v>2</v>
      </c>
      <c r="F847" s="1">
        <v>16</v>
      </c>
      <c r="G847" t="b">
        <v>0</v>
      </c>
      <c r="H847" s="1">
        <v>1</v>
      </c>
      <c r="I847" s="1">
        <v>2</v>
      </c>
      <c r="J847" s="2">
        <v>0.36</v>
      </c>
      <c r="K847" s="2">
        <v>0.34849999999999998</v>
      </c>
      <c r="L847" s="2">
        <v>0.56999999999999995</v>
      </c>
      <c r="M847" s="2">
        <v>0.1343</v>
      </c>
      <c r="N847" s="1">
        <v>16</v>
      </c>
      <c r="O847" s="1">
        <v>98</v>
      </c>
      <c r="P847" s="1">
        <v>114</v>
      </c>
      <c r="Q847" s="1" t="str">
        <f>IF(WEEKDAY(Bike_Sharing_Master6[[#This Row],[Dteday]],2)&gt;=6,"Weekend","Weekday")</f>
        <v>Weekday</v>
      </c>
      <c r="R847" s="1" t="str">
        <f xml:space="preserve"> IF(Bike_Sharing_Master6[[#This Row],[Hr]]&lt;6,"Late Night", IF(Bike_Sharing_Master6[[#This Row],[Hr]]&lt;10,"Morning Peak", IF(Bike_Sharing_Master6[[#This Row],[Hr]]&lt;17,"Daytime", IF(Bike_Sharing_Master6[[#This Row],[Hr]]&lt;21,"Evening Peak","Night"))))</f>
        <v>Daytime</v>
      </c>
      <c r="S847" s="1" t="str">
        <f>IF(Bike_Sharing_Master6[[#This Row],[Holiday]]=1,"Holiday","Non-Holiday")</f>
        <v>Non-Holiday</v>
      </c>
      <c r="T847" s="1" t="str">
        <f>IF(Bike_Sharing_Master6[[#This Row],[Cnt]]&lt;80,"Low",IF(Bike_Sharing_Master6[[#This Row],[Cnt]]&lt;160,"Medium","High"))</f>
        <v>Medium</v>
      </c>
      <c r="U847" s="1" t="str">
        <f>VLOOKUP(Bike_Sharing_Master6[[#This Row],[Weathersit]],[1]Lookup_Weather!A:B,2,FALSE)</f>
        <v>Mist</v>
      </c>
    </row>
    <row r="848" spans="1:21" x14ac:dyDescent="0.3">
      <c r="A848">
        <v>847</v>
      </c>
      <c r="B848" s="3">
        <v>40581</v>
      </c>
      <c r="C848" s="1">
        <v>1</v>
      </c>
      <c r="D848" s="1">
        <v>0</v>
      </c>
      <c r="E848" s="1">
        <v>2</v>
      </c>
      <c r="F848" s="1">
        <v>17</v>
      </c>
      <c r="G848" t="b">
        <v>0</v>
      </c>
      <c r="H848" s="1">
        <v>1</v>
      </c>
      <c r="I848" s="1">
        <v>2</v>
      </c>
      <c r="J848" s="2">
        <v>0.32</v>
      </c>
      <c r="K848" s="2">
        <v>0.31819999999999998</v>
      </c>
      <c r="L848" s="2">
        <v>0.7</v>
      </c>
      <c r="M848" s="2">
        <v>0.16420000000000001</v>
      </c>
      <c r="N848" s="1">
        <v>9</v>
      </c>
      <c r="O848" s="1">
        <v>207</v>
      </c>
      <c r="P848" s="1">
        <v>216</v>
      </c>
      <c r="Q848" s="1" t="str">
        <f>IF(WEEKDAY(Bike_Sharing_Master6[[#This Row],[Dteday]],2)&gt;=6,"Weekend","Weekday")</f>
        <v>Weekday</v>
      </c>
      <c r="R848" s="1" t="str">
        <f xml:space="preserve"> IF(Bike_Sharing_Master6[[#This Row],[Hr]]&lt;6,"Late Night", IF(Bike_Sharing_Master6[[#This Row],[Hr]]&lt;10,"Morning Peak", IF(Bike_Sharing_Master6[[#This Row],[Hr]]&lt;17,"Daytime", IF(Bike_Sharing_Master6[[#This Row],[Hr]]&lt;21,"Evening Peak","Night"))))</f>
        <v>Evening Peak</v>
      </c>
      <c r="S848" s="1" t="str">
        <f>IF(Bike_Sharing_Master6[[#This Row],[Holiday]]=1,"Holiday","Non-Holiday")</f>
        <v>Non-Holiday</v>
      </c>
      <c r="T848" s="1" t="str">
        <f>IF(Bike_Sharing_Master6[[#This Row],[Cnt]]&lt;80,"Low",IF(Bike_Sharing_Master6[[#This Row],[Cnt]]&lt;160,"Medium","High"))</f>
        <v>High</v>
      </c>
      <c r="U848" s="1" t="str">
        <f>VLOOKUP(Bike_Sharing_Master6[[#This Row],[Weathersit]],[1]Lookup_Weather!A:B,2,FALSE)</f>
        <v>Mist</v>
      </c>
    </row>
    <row r="849" spans="1:21" x14ac:dyDescent="0.3">
      <c r="A849">
        <v>848</v>
      </c>
      <c r="B849" s="3">
        <v>40581</v>
      </c>
      <c r="C849" s="1">
        <v>1</v>
      </c>
      <c r="D849" s="1">
        <v>0</v>
      </c>
      <c r="E849" s="1">
        <v>2</v>
      </c>
      <c r="F849" s="1">
        <v>18</v>
      </c>
      <c r="G849" t="b">
        <v>0</v>
      </c>
      <c r="H849" s="1">
        <v>1</v>
      </c>
      <c r="I849" s="1">
        <v>2</v>
      </c>
      <c r="J849" s="2">
        <v>0.34</v>
      </c>
      <c r="K849" s="2">
        <v>0.33329999999999999</v>
      </c>
      <c r="L849" s="2">
        <v>0.66</v>
      </c>
      <c r="M849" s="2">
        <v>0.1343</v>
      </c>
      <c r="N849" s="1">
        <v>5</v>
      </c>
      <c r="O849" s="1">
        <v>170</v>
      </c>
      <c r="P849" s="1">
        <v>175</v>
      </c>
      <c r="Q849" s="1" t="str">
        <f>IF(WEEKDAY(Bike_Sharing_Master6[[#This Row],[Dteday]],2)&gt;=6,"Weekend","Weekday")</f>
        <v>Weekday</v>
      </c>
      <c r="R849" s="1" t="str">
        <f xml:space="preserve"> IF(Bike_Sharing_Master6[[#This Row],[Hr]]&lt;6,"Late Night", IF(Bike_Sharing_Master6[[#This Row],[Hr]]&lt;10,"Morning Peak", IF(Bike_Sharing_Master6[[#This Row],[Hr]]&lt;17,"Daytime", IF(Bike_Sharing_Master6[[#This Row],[Hr]]&lt;21,"Evening Peak","Night"))))</f>
        <v>Evening Peak</v>
      </c>
      <c r="S849" s="1" t="str">
        <f>IF(Bike_Sharing_Master6[[#This Row],[Holiday]]=1,"Holiday","Non-Holiday")</f>
        <v>Non-Holiday</v>
      </c>
      <c r="T849" s="1" t="str">
        <f>IF(Bike_Sharing_Master6[[#This Row],[Cnt]]&lt;80,"Low",IF(Bike_Sharing_Master6[[#This Row],[Cnt]]&lt;160,"Medium","High"))</f>
        <v>High</v>
      </c>
      <c r="U849" s="1" t="str">
        <f>VLOOKUP(Bike_Sharing_Master6[[#This Row],[Weathersit]],[1]Lookup_Weather!A:B,2,FALSE)</f>
        <v>Mist</v>
      </c>
    </row>
    <row r="850" spans="1:21" x14ac:dyDescent="0.3">
      <c r="A850">
        <v>849</v>
      </c>
      <c r="B850" s="3">
        <v>40581</v>
      </c>
      <c r="C850" s="1">
        <v>1</v>
      </c>
      <c r="D850" s="1">
        <v>0</v>
      </c>
      <c r="E850" s="1">
        <v>2</v>
      </c>
      <c r="F850" s="1">
        <v>19</v>
      </c>
      <c r="G850" t="b">
        <v>0</v>
      </c>
      <c r="H850" s="1">
        <v>1</v>
      </c>
      <c r="I850" s="1">
        <v>2</v>
      </c>
      <c r="J850" s="2">
        <v>0.32</v>
      </c>
      <c r="K850" s="2">
        <v>0.34849999999999998</v>
      </c>
      <c r="L850" s="2">
        <v>0.7</v>
      </c>
      <c r="M850" s="2">
        <v>0</v>
      </c>
      <c r="N850" s="1">
        <v>5</v>
      </c>
      <c r="O850" s="1">
        <v>123</v>
      </c>
      <c r="P850" s="1">
        <v>128</v>
      </c>
      <c r="Q850" s="1" t="str">
        <f>IF(WEEKDAY(Bike_Sharing_Master6[[#This Row],[Dteday]],2)&gt;=6,"Weekend","Weekday")</f>
        <v>Weekday</v>
      </c>
      <c r="R850" s="1" t="str">
        <f xml:space="preserve"> IF(Bike_Sharing_Master6[[#This Row],[Hr]]&lt;6,"Late Night", IF(Bike_Sharing_Master6[[#This Row],[Hr]]&lt;10,"Morning Peak", IF(Bike_Sharing_Master6[[#This Row],[Hr]]&lt;17,"Daytime", IF(Bike_Sharing_Master6[[#This Row],[Hr]]&lt;21,"Evening Peak","Night"))))</f>
        <v>Evening Peak</v>
      </c>
      <c r="S850" s="1" t="str">
        <f>IF(Bike_Sharing_Master6[[#This Row],[Holiday]]=1,"Holiday","Non-Holiday")</f>
        <v>Non-Holiday</v>
      </c>
      <c r="T850" s="1" t="str">
        <f>IF(Bike_Sharing_Master6[[#This Row],[Cnt]]&lt;80,"Low",IF(Bike_Sharing_Master6[[#This Row],[Cnt]]&lt;160,"Medium","High"))</f>
        <v>Medium</v>
      </c>
      <c r="U850" s="1" t="str">
        <f>VLOOKUP(Bike_Sharing_Master6[[#This Row],[Weathersit]],[1]Lookup_Weather!A:B,2,FALSE)</f>
        <v>Mist</v>
      </c>
    </row>
    <row r="851" spans="1:21" x14ac:dyDescent="0.3">
      <c r="A851">
        <v>850</v>
      </c>
      <c r="B851" s="3">
        <v>40581</v>
      </c>
      <c r="C851" s="1">
        <v>1</v>
      </c>
      <c r="D851" s="1">
        <v>0</v>
      </c>
      <c r="E851" s="1">
        <v>2</v>
      </c>
      <c r="F851" s="1">
        <v>20</v>
      </c>
      <c r="G851" t="b">
        <v>0</v>
      </c>
      <c r="H851" s="1">
        <v>1</v>
      </c>
      <c r="I851" s="1">
        <v>2</v>
      </c>
      <c r="J851" s="2">
        <v>0.32</v>
      </c>
      <c r="K851" s="2">
        <v>0.33329999999999999</v>
      </c>
      <c r="L851" s="2">
        <v>0.7</v>
      </c>
      <c r="M851" s="2">
        <v>0.1045</v>
      </c>
      <c r="N851" s="1">
        <v>6</v>
      </c>
      <c r="O851" s="1">
        <v>82</v>
      </c>
      <c r="P851" s="1">
        <v>88</v>
      </c>
      <c r="Q851" s="1" t="str">
        <f>IF(WEEKDAY(Bike_Sharing_Master6[[#This Row],[Dteday]],2)&gt;=6,"Weekend","Weekday")</f>
        <v>Weekday</v>
      </c>
      <c r="R851" s="1" t="str">
        <f xml:space="preserve"> IF(Bike_Sharing_Master6[[#This Row],[Hr]]&lt;6,"Late Night", IF(Bike_Sharing_Master6[[#This Row],[Hr]]&lt;10,"Morning Peak", IF(Bike_Sharing_Master6[[#This Row],[Hr]]&lt;17,"Daytime", IF(Bike_Sharing_Master6[[#This Row],[Hr]]&lt;21,"Evening Peak","Night"))))</f>
        <v>Evening Peak</v>
      </c>
      <c r="S851" s="1" t="str">
        <f>IF(Bike_Sharing_Master6[[#This Row],[Holiday]]=1,"Holiday","Non-Holiday")</f>
        <v>Non-Holiday</v>
      </c>
      <c r="T851" s="1" t="str">
        <f>IF(Bike_Sharing_Master6[[#This Row],[Cnt]]&lt;80,"Low",IF(Bike_Sharing_Master6[[#This Row],[Cnt]]&lt;160,"Medium","High"))</f>
        <v>Medium</v>
      </c>
      <c r="U851" s="1" t="str">
        <f>VLOOKUP(Bike_Sharing_Master6[[#This Row],[Weathersit]],[1]Lookup_Weather!A:B,2,FALSE)</f>
        <v>Mist</v>
      </c>
    </row>
    <row r="852" spans="1:21" x14ac:dyDescent="0.3">
      <c r="A852">
        <v>851</v>
      </c>
      <c r="B852" s="3">
        <v>40581</v>
      </c>
      <c r="C852" s="1">
        <v>1</v>
      </c>
      <c r="D852" s="1">
        <v>0</v>
      </c>
      <c r="E852" s="1">
        <v>2</v>
      </c>
      <c r="F852" s="1">
        <v>21</v>
      </c>
      <c r="G852" t="b">
        <v>0</v>
      </c>
      <c r="H852" s="1">
        <v>1</v>
      </c>
      <c r="I852" s="1">
        <v>1</v>
      </c>
      <c r="J852" s="2">
        <v>0.32</v>
      </c>
      <c r="K852" s="2">
        <v>0.34849999999999998</v>
      </c>
      <c r="L852" s="2">
        <v>0.7</v>
      </c>
      <c r="M852" s="2">
        <v>0</v>
      </c>
      <c r="N852" s="1">
        <v>3</v>
      </c>
      <c r="O852" s="1">
        <v>75</v>
      </c>
      <c r="P852" s="1">
        <v>78</v>
      </c>
      <c r="Q852" s="1" t="str">
        <f>IF(WEEKDAY(Bike_Sharing_Master6[[#This Row],[Dteday]],2)&gt;=6,"Weekend","Weekday")</f>
        <v>Weekday</v>
      </c>
      <c r="R852" s="1" t="str">
        <f xml:space="preserve"> IF(Bike_Sharing_Master6[[#This Row],[Hr]]&lt;6,"Late Night", IF(Bike_Sharing_Master6[[#This Row],[Hr]]&lt;10,"Morning Peak", IF(Bike_Sharing_Master6[[#This Row],[Hr]]&lt;17,"Daytime", IF(Bike_Sharing_Master6[[#This Row],[Hr]]&lt;21,"Evening Peak","Night"))))</f>
        <v>Night</v>
      </c>
      <c r="S852" s="1" t="str">
        <f>IF(Bike_Sharing_Master6[[#This Row],[Holiday]]=1,"Holiday","Non-Holiday")</f>
        <v>Non-Holiday</v>
      </c>
      <c r="T852" s="1" t="str">
        <f>IF(Bike_Sharing_Master6[[#This Row],[Cnt]]&lt;80,"Low",IF(Bike_Sharing_Master6[[#This Row],[Cnt]]&lt;160,"Medium","High"))</f>
        <v>Low</v>
      </c>
      <c r="U852" s="1" t="str">
        <f>VLOOKUP(Bike_Sharing_Master6[[#This Row],[Weathersit]],[1]Lookup_Weather!A:B,2,FALSE)</f>
        <v>Clear</v>
      </c>
    </row>
    <row r="853" spans="1:21" x14ac:dyDescent="0.3">
      <c r="A853">
        <v>852</v>
      </c>
      <c r="B853" s="3">
        <v>40581</v>
      </c>
      <c r="C853" s="1">
        <v>1</v>
      </c>
      <c r="D853" s="1">
        <v>0</v>
      </c>
      <c r="E853" s="1">
        <v>2</v>
      </c>
      <c r="F853" s="1">
        <v>22</v>
      </c>
      <c r="G853" t="b">
        <v>0</v>
      </c>
      <c r="H853" s="1">
        <v>1</v>
      </c>
      <c r="I853" s="1">
        <v>1</v>
      </c>
      <c r="J853" s="2">
        <v>0.28000000000000003</v>
      </c>
      <c r="K853" s="2">
        <v>0.30299999999999999</v>
      </c>
      <c r="L853" s="2">
        <v>0.81</v>
      </c>
      <c r="M853" s="2">
        <v>8.9599999999999999E-2</v>
      </c>
      <c r="N853" s="1">
        <v>3</v>
      </c>
      <c r="O853" s="1">
        <v>34</v>
      </c>
      <c r="P853" s="1">
        <v>37</v>
      </c>
      <c r="Q853" s="1" t="str">
        <f>IF(WEEKDAY(Bike_Sharing_Master6[[#This Row],[Dteday]],2)&gt;=6,"Weekend","Weekday")</f>
        <v>Weekday</v>
      </c>
      <c r="R853" s="1" t="str">
        <f xml:space="preserve"> IF(Bike_Sharing_Master6[[#This Row],[Hr]]&lt;6,"Late Night", IF(Bike_Sharing_Master6[[#This Row],[Hr]]&lt;10,"Morning Peak", IF(Bike_Sharing_Master6[[#This Row],[Hr]]&lt;17,"Daytime", IF(Bike_Sharing_Master6[[#This Row],[Hr]]&lt;21,"Evening Peak","Night"))))</f>
        <v>Night</v>
      </c>
      <c r="S853" s="1" t="str">
        <f>IF(Bike_Sharing_Master6[[#This Row],[Holiday]]=1,"Holiday","Non-Holiday")</f>
        <v>Non-Holiday</v>
      </c>
      <c r="T853" s="1" t="str">
        <f>IF(Bike_Sharing_Master6[[#This Row],[Cnt]]&lt;80,"Low",IF(Bike_Sharing_Master6[[#This Row],[Cnt]]&lt;160,"Medium","High"))</f>
        <v>Low</v>
      </c>
      <c r="U853" s="1" t="str">
        <f>VLOOKUP(Bike_Sharing_Master6[[#This Row],[Weathersit]],[1]Lookup_Weather!A:B,2,FALSE)</f>
        <v>Clear</v>
      </c>
    </row>
    <row r="854" spans="1:21" x14ac:dyDescent="0.3">
      <c r="A854">
        <v>853</v>
      </c>
      <c r="B854" s="3">
        <v>40581</v>
      </c>
      <c r="C854" s="1">
        <v>1</v>
      </c>
      <c r="D854" s="1">
        <v>0</v>
      </c>
      <c r="E854" s="1">
        <v>2</v>
      </c>
      <c r="F854" s="1">
        <v>23</v>
      </c>
      <c r="G854" t="b">
        <v>0</v>
      </c>
      <c r="H854" s="1">
        <v>1</v>
      </c>
      <c r="I854" s="1">
        <v>2</v>
      </c>
      <c r="J854" s="2">
        <v>0.3</v>
      </c>
      <c r="K854" s="2">
        <v>0.33329999999999999</v>
      </c>
      <c r="L854" s="2">
        <v>0.81</v>
      </c>
      <c r="M854" s="2">
        <v>0</v>
      </c>
      <c r="N854" s="1">
        <v>6</v>
      </c>
      <c r="O854" s="1">
        <v>19</v>
      </c>
      <c r="P854" s="1">
        <v>25</v>
      </c>
      <c r="Q854" s="1" t="str">
        <f>IF(WEEKDAY(Bike_Sharing_Master6[[#This Row],[Dteday]],2)&gt;=6,"Weekend","Weekday")</f>
        <v>Weekday</v>
      </c>
      <c r="R854" s="1" t="str">
        <f xml:space="preserve"> IF(Bike_Sharing_Master6[[#This Row],[Hr]]&lt;6,"Late Night", IF(Bike_Sharing_Master6[[#This Row],[Hr]]&lt;10,"Morning Peak", IF(Bike_Sharing_Master6[[#This Row],[Hr]]&lt;17,"Daytime", IF(Bike_Sharing_Master6[[#This Row],[Hr]]&lt;21,"Evening Peak","Night"))))</f>
        <v>Night</v>
      </c>
      <c r="S854" s="1" t="str">
        <f>IF(Bike_Sharing_Master6[[#This Row],[Holiday]]=1,"Holiday","Non-Holiday")</f>
        <v>Non-Holiday</v>
      </c>
      <c r="T854" s="1" t="str">
        <f>IF(Bike_Sharing_Master6[[#This Row],[Cnt]]&lt;80,"Low",IF(Bike_Sharing_Master6[[#This Row],[Cnt]]&lt;160,"Medium","High"))</f>
        <v>Low</v>
      </c>
      <c r="U854" s="1" t="str">
        <f>VLOOKUP(Bike_Sharing_Master6[[#This Row],[Weathersit]],[1]Lookup_Weather!A:B,2,FALSE)</f>
        <v>Mist</v>
      </c>
    </row>
    <row r="855" spans="1:21" x14ac:dyDescent="0.3">
      <c r="A855">
        <v>854</v>
      </c>
      <c r="B855" s="3">
        <v>40582</v>
      </c>
      <c r="C855" s="1">
        <v>1</v>
      </c>
      <c r="D855" s="1">
        <v>0</v>
      </c>
      <c r="E855" s="1">
        <v>2</v>
      </c>
      <c r="F855" s="1">
        <v>0</v>
      </c>
      <c r="G855" t="b">
        <v>0</v>
      </c>
      <c r="H855" s="1">
        <v>2</v>
      </c>
      <c r="I855" s="1">
        <v>2</v>
      </c>
      <c r="J855" s="2">
        <v>0.28000000000000003</v>
      </c>
      <c r="K855" s="2">
        <v>0.31819999999999998</v>
      </c>
      <c r="L855" s="2">
        <v>0.87</v>
      </c>
      <c r="M855" s="2">
        <v>0</v>
      </c>
      <c r="N855" s="1">
        <v>4</v>
      </c>
      <c r="O855" s="1">
        <v>6</v>
      </c>
      <c r="P855" s="1">
        <v>10</v>
      </c>
      <c r="Q855" s="1" t="str">
        <f>IF(WEEKDAY(Bike_Sharing_Master6[[#This Row],[Dteday]],2)&gt;=6,"Weekend","Weekday")</f>
        <v>Weekday</v>
      </c>
      <c r="R855" s="1" t="str">
        <f xml:space="preserve"> IF(Bike_Sharing_Master6[[#This Row],[Hr]]&lt;6,"Late Night", IF(Bike_Sharing_Master6[[#This Row],[Hr]]&lt;10,"Morning Peak", IF(Bike_Sharing_Master6[[#This Row],[Hr]]&lt;17,"Daytime", IF(Bike_Sharing_Master6[[#This Row],[Hr]]&lt;21,"Evening Peak","Night"))))</f>
        <v>Late Night</v>
      </c>
      <c r="S855" s="1" t="str">
        <f>IF(Bike_Sharing_Master6[[#This Row],[Holiday]]=1,"Holiday","Non-Holiday")</f>
        <v>Non-Holiday</v>
      </c>
      <c r="T855" s="1" t="str">
        <f>IF(Bike_Sharing_Master6[[#This Row],[Cnt]]&lt;80,"Low",IF(Bike_Sharing_Master6[[#This Row],[Cnt]]&lt;160,"Medium","High"))</f>
        <v>Low</v>
      </c>
      <c r="U855" s="1" t="str">
        <f>VLOOKUP(Bike_Sharing_Master6[[#This Row],[Weathersit]],[1]Lookup_Weather!A:B,2,FALSE)</f>
        <v>Mist</v>
      </c>
    </row>
    <row r="856" spans="1:21" x14ac:dyDescent="0.3">
      <c r="A856">
        <v>855</v>
      </c>
      <c r="B856" s="3">
        <v>40582</v>
      </c>
      <c r="C856" s="1">
        <v>1</v>
      </c>
      <c r="D856" s="1">
        <v>0</v>
      </c>
      <c r="E856" s="1">
        <v>2</v>
      </c>
      <c r="F856" s="1">
        <v>1</v>
      </c>
      <c r="G856" t="b">
        <v>0</v>
      </c>
      <c r="H856" s="1">
        <v>2</v>
      </c>
      <c r="I856" s="1">
        <v>2</v>
      </c>
      <c r="J856" s="2">
        <v>0.28000000000000003</v>
      </c>
      <c r="K856" s="2">
        <v>0.31819999999999998</v>
      </c>
      <c r="L856" s="2">
        <v>0.87</v>
      </c>
      <c r="M856" s="2">
        <v>0</v>
      </c>
      <c r="N856" s="1">
        <v>0</v>
      </c>
      <c r="O856" s="1">
        <v>4</v>
      </c>
      <c r="P856" s="1">
        <v>4</v>
      </c>
      <c r="Q856" s="1" t="str">
        <f>IF(WEEKDAY(Bike_Sharing_Master6[[#This Row],[Dteday]],2)&gt;=6,"Weekend","Weekday")</f>
        <v>Weekday</v>
      </c>
      <c r="R856" s="1" t="str">
        <f xml:space="preserve"> IF(Bike_Sharing_Master6[[#This Row],[Hr]]&lt;6,"Late Night", IF(Bike_Sharing_Master6[[#This Row],[Hr]]&lt;10,"Morning Peak", IF(Bike_Sharing_Master6[[#This Row],[Hr]]&lt;17,"Daytime", IF(Bike_Sharing_Master6[[#This Row],[Hr]]&lt;21,"Evening Peak","Night"))))</f>
        <v>Late Night</v>
      </c>
      <c r="S856" s="1" t="str">
        <f>IF(Bike_Sharing_Master6[[#This Row],[Holiday]]=1,"Holiday","Non-Holiday")</f>
        <v>Non-Holiday</v>
      </c>
      <c r="T856" s="1" t="str">
        <f>IF(Bike_Sharing_Master6[[#This Row],[Cnt]]&lt;80,"Low",IF(Bike_Sharing_Master6[[#This Row],[Cnt]]&lt;160,"Medium","High"))</f>
        <v>Low</v>
      </c>
      <c r="U856" s="1" t="str">
        <f>VLOOKUP(Bike_Sharing_Master6[[#This Row],[Weathersit]],[1]Lookup_Weather!A:B,2,FALSE)</f>
        <v>Mist</v>
      </c>
    </row>
    <row r="857" spans="1:21" x14ac:dyDescent="0.3">
      <c r="A857">
        <v>856</v>
      </c>
      <c r="B857" s="3">
        <v>40582</v>
      </c>
      <c r="C857" s="1">
        <v>1</v>
      </c>
      <c r="D857" s="1">
        <v>0</v>
      </c>
      <c r="E857" s="1">
        <v>2</v>
      </c>
      <c r="F857" s="1">
        <v>2</v>
      </c>
      <c r="G857" t="b">
        <v>0</v>
      </c>
      <c r="H857" s="1">
        <v>2</v>
      </c>
      <c r="I857" s="1">
        <v>2</v>
      </c>
      <c r="J857" s="2">
        <v>0.26</v>
      </c>
      <c r="K857" s="2">
        <v>0.2727</v>
      </c>
      <c r="L857" s="2">
        <v>0.93</v>
      </c>
      <c r="M857" s="2">
        <v>0.1045</v>
      </c>
      <c r="N857" s="1">
        <v>1</v>
      </c>
      <c r="O857" s="1">
        <v>1</v>
      </c>
      <c r="P857" s="1">
        <v>2</v>
      </c>
      <c r="Q857" s="1" t="str">
        <f>IF(WEEKDAY(Bike_Sharing_Master6[[#This Row],[Dteday]],2)&gt;=6,"Weekend","Weekday")</f>
        <v>Weekday</v>
      </c>
      <c r="R857" s="1" t="str">
        <f xml:space="preserve"> IF(Bike_Sharing_Master6[[#This Row],[Hr]]&lt;6,"Late Night", IF(Bike_Sharing_Master6[[#This Row],[Hr]]&lt;10,"Morning Peak", IF(Bike_Sharing_Master6[[#This Row],[Hr]]&lt;17,"Daytime", IF(Bike_Sharing_Master6[[#This Row],[Hr]]&lt;21,"Evening Peak","Night"))))</f>
        <v>Late Night</v>
      </c>
      <c r="S857" s="1" t="str">
        <f>IF(Bike_Sharing_Master6[[#This Row],[Holiday]]=1,"Holiday","Non-Holiday")</f>
        <v>Non-Holiday</v>
      </c>
      <c r="T857" s="1" t="str">
        <f>IF(Bike_Sharing_Master6[[#This Row],[Cnt]]&lt;80,"Low",IF(Bike_Sharing_Master6[[#This Row],[Cnt]]&lt;160,"Medium","High"))</f>
        <v>Low</v>
      </c>
      <c r="U857" s="1" t="str">
        <f>VLOOKUP(Bike_Sharing_Master6[[#This Row],[Weathersit]],[1]Lookup_Weather!A:B,2,FALSE)</f>
        <v>Mist</v>
      </c>
    </row>
    <row r="858" spans="1:21" x14ac:dyDescent="0.3">
      <c r="A858">
        <v>857</v>
      </c>
      <c r="B858" s="3">
        <v>40582</v>
      </c>
      <c r="C858" s="1">
        <v>1</v>
      </c>
      <c r="D858" s="1">
        <v>0</v>
      </c>
      <c r="E858" s="1">
        <v>2</v>
      </c>
      <c r="F858" s="1">
        <v>3</v>
      </c>
      <c r="G858" t="b">
        <v>0</v>
      </c>
      <c r="H858" s="1">
        <v>2</v>
      </c>
      <c r="I858" s="1">
        <v>3</v>
      </c>
      <c r="J858" s="2">
        <v>0.28000000000000003</v>
      </c>
      <c r="K858" s="2">
        <v>0.2727</v>
      </c>
      <c r="L858" s="2">
        <v>0.93</v>
      </c>
      <c r="M858" s="2">
        <v>0.16420000000000001</v>
      </c>
      <c r="N858" s="1">
        <v>0</v>
      </c>
      <c r="O858" s="1">
        <v>1</v>
      </c>
      <c r="P858" s="1">
        <v>1</v>
      </c>
      <c r="Q858" s="1" t="str">
        <f>IF(WEEKDAY(Bike_Sharing_Master6[[#This Row],[Dteday]],2)&gt;=6,"Weekend","Weekday")</f>
        <v>Weekday</v>
      </c>
      <c r="R858" s="1" t="str">
        <f xml:space="preserve"> IF(Bike_Sharing_Master6[[#This Row],[Hr]]&lt;6,"Late Night", IF(Bike_Sharing_Master6[[#This Row],[Hr]]&lt;10,"Morning Peak", IF(Bike_Sharing_Master6[[#This Row],[Hr]]&lt;17,"Daytime", IF(Bike_Sharing_Master6[[#This Row],[Hr]]&lt;21,"Evening Peak","Night"))))</f>
        <v>Late Night</v>
      </c>
      <c r="S858" s="1" t="str">
        <f>IF(Bike_Sharing_Master6[[#This Row],[Holiday]]=1,"Holiday","Non-Holiday")</f>
        <v>Non-Holiday</v>
      </c>
      <c r="T858" s="1" t="str">
        <f>IF(Bike_Sharing_Master6[[#This Row],[Cnt]]&lt;80,"Low",IF(Bike_Sharing_Master6[[#This Row],[Cnt]]&lt;160,"Medium","High"))</f>
        <v>Low</v>
      </c>
      <c r="U858" s="1" t="str">
        <f>VLOOKUP(Bike_Sharing_Master6[[#This Row],[Weathersit]],[1]Lookup_Weather!A:B,2,FALSE)</f>
        <v>Light Rain</v>
      </c>
    </row>
    <row r="859" spans="1:21" x14ac:dyDescent="0.3">
      <c r="A859">
        <v>858</v>
      </c>
      <c r="B859" s="3">
        <v>40582</v>
      </c>
      <c r="C859" s="1">
        <v>1</v>
      </c>
      <c r="D859" s="1">
        <v>0</v>
      </c>
      <c r="E859" s="1">
        <v>2</v>
      </c>
      <c r="F859" s="1">
        <v>4</v>
      </c>
      <c r="G859" t="b">
        <v>0</v>
      </c>
      <c r="H859" s="1">
        <v>2</v>
      </c>
      <c r="I859" s="1">
        <v>1</v>
      </c>
      <c r="J859" s="2">
        <v>0.26</v>
      </c>
      <c r="K859" s="2">
        <v>0.2576</v>
      </c>
      <c r="L859" s="2">
        <v>0.93</v>
      </c>
      <c r="M859" s="2">
        <v>0.16420000000000001</v>
      </c>
      <c r="N859" s="1">
        <v>0</v>
      </c>
      <c r="O859" s="1">
        <v>3</v>
      </c>
      <c r="P859" s="1">
        <v>3</v>
      </c>
      <c r="Q859" s="1" t="str">
        <f>IF(WEEKDAY(Bike_Sharing_Master6[[#This Row],[Dteday]],2)&gt;=6,"Weekend","Weekday")</f>
        <v>Weekday</v>
      </c>
      <c r="R859" s="1" t="str">
        <f xml:space="preserve"> IF(Bike_Sharing_Master6[[#This Row],[Hr]]&lt;6,"Late Night", IF(Bike_Sharing_Master6[[#This Row],[Hr]]&lt;10,"Morning Peak", IF(Bike_Sharing_Master6[[#This Row],[Hr]]&lt;17,"Daytime", IF(Bike_Sharing_Master6[[#This Row],[Hr]]&lt;21,"Evening Peak","Night"))))</f>
        <v>Late Night</v>
      </c>
      <c r="S859" s="1" t="str">
        <f>IF(Bike_Sharing_Master6[[#This Row],[Holiday]]=1,"Holiday","Non-Holiday")</f>
        <v>Non-Holiday</v>
      </c>
      <c r="T859" s="1" t="str">
        <f>IF(Bike_Sharing_Master6[[#This Row],[Cnt]]&lt;80,"Low",IF(Bike_Sharing_Master6[[#This Row],[Cnt]]&lt;160,"Medium","High"))</f>
        <v>Low</v>
      </c>
      <c r="U859" s="1" t="str">
        <f>VLOOKUP(Bike_Sharing_Master6[[#This Row],[Weathersit]],[1]Lookup_Weather!A:B,2,FALSE)</f>
        <v>Clear</v>
      </c>
    </row>
    <row r="860" spans="1:21" x14ac:dyDescent="0.3">
      <c r="A860">
        <v>859</v>
      </c>
      <c r="B860" s="3">
        <v>40582</v>
      </c>
      <c r="C860" s="1">
        <v>1</v>
      </c>
      <c r="D860" s="1">
        <v>0</v>
      </c>
      <c r="E860" s="1">
        <v>2</v>
      </c>
      <c r="F860" s="1">
        <v>5</v>
      </c>
      <c r="G860" t="b">
        <v>0</v>
      </c>
      <c r="H860" s="1">
        <v>2</v>
      </c>
      <c r="I860" s="1">
        <v>1</v>
      </c>
      <c r="J860" s="2">
        <v>0.26</v>
      </c>
      <c r="K860" s="2">
        <v>0.2273</v>
      </c>
      <c r="L860" s="2">
        <v>0.81</v>
      </c>
      <c r="M860" s="2">
        <v>0.32840000000000003</v>
      </c>
      <c r="N860" s="1">
        <v>0</v>
      </c>
      <c r="O860" s="1">
        <v>2</v>
      </c>
      <c r="P860" s="1">
        <v>2</v>
      </c>
      <c r="Q860" s="1" t="str">
        <f>IF(WEEKDAY(Bike_Sharing_Master6[[#This Row],[Dteday]],2)&gt;=6,"Weekend","Weekday")</f>
        <v>Weekday</v>
      </c>
      <c r="R860" s="1" t="str">
        <f xml:space="preserve"> IF(Bike_Sharing_Master6[[#This Row],[Hr]]&lt;6,"Late Night", IF(Bike_Sharing_Master6[[#This Row],[Hr]]&lt;10,"Morning Peak", IF(Bike_Sharing_Master6[[#This Row],[Hr]]&lt;17,"Daytime", IF(Bike_Sharing_Master6[[#This Row],[Hr]]&lt;21,"Evening Peak","Night"))))</f>
        <v>Late Night</v>
      </c>
      <c r="S860" s="1" t="str">
        <f>IF(Bike_Sharing_Master6[[#This Row],[Holiday]]=1,"Holiday","Non-Holiday")</f>
        <v>Non-Holiday</v>
      </c>
      <c r="T860" s="1" t="str">
        <f>IF(Bike_Sharing_Master6[[#This Row],[Cnt]]&lt;80,"Low",IF(Bike_Sharing_Master6[[#This Row],[Cnt]]&lt;160,"Medium","High"))</f>
        <v>Low</v>
      </c>
      <c r="U860" s="1" t="str">
        <f>VLOOKUP(Bike_Sharing_Master6[[#This Row],[Weathersit]],[1]Lookup_Weather!A:B,2,FALSE)</f>
        <v>Clear</v>
      </c>
    </row>
    <row r="861" spans="1:21" x14ac:dyDescent="0.3">
      <c r="A861">
        <v>860</v>
      </c>
      <c r="B861" s="3">
        <v>40582</v>
      </c>
      <c r="C861" s="1">
        <v>1</v>
      </c>
      <c r="D861" s="1">
        <v>0</v>
      </c>
      <c r="E861" s="1">
        <v>2</v>
      </c>
      <c r="F861" s="1">
        <v>6</v>
      </c>
      <c r="G861" t="b">
        <v>0</v>
      </c>
      <c r="H861" s="1">
        <v>2</v>
      </c>
      <c r="I861" s="1">
        <v>1</v>
      </c>
      <c r="J861" s="2">
        <v>0.26</v>
      </c>
      <c r="K861" s="2">
        <v>0.2273</v>
      </c>
      <c r="L861" s="2">
        <v>0.7</v>
      </c>
      <c r="M861" s="2">
        <v>0.32840000000000003</v>
      </c>
      <c r="N861" s="1">
        <v>0</v>
      </c>
      <c r="O861" s="1">
        <v>39</v>
      </c>
      <c r="P861" s="1">
        <v>39</v>
      </c>
      <c r="Q861" s="1" t="str">
        <f>IF(WEEKDAY(Bike_Sharing_Master6[[#This Row],[Dteday]],2)&gt;=6,"Weekend","Weekday")</f>
        <v>Weekday</v>
      </c>
      <c r="R861" s="1" t="str">
        <f xml:space="preserve"> IF(Bike_Sharing_Master6[[#This Row],[Hr]]&lt;6,"Late Night", IF(Bike_Sharing_Master6[[#This Row],[Hr]]&lt;10,"Morning Peak", IF(Bike_Sharing_Master6[[#This Row],[Hr]]&lt;17,"Daytime", IF(Bike_Sharing_Master6[[#This Row],[Hr]]&lt;21,"Evening Peak","Night"))))</f>
        <v>Morning Peak</v>
      </c>
      <c r="S861" s="1" t="str">
        <f>IF(Bike_Sharing_Master6[[#This Row],[Holiday]]=1,"Holiday","Non-Holiday")</f>
        <v>Non-Holiday</v>
      </c>
      <c r="T861" s="1" t="str">
        <f>IF(Bike_Sharing_Master6[[#This Row],[Cnt]]&lt;80,"Low",IF(Bike_Sharing_Master6[[#This Row],[Cnt]]&lt;160,"Medium","High"))</f>
        <v>Low</v>
      </c>
      <c r="U861" s="1" t="str">
        <f>VLOOKUP(Bike_Sharing_Master6[[#This Row],[Weathersit]],[1]Lookup_Weather!A:B,2,FALSE)</f>
        <v>Clear</v>
      </c>
    </row>
    <row r="862" spans="1:21" x14ac:dyDescent="0.3">
      <c r="A862">
        <v>861</v>
      </c>
      <c r="B862" s="3">
        <v>40582</v>
      </c>
      <c r="C862" s="1">
        <v>1</v>
      </c>
      <c r="D862" s="1">
        <v>0</v>
      </c>
      <c r="E862" s="1">
        <v>2</v>
      </c>
      <c r="F862" s="1">
        <v>7</v>
      </c>
      <c r="G862" t="b">
        <v>0</v>
      </c>
      <c r="H862" s="1">
        <v>2</v>
      </c>
      <c r="I862" s="1">
        <v>1</v>
      </c>
      <c r="J862" s="2">
        <v>0.24</v>
      </c>
      <c r="K862" s="2">
        <v>0.19700000000000001</v>
      </c>
      <c r="L862" s="2">
        <v>0.65</v>
      </c>
      <c r="M862" s="2">
        <v>0.41789999999999999</v>
      </c>
      <c r="N862" s="1">
        <v>3</v>
      </c>
      <c r="O862" s="1">
        <v>97</v>
      </c>
      <c r="P862" s="1">
        <v>100</v>
      </c>
      <c r="Q862" s="1" t="str">
        <f>IF(WEEKDAY(Bike_Sharing_Master6[[#This Row],[Dteday]],2)&gt;=6,"Weekend","Weekday")</f>
        <v>Weekday</v>
      </c>
      <c r="R862" s="1" t="str">
        <f xml:space="preserve"> IF(Bike_Sharing_Master6[[#This Row],[Hr]]&lt;6,"Late Night", IF(Bike_Sharing_Master6[[#This Row],[Hr]]&lt;10,"Morning Peak", IF(Bike_Sharing_Master6[[#This Row],[Hr]]&lt;17,"Daytime", IF(Bike_Sharing_Master6[[#This Row],[Hr]]&lt;21,"Evening Peak","Night"))))</f>
        <v>Morning Peak</v>
      </c>
      <c r="S862" s="1" t="str">
        <f>IF(Bike_Sharing_Master6[[#This Row],[Holiday]]=1,"Holiday","Non-Holiday")</f>
        <v>Non-Holiday</v>
      </c>
      <c r="T862" s="1" t="str">
        <f>IF(Bike_Sharing_Master6[[#This Row],[Cnt]]&lt;80,"Low",IF(Bike_Sharing_Master6[[#This Row],[Cnt]]&lt;160,"Medium","High"))</f>
        <v>Medium</v>
      </c>
      <c r="U862" s="1" t="str">
        <f>VLOOKUP(Bike_Sharing_Master6[[#This Row],[Weathersit]],[1]Lookup_Weather!A:B,2,FALSE)</f>
        <v>Clear</v>
      </c>
    </row>
    <row r="863" spans="1:21" x14ac:dyDescent="0.3">
      <c r="A863">
        <v>862</v>
      </c>
      <c r="B863" s="3">
        <v>40582</v>
      </c>
      <c r="C863" s="1">
        <v>1</v>
      </c>
      <c r="D863" s="1">
        <v>0</v>
      </c>
      <c r="E863" s="1">
        <v>2</v>
      </c>
      <c r="F863" s="1">
        <v>8</v>
      </c>
      <c r="G863" t="b">
        <v>0</v>
      </c>
      <c r="H863" s="1">
        <v>2</v>
      </c>
      <c r="I863" s="1">
        <v>1</v>
      </c>
      <c r="J863" s="2">
        <v>0.24</v>
      </c>
      <c r="K863" s="2">
        <v>0.19700000000000001</v>
      </c>
      <c r="L863" s="2">
        <v>0.56000000000000005</v>
      </c>
      <c r="M863" s="2">
        <v>0.49249999999999999</v>
      </c>
      <c r="N863" s="1">
        <v>7</v>
      </c>
      <c r="O863" s="1">
        <v>236</v>
      </c>
      <c r="P863" s="1">
        <v>243</v>
      </c>
      <c r="Q863" s="1" t="str">
        <f>IF(WEEKDAY(Bike_Sharing_Master6[[#This Row],[Dteday]],2)&gt;=6,"Weekend","Weekday")</f>
        <v>Weekday</v>
      </c>
      <c r="R863" s="1" t="str">
        <f xml:space="preserve"> IF(Bike_Sharing_Master6[[#This Row],[Hr]]&lt;6,"Late Night", IF(Bike_Sharing_Master6[[#This Row],[Hr]]&lt;10,"Morning Peak", IF(Bike_Sharing_Master6[[#This Row],[Hr]]&lt;17,"Daytime", IF(Bike_Sharing_Master6[[#This Row],[Hr]]&lt;21,"Evening Peak","Night"))))</f>
        <v>Morning Peak</v>
      </c>
      <c r="S863" s="1" t="str">
        <f>IF(Bike_Sharing_Master6[[#This Row],[Holiday]]=1,"Holiday","Non-Holiday")</f>
        <v>Non-Holiday</v>
      </c>
      <c r="T863" s="1" t="str">
        <f>IF(Bike_Sharing_Master6[[#This Row],[Cnt]]&lt;80,"Low",IF(Bike_Sharing_Master6[[#This Row],[Cnt]]&lt;160,"Medium","High"))</f>
        <v>High</v>
      </c>
      <c r="U863" s="1" t="str">
        <f>VLOOKUP(Bike_Sharing_Master6[[#This Row],[Weathersit]],[1]Lookup_Weather!A:B,2,FALSE)</f>
        <v>Clear</v>
      </c>
    </row>
    <row r="864" spans="1:21" x14ac:dyDescent="0.3">
      <c r="A864">
        <v>863</v>
      </c>
      <c r="B864" s="3">
        <v>40582</v>
      </c>
      <c r="C864" s="1">
        <v>1</v>
      </c>
      <c r="D864" s="1">
        <v>0</v>
      </c>
      <c r="E864" s="1">
        <v>2</v>
      </c>
      <c r="F864" s="1">
        <v>9</v>
      </c>
      <c r="G864" t="b">
        <v>0</v>
      </c>
      <c r="H864" s="1">
        <v>2</v>
      </c>
      <c r="I864" s="1">
        <v>1</v>
      </c>
      <c r="J864" s="2">
        <v>0.24</v>
      </c>
      <c r="K864" s="2">
        <v>0.19700000000000001</v>
      </c>
      <c r="L864" s="2">
        <v>0.52</v>
      </c>
      <c r="M864" s="2">
        <v>0.49249999999999999</v>
      </c>
      <c r="N864" s="1">
        <v>7</v>
      </c>
      <c r="O864" s="1">
        <v>128</v>
      </c>
      <c r="P864" s="1">
        <v>135</v>
      </c>
      <c r="Q864" s="1" t="str">
        <f>IF(WEEKDAY(Bike_Sharing_Master6[[#This Row],[Dteday]],2)&gt;=6,"Weekend","Weekday")</f>
        <v>Weekday</v>
      </c>
      <c r="R864" s="1" t="str">
        <f xml:space="preserve"> IF(Bike_Sharing_Master6[[#This Row],[Hr]]&lt;6,"Late Night", IF(Bike_Sharing_Master6[[#This Row],[Hr]]&lt;10,"Morning Peak", IF(Bike_Sharing_Master6[[#This Row],[Hr]]&lt;17,"Daytime", IF(Bike_Sharing_Master6[[#This Row],[Hr]]&lt;21,"Evening Peak","Night"))))</f>
        <v>Morning Peak</v>
      </c>
      <c r="S864" s="1" t="str">
        <f>IF(Bike_Sharing_Master6[[#This Row],[Holiday]]=1,"Holiday","Non-Holiday")</f>
        <v>Non-Holiday</v>
      </c>
      <c r="T864" s="1" t="str">
        <f>IF(Bike_Sharing_Master6[[#This Row],[Cnt]]&lt;80,"Low",IF(Bike_Sharing_Master6[[#This Row],[Cnt]]&lt;160,"Medium","High"))</f>
        <v>Medium</v>
      </c>
      <c r="U864" s="1" t="str">
        <f>VLOOKUP(Bike_Sharing_Master6[[#This Row],[Weathersit]],[1]Lookup_Weather!A:B,2,FALSE)</f>
        <v>Clear</v>
      </c>
    </row>
    <row r="865" spans="1:21" x14ac:dyDescent="0.3">
      <c r="A865">
        <v>864</v>
      </c>
      <c r="B865" s="3">
        <v>40582</v>
      </c>
      <c r="C865" s="1">
        <v>1</v>
      </c>
      <c r="D865" s="1">
        <v>0</v>
      </c>
      <c r="E865" s="1">
        <v>2</v>
      </c>
      <c r="F865" s="1">
        <v>10</v>
      </c>
      <c r="G865" t="b">
        <v>0</v>
      </c>
      <c r="H865" s="1">
        <v>2</v>
      </c>
      <c r="I865" s="1">
        <v>1</v>
      </c>
      <c r="J865" s="2">
        <v>0.22</v>
      </c>
      <c r="K865" s="2">
        <v>0.18179999999999999</v>
      </c>
      <c r="L865" s="2">
        <v>0.47</v>
      </c>
      <c r="M865" s="2">
        <v>0.55220000000000002</v>
      </c>
      <c r="N865" s="1">
        <v>4</v>
      </c>
      <c r="O865" s="1">
        <v>44</v>
      </c>
      <c r="P865" s="1">
        <v>48</v>
      </c>
      <c r="Q865" s="1" t="str">
        <f>IF(WEEKDAY(Bike_Sharing_Master6[[#This Row],[Dteday]],2)&gt;=6,"Weekend","Weekday")</f>
        <v>Weekday</v>
      </c>
      <c r="R865" s="1" t="str">
        <f xml:space="preserve"> IF(Bike_Sharing_Master6[[#This Row],[Hr]]&lt;6,"Late Night", IF(Bike_Sharing_Master6[[#This Row],[Hr]]&lt;10,"Morning Peak", IF(Bike_Sharing_Master6[[#This Row],[Hr]]&lt;17,"Daytime", IF(Bike_Sharing_Master6[[#This Row],[Hr]]&lt;21,"Evening Peak","Night"))))</f>
        <v>Daytime</v>
      </c>
      <c r="S865" s="1" t="str">
        <f>IF(Bike_Sharing_Master6[[#This Row],[Holiday]]=1,"Holiday","Non-Holiday")</f>
        <v>Non-Holiday</v>
      </c>
      <c r="T865" s="1" t="str">
        <f>IF(Bike_Sharing_Master6[[#This Row],[Cnt]]&lt;80,"Low",IF(Bike_Sharing_Master6[[#This Row],[Cnt]]&lt;160,"Medium","High"))</f>
        <v>Low</v>
      </c>
      <c r="U865" s="1" t="str">
        <f>VLOOKUP(Bike_Sharing_Master6[[#This Row],[Weathersit]],[1]Lookup_Weather!A:B,2,FALSE)</f>
        <v>Clear</v>
      </c>
    </row>
    <row r="866" spans="1:21" x14ac:dyDescent="0.3">
      <c r="A866">
        <v>865</v>
      </c>
      <c r="B866" s="3">
        <v>40582</v>
      </c>
      <c r="C866" s="1">
        <v>1</v>
      </c>
      <c r="D866" s="1">
        <v>0</v>
      </c>
      <c r="E866" s="1">
        <v>2</v>
      </c>
      <c r="F866" s="1">
        <v>11</v>
      </c>
      <c r="G866" t="b">
        <v>0</v>
      </c>
      <c r="H866" s="1">
        <v>2</v>
      </c>
      <c r="I866" s="1">
        <v>1</v>
      </c>
      <c r="J866" s="2">
        <v>0.22</v>
      </c>
      <c r="K866" s="2">
        <v>0.18179999999999999</v>
      </c>
      <c r="L866" s="2">
        <v>0.47</v>
      </c>
      <c r="M866" s="2">
        <v>0.4627</v>
      </c>
      <c r="N866" s="1">
        <v>1</v>
      </c>
      <c r="O866" s="1">
        <v>49</v>
      </c>
      <c r="P866" s="1">
        <v>50</v>
      </c>
      <c r="Q866" s="1" t="str">
        <f>IF(WEEKDAY(Bike_Sharing_Master6[[#This Row],[Dteday]],2)&gt;=6,"Weekend","Weekday")</f>
        <v>Weekday</v>
      </c>
      <c r="R866" s="1" t="str">
        <f xml:space="preserve"> IF(Bike_Sharing_Master6[[#This Row],[Hr]]&lt;6,"Late Night", IF(Bike_Sharing_Master6[[#This Row],[Hr]]&lt;10,"Morning Peak", IF(Bike_Sharing_Master6[[#This Row],[Hr]]&lt;17,"Daytime", IF(Bike_Sharing_Master6[[#This Row],[Hr]]&lt;21,"Evening Peak","Night"))))</f>
        <v>Daytime</v>
      </c>
      <c r="S866" s="1" t="str">
        <f>IF(Bike_Sharing_Master6[[#This Row],[Holiday]]=1,"Holiday","Non-Holiday")</f>
        <v>Non-Holiday</v>
      </c>
      <c r="T866" s="1" t="str">
        <f>IF(Bike_Sharing_Master6[[#This Row],[Cnt]]&lt;80,"Low",IF(Bike_Sharing_Master6[[#This Row],[Cnt]]&lt;160,"Medium","High"))</f>
        <v>Low</v>
      </c>
      <c r="U866" s="1" t="str">
        <f>VLOOKUP(Bike_Sharing_Master6[[#This Row],[Weathersit]],[1]Lookup_Weather!A:B,2,FALSE)</f>
        <v>Clear</v>
      </c>
    </row>
    <row r="867" spans="1:21" x14ac:dyDescent="0.3">
      <c r="A867">
        <v>866</v>
      </c>
      <c r="B867" s="3">
        <v>40582</v>
      </c>
      <c r="C867" s="1">
        <v>1</v>
      </c>
      <c r="D867" s="1">
        <v>0</v>
      </c>
      <c r="E867" s="1">
        <v>2</v>
      </c>
      <c r="F867" s="1">
        <v>12</v>
      </c>
      <c r="G867" t="b">
        <v>0</v>
      </c>
      <c r="H867" s="1">
        <v>2</v>
      </c>
      <c r="I867" s="1">
        <v>1</v>
      </c>
      <c r="J867" s="2">
        <v>0.24</v>
      </c>
      <c r="K867" s="2">
        <v>0.19700000000000001</v>
      </c>
      <c r="L867" s="2">
        <v>0.38</v>
      </c>
      <c r="M867" s="2">
        <v>0.49249999999999999</v>
      </c>
      <c r="N867" s="1">
        <v>2</v>
      </c>
      <c r="O867" s="1">
        <v>63</v>
      </c>
      <c r="P867" s="1">
        <v>65</v>
      </c>
      <c r="Q867" s="1" t="str">
        <f>IF(WEEKDAY(Bike_Sharing_Master6[[#This Row],[Dteday]],2)&gt;=6,"Weekend","Weekday")</f>
        <v>Weekday</v>
      </c>
      <c r="R867" s="1" t="str">
        <f xml:space="preserve"> IF(Bike_Sharing_Master6[[#This Row],[Hr]]&lt;6,"Late Night", IF(Bike_Sharing_Master6[[#This Row],[Hr]]&lt;10,"Morning Peak", IF(Bike_Sharing_Master6[[#This Row],[Hr]]&lt;17,"Daytime", IF(Bike_Sharing_Master6[[#This Row],[Hr]]&lt;21,"Evening Peak","Night"))))</f>
        <v>Daytime</v>
      </c>
      <c r="S867" s="1" t="str">
        <f>IF(Bike_Sharing_Master6[[#This Row],[Holiday]]=1,"Holiday","Non-Holiday")</f>
        <v>Non-Holiday</v>
      </c>
      <c r="T867" s="1" t="str">
        <f>IF(Bike_Sharing_Master6[[#This Row],[Cnt]]&lt;80,"Low",IF(Bike_Sharing_Master6[[#This Row],[Cnt]]&lt;160,"Medium","High"))</f>
        <v>Low</v>
      </c>
      <c r="U867" s="1" t="str">
        <f>VLOOKUP(Bike_Sharing_Master6[[#This Row],[Weathersit]],[1]Lookup_Weather!A:B,2,FALSE)</f>
        <v>Clear</v>
      </c>
    </row>
    <row r="868" spans="1:21" x14ac:dyDescent="0.3">
      <c r="A868">
        <v>867</v>
      </c>
      <c r="B868" s="3">
        <v>40582</v>
      </c>
      <c r="C868" s="1">
        <v>1</v>
      </c>
      <c r="D868" s="1">
        <v>0</v>
      </c>
      <c r="E868" s="1">
        <v>2</v>
      </c>
      <c r="F868" s="1">
        <v>13</v>
      </c>
      <c r="G868" t="b">
        <v>0</v>
      </c>
      <c r="H868" s="1">
        <v>2</v>
      </c>
      <c r="I868" s="1">
        <v>2</v>
      </c>
      <c r="J868" s="2">
        <v>0.24</v>
      </c>
      <c r="K868" s="2">
        <v>0.19700000000000001</v>
      </c>
      <c r="L868" s="2">
        <v>0.32</v>
      </c>
      <c r="M868" s="2">
        <v>0.44779999999999998</v>
      </c>
      <c r="N868" s="1">
        <v>2</v>
      </c>
      <c r="O868" s="1">
        <v>48</v>
      </c>
      <c r="P868" s="1">
        <v>50</v>
      </c>
      <c r="Q868" s="1" t="str">
        <f>IF(WEEKDAY(Bike_Sharing_Master6[[#This Row],[Dteday]],2)&gt;=6,"Weekend","Weekday")</f>
        <v>Weekday</v>
      </c>
      <c r="R868" s="1" t="str">
        <f xml:space="preserve"> IF(Bike_Sharing_Master6[[#This Row],[Hr]]&lt;6,"Late Night", IF(Bike_Sharing_Master6[[#This Row],[Hr]]&lt;10,"Morning Peak", IF(Bike_Sharing_Master6[[#This Row],[Hr]]&lt;17,"Daytime", IF(Bike_Sharing_Master6[[#This Row],[Hr]]&lt;21,"Evening Peak","Night"))))</f>
        <v>Daytime</v>
      </c>
      <c r="S868" s="1" t="str">
        <f>IF(Bike_Sharing_Master6[[#This Row],[Holiday]]=1,"Holiday","Non-Holiday")</f>
        <v>Non-Holiday</v>
      </c>
      <c r="T868" s="1" t="str">
        <f>IF(Bike_Sharing_Master6[[#This Row],[Cnt]]&lt;80,"Low",IF(Bike_Sharing_Master6[[#This Row],[Cnt]]&lt;160,"Medium","High"))</f>
        <v>Low</v>
      </c>
      <c r="U868" s="1" t="str">
        <f>VLOOKUP(Bike_Sharing_Master6[[#This Row],[Weathersit]],[1]Lookup_Weather!A:B,2,FALSE)</f>
        <v>Mist</v>
      </c>
    </row>
    <row r="869" spans="1:21" x14ac:dyDescent="0.3">
      <c r="A869">
        <v>868</v>
      </c>
      <c r="B869" s="3">
        <v>40582</v>
      </c>
      <c r="C869" s="1">
        <v>1</v>
      </c>
      <c r="D869" s="1">
        <v>0</v>
      </c>
      <c r="E869" s="1">
        <v>2</v>
      </c>
      <c r="F869" s="1">
        <v>14</v>
      </c>
      <c r="G869" t="b">
        <v>0</v>
      </c>
      <c r="H869" s="1">
        <v>2</v>
      </c>
      <c r="I869" s="1">
        <v>1</v>
      </c>
      <c r="J869" s="2">
        <v>0.22</v>
      </c>
      <c r="K869" s="2">
        <v>0.19700000000000001</v>
      </c>
      <c r="L869" s="2">
        <v>0.37</v>
      </c>
      <c r="M869" s="2">
        <v>0.41789999999999999</v>
      </c>
      <c r="N869" s="1">
        <v>3</v>
      </c>
      <c r="O869" s="1">
        <v>61</v>
      </c>
      <c r="P869" s="1">
        <v>64</v>
      </c>
      <c r="Q869" s="1" t="str">
        <f>IF(WEEKDAY(Bike_Sharing_Master6[[#This Row],[Dteday]],2)&gt;=6,"Weekend","Weekday")</f>
        <v>Weekday</v>
      </c>
      <c r="R869" s="1" t="str">
        <f xml:space="preserve"> IF(Bike_Sharing_Master6[[#This Row],[Hr]]&lt;6,"Late Night", IF(Bike_Sharing_Master6[[#This Row],[Hr]]&lt;10,"Morning Peak", IF(Bike_Sharing_Master6[[#This Row],[Hr]]&lt;17,"Daytime", IF(Bike_Sharing_Master6[[#This Row],[Hr]]&lt;21,"Evening Peak","Night"))))</f>
        <v>Daytime</v>
      </c>
      <c r="S869" s="1" t="str">
        <f>IF(Bike_Sharing_Master6[[#This Row],[Holiday]]=1,"Holiday","Non-Holiday")</f>
        <v>Non-Holiday</v>
      </c>
      <c r="T869" s="1" t="str">
        <f>IF(Bike_Sharing_Master6[[#This Row],[Cnt]]&lt;80,"Low",IF(Bike_Sharing_Master6[[#This Row],[Cnt]]&lt;160,"Medium","High"))</f>
        <v>Low</v>
      </c>
      <c r="U869" s="1" t="str">
        <f>VLOOKUP(Bike_Sharing_Master6[[#This Row],[Weathersit]],[1]Lookup_Weather!A:B,2,FALSE)</f>
        <v>Clear</v>
      </c>
    </row>
    <row r="870" spans="1:21" x14ac:dyDescent="0.3">
      <c r="A870">
        <v>869</v>
      </c>
      <c r="B870" s="3">
        <v>40582</v>
      </c>
      <c r="C870" s="1">
        <v>1</v>
      </c>
      <c r="D870" s="1">
        <v>0</v>
      </c>
      <c r="E870" s="1">
        <v>2</v>
      </c>
      <c r="F870" s="1">
        <v>15</v>
      </c>
      <c r="G870" t="b">
        <v>0</v>
      </c>
      <c r="H870" s="1">
        <v>2</v>
      </c>
      <c r="I870" s="1">
        <v>1</v>
      </c>
      <c r="J870" s="2">
        <v>0.22</v>
      </c>
      <c r="K870" s="2">
        <v>0.19700000000000001</v>
      </c>
      <c r="L870" s="2">
        <v>0.35</v>
      </c>
      <c r="M870" s="2">
        <v>0.3881</v>
      </c>
      <c r="N870" s="1">
        <v>6</v>
      </c>
      <c r="O870" s="1">
        <v>45</v>
      </c>
      <c r="P870" s="1">
        <v>51</v>
      </c>
      <c r="Q870" s="1" t="str">
        <f>IF(WEEKDAY(Bike_Sharing_Master6[[#This Row],[Dteday]],2)&gt;=6,"Weekend","Weekday")</f>
        <v>Weekday</v>
      </c>
      <c r="R870" s="1" t="str">
        <f xml:space="preserve"> IF(Bike_Sharing_Master6[[#This Row],[Hr]]&lt;6,"Late Night", IF(Bike_Sharing_Master6[[#This Row],[Hr]]&lt;10,"Morning Peak", IF(Bike_Sharing_Master6[[#This Row],[Hr]]&lt;17,"Daytime", IF(Bike_Sharing_Master6[[#This Row],[Hr]]&lt;21,"Evening Peak","Night"))))</f>
        <v>Daytime</v>
      </c>
      <c r="S870" s="1" t="str">
        <f>IF(Bike_Sharing_Master6[[#This Row],[Holiday]]=1,"Holiday","Non-Holiday")</f>
        <v>Non-Holiday</v>
      </c>
      <c r="T870" s="1" t="str">
        <f>IF(Bike_Sharing_Master6[[#This Row],[Cnt]]&lt;80,"Low",IF(Bike_Sharing_Master6[[#This Row],[Cnt]]&lt;160,"Medium","High"))</f>
        <v>Low</v>
      </c>
      <c r="U870" s="1" t="str">
        <f>VLOOKUP(Bike_Sharing_Master6[[#This Row],[Weathersit]],[1]Lookup_Weather!A:B,2,FALSE)</f>
        <v>Clear</v>
      </c>
    </row>
    <row r="871" spans="1:21" x14ac:dyDescent="0.3">
      <c r="A871">
        <v>870</v>
      </c>
      <c r="B871" s="3">
        <v>40582</v>
      </c>
      <c r="C871" s="1">
        <v>1</v>
      </c>
      <c r="D871" s="1">
        <v>0</v>
      </c>
      <c r="E871" s="1">
        <v>2</v>
      </c>
      <c r="F871" s="1">
        <v>16</v>
      </c>
      <c r="G871" t="b">
        <v>0</v>
      </c>
      <c r="H871" s="1">
        <v>2</v>
      </c>
      <c r="I871" s="1">
        <v>1</v>
      </c>
      <c r="J871" s="2">
        <v>0.22</v>
      </c>
      <c r="K871" s="2">
        <v>0.18179999999999999</v>
      </c>
      <c r="L871" s="2">
        <v>0.35</v>
      </c>
      <c r="M871" s="2">
        <v>0.52239999999999998</v>
      </c>
      <c r="N871" s="1">
        <v>4</v>
      </c>
      <c r="O871" s="1">
        <v>79</v>
      </c>
      <c r="P871" s="1">
        <v>83</v>
      </c>
      <c r="Q871" s="1" t="str">
        <f>IF(WEEKDAY(Bike_Sharing_Master6[[#This Row],[Dteday]],2)&gt;=6,"Weekend","Weekday")</f>
        <v>Weekday</v>
      </c>
      <c r="R871" s="1" t="str">
        <f xml:space="preserve"> IF(Bike_Sharing_Master6[[#This Row],[Hr]]&lt;6,"Late Night", IF(Bike_Sharing_Master6[[#This Row],[Hr]]&lt;10,"Morning Peak", IF(Bike_Sharing_Master6[[#This Row],[Hr]]&lt;17,"Daytime", IF(Bike_Sharing_Master6[[#This Row],[Hr]]&lt;21,"Evening Peak","Night"))))</f>
        <v>Daytime</v>
      </c>
      <c r="S871" s="1" t="str">
        <f>IF(Bike_Sharing_Master6[[#This Row],[Holiday]]=1,"Holiday","Non-Holiday")</f>
        <v>Non-Holiday</v>
      </c>
      <c r="T871" s="1" t="str">
        <f>IF(Bike_Sharing_Master6[[#This Row],[Cnt]]&lt;80,"Low",IF(Bike_Sharing_Master6[[#This Row],[Cnt]]&lt;160,"Medium","High"))</f>
        <v>Medium</v>
      </c>
      <c r="U871" s="1" t="str">
        <f>VLOOKUP(Bike_Sharing_Master6[[#This Row],[Weathersit]],[1]Lookup_Weather!A:B,2,FALSE)</f>
        <v>Clear</v>
      </c>
    </row>
    <row r="872" spans="1:21" x14ac:dyDescent="0.3">
      <c r="A872">
        <v>871</v>
      </c>
      <c r="B872" s="3">
        <v>40582</v>
      </c>
      <c r="C872" s="1">
        <v>1</v>
      </c>
      <c r="D872" s="1">
        <v>0</v>
      </c>
      <c r="E872" s="1">
        <v>2</v>
      </c>
      <c r="F872" s="1">
        <v>17</v>
      </c>
      <c r="G872" t="b">
        <v>0</v>
      </c>
      <c r="H872" s="1">
        <v>2</v>
      </c>
      <c r="I872" s="1">
        <v>1</v>
      </c>
      <c r="J872" s="2">
        <v>0.22</v>
      </c>
      <c r="K872" s="2">
        <v>0.18179999999999999</v>
      </c>
      <c r="L872" s="2">
        <v>0.32</v>
      </c>
      <c r="M872" s="2">
        <v>0.58209999999999995</v>
      </c>
      <c r="N872" s="1">
        <v>4</v>
      </c>
      <c r="O872" s="1">
        <v>172</v>
      </c>
      <c r="P872" s="1">
        <v>176</v>
      </c>
      <c r="Q872" s="1" t="str">
        <f>IF(WEEKDAY(Bike_Sharing_Master6[[#This Row],[Dteday]],2)&gt;=6,"Weekend","Weekday")</f>
        <v>Weekday</v>
      </c>
      <c r="R872" s="1" t="str">
        <f xml:space="preserve"> IF(Bike_Sharing_Master6[[#This Row],[Hr]]&lt;6,"Late Night", IF(Bike_Sharing_Master6[[#This Row],[Hr]]&lt;10,"Morning Peak", IF(Bike_Sharing_Master6[[#This Row],[Hr]]&lt;17,"Daytime", IF(Bike_Sharing_Master6[[#This Row],[Hr]]&lt;21,"Evening Peak","Night"))))</f>
        <v>Evening Peak</v>
      </c>
      <c r="S872" s="1" t="str">
        <f>IF(Bike_Sharing_Master6[[#This Row],[Holiday]]=1,"Holiday","Non-Holiday")</f>
        <v>Non-Holiday</v>
      </c>
      <c r="T872" s="1" t="str">
        <f>IF(Bike_Sharing_Master6[[#This Row],[Cnt]]&lt;80,"Low",IF(Bike_Sharing_Master6[[#This Row],[Cnt]]&lt;160,"Medium","High"))</f>
        <v>High</v>
      </c>
      <c r="U872" s="1" t="str">
        <f>VLOOKUP(Bike_Sharing_Master6[[#This Row],[Weathersit]],[1]Lookup_Weather!A:B,2,FALSE)</f>
        <v>Clear</v>
      </c>
    </row>
    <row r="873" spans="1:21" x14ac:dyDescent="0.3">
      <c r="A873">
        <v>872</v>
      </c>
      <c r="B873" s="3">
        <v>40582</v>
      </c>
      <c r="C873" s="1">
        <v>1</v>
      </c>
      <c r="D873" s="1">
        <v>0</v>
      </c>
      <c r="E873" s="1">
        <v>2</v>
      </c>
      <c r="F873" s="1">
        <v>18</v>
      </c>
      <c r="G873" t="b">
        <v>0</v>
      </c>
      <c r="H873" s="1">
        <v>2</v>
      </c>
      <c r="I873" s="1">
        <v>1</v>
      </c>
      <c r="J873" s="2">
        <v>0.2</v>
      </c>
      <c r="K873" s="2">
        <v>0.18179999999999999</v>
      </c>
      <c r="L873" s="2">
        <v>0.32</v>
      </c>
      <c r="M873" s="2">
        <v>0.3881</v>
      </c>
      <c r="N873" s="1">
        <v>1</v>
      </c>
      <c r="O873" s="1">
        <v>151</v>
      </c>
      <c r="P873" s="1">
        <v>152</v>
      </c>
      <c r="Q873" s="1" t="str">
        <f>IF(WEEKDAY(Bike_Sharing_Master6[[#This Row],[Dteday]],2)&gt;=6,"Weekend","Weekday")</f>
        <v>Weekday</v>
      </c>
      <c r="R873" s="1" t="str">
        <f xml:space="preserve"> IF(Bike_Sharing_Master6[[#This Row],[Hr]]&lt;6,"Late Night", IF(Bike_Sharing_Master6[[#This Row],[Hr]]&lt;10,"Morning Peak", IF(Bike_Sharing_Master6[[#This Row],[Hr]]&lt;17,"Daytime", IF(Bike_Sharing_Master6[[#This Row],[Hr]]&lt;21,"Evening Peak","Night"))))</f>
        <v>Evening Peak</v>
      </c>
      <c r="S873" s="1" t="str">
        <f>IF(Bike_Sharing_Master6[[#This Row],[Holiday]]=1,"Holiday","Non-Holiday")</f>
        <v>Non-Holiday</v>
      </c>
      <c r="T873" s="1" t="str">
        <f>IF(Bike_Sharing_Master6[[#This Row],[Cnt]]&lt;80,"Low",IF(Bike_Sharing_Master6[[#This Row],[Cnt]]&lt;160,"Medium","High"))</f>
        <v>Medium</v>
      </c>
      <c r="U873" s="1" t="str">
        <f>VLOOKUP(Bike_Sharing_Master6[[#This Row],[Weathersit]],[1]Lookup_Weather!A:B,2,FALSE)</f>
        <v>Clear</v>
      </c>
    </row>
    <row r="874" spans="1:21" x14ac:dyDescent="0.3">
      <c r="A874">
        <v>873</v>
      </c>
      <c r="B874" s="3">
        <v>40582</v>
      </c>
      <c r="C874" s="1">
        <v>1</v>
      </c>
      <c r="D874" s="1">
        <v>0</v>
      </c>
      <c r="E874" s="1">
        <v>2</v>
      </c>
      <c r="F874" s="1">
        <v>19</v>
      </c>
      <c r="G874" t="b">
        <v>0</v>
      </c>
      <c r="H874" s="1">
        <v>2</v>
      </c>
      <c r="I874" s="1">
        <v>1</v>
      </c>
      <c r="J874" s="2">
        <v>0.16</v>
      </c>
      <c r="K874" s="2">
        <v>0.1212</v>
      </c>
      <c r="L874" s="2">
        <v>0.4</v>
      </c>
      <c r="M874" s="2">
        <v>0.4627</v>
      </c>
      <c r="N874" s="1">
        <v>1</v>
      </c>
      <c r="O874" s="1">
        <v>100</v>
      </c>
      <c r="P874" s="1">
        <v>101</v>
      </c>
      <c r="Q874" s="1" t="str">
        <f>IF(WEEKDAY(Bike_Sharing_Master6[[#This Row],[Dteday]],2)&gt;=6,"Weekend","Weekday")</f>
        <v>Weekday</v>
      </c>
      <c r="R874" s="1" t="str">
        <f xml:space="preserve"> IF(Bike_Sharing_Master6[[#This Row],[Hr]]&lt;6,"Late Night", IF(Bike_Sharing_Master6[[#This Row],[Hr]]&lt;10,"Morning Peak", IF(Bike_Sharing_Master6[[#This Row],[Hr]]&lt;17,"Daytime", IF(Bike_Sharing_Master6[[#This Row],[Hr]]&lt;21,"Evening Peak","Night"))))</f>
        <v>Evening Peak</v>
      </c>
      <c r="S874" s="1" t="str">
        <f>IF(Bike_Sharing_Master6[[#This Row],[Holiday]]=1,"Holiday","Non-Holiday")</f>
        <v>Non-Holiday</v>
      </c>
      <c r="T874" s="1" t="str">
        <f>IF(Bike_Sharing_Master6[[#This Row],[Cnt]]&lt;80,"Low",IF(Bike_Sharing_Master6[[#This Row],[Cnt]]&lt;160,"Medium","High"))</f>
        <v>Medium</v>
      </c>
      <c r="U874" s="1" t="str">
        <f>VLOOKUP(Bike_Sharing_Master6[[#This Row],[Weathersit]],[1]Lookup_Weather!A:B,2,FALSE)</f>
        <v>Clear</v>
      </c>
    </row>
    <row r="875" spans="1:21" x14ac:dyDescent="0.3">
      <c r="A875">
        <v>874</v>
      </c>
      <c r="B875" s="3">
        <v>40582</v>
      </c>
      <c r="C875" s="1">
        <v>1</v>
      </c>
      <c r="D875" s="1">
        <v>0</v>
      </c>
      <c r="E875" s="1">
        <v>2</v>
      </c>
      <c r="F875" s="1">
        <v>20</v>
      </c>
      <c r="G875" t="b">
        <v>0</v>
      </c>
      <c r="H875" s="1">
        <v>2</v>
      </c>
      <c r="I875" s="1">
        <v>1</v>
      </c>
      <c r="J875" s="2">
        <v>0.16</v>
      </c>
      <c r="K875" s="2">
        <v>0.13639999999999999</v>
      </c>
      <c r="L875" s="2">
        <v>0.4</v>
      </c>
      <c r="M875" s="2">
        <v>0.32840000000000003</v>
      </c>
      <c r="N875" s="1">
        <v>3</v>
      </c>
      <c r="O875" s="1">
        <v>53</v>
      </c>
      <c r="P875" s="1">
        <v>56</v>
      </c>
      <c r="Q875" s="1" t="str">
        <f>IF(WEEKDAY(Bike_Sharing_Master6[[#This Row],[Dteday]],2)&gt;=6,"Weekend","Weekday")</f>
        <v>Weekday</v>
      </c>
      <c r="R875" s="1" t="str">
        <f xml:space="preserve"> IF(Bike_Sharing_Master6[[#This Row],[Hr]]&lt;6,"Late Night", IF(Bike_Sharing_Master6[[#This Row],[Hr]]&lt;10,"Morning Peak", IF(Bike_Sharing_Master6[[#This Row],[Hr]]&lt;17,"Daytime", IF(Bike_Sharing_Master6[[#This Row],[Hr]]&lt;21,"Evening Peak","Night"))))</f>
        <v>Evening Peak</v>
      </c>
      <c r="S875" s="1" t="str">
        <f>IF(Bike_Sharing_Master6[[#This Row],[Holiday]]=1,"Holiday","Non-Holiday")</f>
        <v>Non-Holiday</v>
      </c>
      <c r="T875" s="1" t="str">
        <f>IF(Bike_Sharing_Master6[[#This Row],[Cnt]]&lt;80,"Low",IF(Bike_Sharing_Master6[[#This Row],[Cnt]]&lt;160,"Medium","High"))</f>
        <v>Low</v>
      </c>
      <c r="U875" s="1" t="str">
        <f>VLOOKUP(Bike_Sharing_Master6[[#This Row],[Weathersit]],[1]Lookup_Weather!A:B,2,FALSE)</f>
        <v>Clear</v>
      </c>
    </row>
    <row r="876" spans="1:21" x14ac:dyDescent="0.3">
      <c r="A876">
        <v>875</v>
      </c>
      <c r="B876" s="3">
        <v>40582</v>
      </c>
      <c r="C876" s="1">
        <v>1</v>
      </c>
      <c r="D876" s="1">
        <v>0</v>
      </c>
      <c r="E876" s="1">
        <v>2</v>
      </c>
      <c r="F876" s="1">
        <v>21</v>
      </c>
      <c r="G876" t="b">
        <v>0</v>
      </c>
      <c r="H876" s="1">
        <v>2</v>
      </c>
      <c r="I876" s="1">
        <v>1</v>
      </c>
      <c r="J876" s="2">
        <v>0.14000000000000001</v>
      </c>
      <c r="K876" s="2">
        <v>0.1061</v>
      </c>
      <c r="L876" s="2">
        <v>0.33</v>
      </c>
      <c r="M876" s="2">
        <v>0.4627</v>
      </c>
      <c r="N876" s="1">
        <v>8</v>
      </c>
      <c r="O876" s="1">
        <v>46</v>
      </c>
      <c r="P876" s="1">
        <v>54</v>
      </c>
      <c r="Q876" s="1" t="str">
        <f>IF(WEEKDAY(Bike_Sharing_Master6[[#This Row],[Dteday]],2)&gt;=6,"Weekend","Weekday")</f>
        <v>Weekday</v>
      </c>
      <c r="R876" s="1" t="str">
        <f xml:space="preserve"> IF(Bike_Sharing_Master6[[#This Row],[Hr]]&lt;6,"Late Night", IF(Bike_Sharing_Master6[[#This Row],[Hr]]&lt;10,"Morning Peak", IF(Bike_Sharing_Master6[[#This Row],[Hr]]&lt;17,"Daytime", IF(Bike_Sharing_Master6[[#This Row],[Hr]]&lt;21,"Evening Peak","Night"))))</f>
        <v>Night</v>
      </c>
      <c r="S876" s="1" t="str">
        <f>IF(Bike_Sharing_Master6[[#This Row],[Holiday]]=1,"Holiday","Non-Holiday")</f>
        <v>Non-Holiday</v>
      </c>
      <c r="T876" s="1" t="str">
        <f>IF(Bike_Sharing_Master6[[#This Row],[Cnt]]&lt;80,"Low",IF(Bike_Sharing_Master6[[#This Row],[Cnt]]&lt;160,"Medium","High"))</f>
        <v>Low</v>
      </c>
      <c r="U876" s="1" t="str">
        <f>VLOOKUP(Bike_Sharing_Master6[[#This Row],[Weathersit]],[1]Lookup_Weather!A:B,2,FALSE)</f>
        <v>Clear</v>
      </c>
    </row>
    <row r="877" spans="1:21" x14ac:dyDescent="0.3">
      <c r="A877">
        <v>876</v>
      </c>
      <c r="B877" s="3">
        <v>40582</v>
      </c>
      <c r="C877" s="1">
        <v>1</v>
      </c>
      <c r="D877" s="1">
        <v>0</v>
      </c>
      <c r="E877" s="1">
        <v>2</v>
      </c>
      <c r="F877" s="1">
        <v>22</v>
      </c>
      <c r="G877" t="b">
        <v>0</v>
      </c>
      <c r="H877" s="1">
        <v>2</v>
      </c>
      <c r="I877" s="1">
        <v>1</v>
      </c>
      <c r="J877" s="2">
        <v>0.12</v>
      </c>
      <c r="K877" s="2">
        <v>0.1061</v>
      </c>
      <c r="L877" s="2">
        <v>0.33</v>
      </c>
      <c r="M877" s="2">
        <v>0.35820000000000002</v>
      </c>
      <c r="N877" s="1">
        <v>0</v>
      </c>
      <c r="O877" s="1">
        <v>29</v>
      </c>
      <c r="P877" s="1">
        <v>29</v>
      </c>
      <c r="Q877" s="1" t="str">
        <f>IF(WEEKDAY(Bike_Sharing_Master6[[#This Row],[Dteday]],2)&gt;=6,"Weekend","Weekday")</f>
        <v>Weekday</v>
      </c>
      <c r="R877" s="1" t="str">
        <f xml:space="preserve"> IF(Bike_Sharing_Master6[[#This Row],[Hr]]&lt;6,"Late Night", IF(Bike_Sharing_Master6[[#This Row],[Hr]]&lt;10,"Morning Peak", IF(Bike_Sharing_Master6[[#This Row],[Hr]]&lt;17,"Daytime", IF(Bike_Sharing_Master6[[#This Row],[Hr]]&lt;21,"Evening Peak","Night"))))</f>
        <v>Night</v>
      </c>
      <c r="S877" s="1" t="str">
        <f>IF(Bike_Sharing_Master6[[#This Row],[Holiday]]=1,"Holiday","Non-Holiday")</f>
        <v>Non-Holiday</v>
      </c>
      <c r="T877" s="1" t="str">
        <f>IF(Bike_Sharing_Master6[[#This Row],[Cnt]]&lt;80,"Low",IF(Bike_Sharing_Master6[[#This Row],[Cnt]]&lt;160,"Medium","High"))</f>
        <v>Low</v>
      </c>
      <c r="U877" s="1" t="str">
        <f>VLOOKUP(Bike_Sharing_Master6[[#This Row],[Weathersit]],[1]Lookup_Weather!A:B,2,FALSE)</f>
        <v>Clear</v>
      </c>
    </row>
    <row r="878" spans="1:21" x14ac:dyDescent="0.3">
      <c r="A878">
        <v>877</v>
      </c>
      <c r="B878" s="3">
        <v>40582</v>
      </c>
      <c r="C878" s="1">
        <v>1</v>
      </c>
      <c r="D878" s="1">
        <v>0</v>
      </c>
      <c r="E878" s="1">
        <v>2</v>
      </c>
      <c r="F878" s="1">
        <v>23</v>
      </c>
      <c r="G878" t="b">
        <v>0</v>
      </c>
      <c r="H878" s="1">
        <v>2</v>
      </c>
      <c r="I878" s="1">
        <v>1</v>
      </c>
      <c r="J878" s="2">
        <v>0.12</v>
      </c>
      <c r="K878" s="2">
        <v>0.1061</v>
      </c>
      <c r="L878" s="2">
        <v>0.33</v>
      </c>
      <c r="M878" s="2">
        <v>0.32840000000000003</v>
      </c>
      <c r="N878" s="1">
        <v>3</v>
      </c>
      <c r="O878" s="1">
        <v>9</v>
      </c>
      <c r="P878" s="1">
        <v>12</v>
      </c>
      <c r="Q878" s="1" t="str">
        <f>IF(WEEKDAY(Bike_Sharing_Master6[[#This Row],[Dteday]],2)&gt;=6,"Weekend","Weekday")</f>
        <v>Weekday</v>
      </c>
      <c r="R878" s="1" t="str">
        <f xml:space="preserve"> IF(Bike_Sharing_Master6[[#This Row],[Hr]]&lt;6,"Late Night", IF(Bike_Sharing_Master6[[#This Row],[Hr]]&lt;10,"Morning Peak", IF(Bike_Sharing_Master6[[#This Row],[Hr]]&lt;17,"Daytime", IF(Bike_Sharing_Master6[[#This Row],[Hr]]&lt;21,"Evening Peak","Night"))))</f>
        <v>Night</v>
      </c>
      <c r="S878" s="1" t="str">
        <f>IF(Bike_Sharing_Master6[[#This Row],[Holiday]]=1,"Holiday","Non-Holiday")</f>
        <v>Non-Holiday</v>
      </c>
      <c r="T878" s="1" t="str">
        <f>IF(Bike_Sharing_Master6[[#This Row],[Cnt]]&lt;80,"Low",IF(Bike_Sharing_Master6[[#This Row],[Cnt]]&lt;160,"Medium","High"))</f>
        <v>Low</v>
      </c>
      <c r="U878" s="1" t="str">
        <f>VLOOKUP(Bike_Sharing_Master6[[#This Row],[Weathersit]],[1]Lookup_Weather!A:B,2,FALSE)</f>
        <v>Clear</v>
      </c>
    </row>
    <row r="879" spans="1:21" x14ac:dyDescent="0.3">
      <c r="A879">
        <v>878</v>
      </c>
      <c r="B879" s="3">
        <v>40583</v>
      </c>
      <c r="C879" s="1">
        <v>1</v>
      </c>
      <c r="D879" s="1">
        <v>0</v>
      </c>
      <c r="E879" s="1">
        <v>2</v>
      </c>
      <c r="F879" s="1">
        <v>0</v>
      </c>
      <c r="G879" t="b">
        <v>0</v>
      </c>
      <c r="H879" s="1">
        <v>3</v>
      </c>
      <c r="I879" s="1">
        <v>1</v>
      </c>
      <c r="J879" s="2">
        <v>0.1</v>
      </c>
      <c r="K879" s="2">
        <v>7.5800000000000006E-2</v>
      </c>
      <c r="L879" s="2">
        <v>0.36</v>
      </c>
      <c r="M879" s="2">
        <v>0.35820000000000002</v>
      </c>
      <c r="N879" s="1">
        <v>0</v>
      </c>
      <c r="O879" s="1">
        <v>17</v>
      </c>
      <c r="P879" s="1">
        <v>17</v>
      </c>
      <c r="Q879" s="1" t="str">
        <f>IF(WEEKDAY(Bike_Sharing_Master6[[#This Row],[Dteday]],2)&gt;=6,"Weekend","Weekday")</f>
        <v>Weekday</v>
      </c>
      <c r="R879" s="1" t="str">
        <f xml:space="preserve"> IF(Bike_Sharing_Master6[[#This Row],[Hr]]&lt;6,"Late Night", IF(Bike_Sharing_Master6[[#This Row],[Hr]]&lt;10,"Morning Peak", IF(Bike_Sharing_Master6[[#This Row],[Hr]]&lt;17,"Daytime", IF(Bike_Sharing_Master6[[#This Row],[Hr]]&lt;21,"Evening Peak","Night"))))</f>
        <v>Late Night</v>
      </c>
      <c r="S879" s="1" t="str">
        <f>IF(Bike_Sharing_Master6[[#This Row],[Holiday]]=1,"Holiday","Non-Holiday")</f>
        <v>Non-Holiday</v>
      </c>
      <c r="T879" s="1" t="str">
        <f>IF(Bike_Sharing_Master6[[#This Row],[Cnt]]&lt;80,"Low",IF(Bike_Sharing_Master6[[#This Row],[Cnt]]&lt;160,"Medium","High"))</f>
        <v>Low</v>
      </c>
      <c r="U879" s="1" t="str">
        <f>VLOOKUP(Bike_Sharing_Master6[[#This Row],[Weathersit]],[1]Lookup_Weather!A:B,2,FALSE)</f>
        <v>Clear</v>
      </c>
    </row>
    <row r="880" spans="1:21" x14ac:dyDescent="0.3">
      <c r="A880">
        <v>879</v>
      </c>
      <c r="B880" s="3">
        <v>40583</v>
      </c>
      <c r="C880" s="1">
        <v>1</v>
      </c>
      <c r="D880" s="1">
        <v>0</v>
      </c>
      <c r="E880" s="1">
        <v>2</v>
      </c>
      <c r="F880" s="1">
        <v>1</v>
      </c>
      <c r="G880" t="b">
        <v>0</v>
      </c>
      <c r="H880" s="1">
        <v>3</v>
      </c>
      <c r="I880" s="1">
        <v>1</v>
      </c>
      <c r="J880" s="2">
        <v>0.1</v>
      </c>
      <c r="K880" s="2">
        <v>0.1061</v>
      </c>
      <c r="L880" s="2">
        <v>0.36</v>
      </c>
      <c r="M880" s="2">
        <v>0.22389999999999999</v>
      </c>
      <c r="N880" s="1">
        <v>0</v>
      </c>
      <c r="O880" s="1">
        <v>7</v>
      </c>
      <c r="P880" s="1">
        <v>7</v>
      </c>
      <c r="Q880" s="1" t="str">
        <f>IF(WEEKDAY(Bike_Sharing_Master6[[#This Row],[Dteday]],2)&gt;=6,"Weekend","Weekday")</f>
        <v>Weekday</v>
      </c>
      <c r="R880" s="1" t="str">
        <f xml:space="preserve"> IF(Bike_Sharing_Master6[[#This Row],[Hr]]&lt;6,"Late Night", IF(Bike_Sharing_Master6[[#This Row],[Hr]]&lt;10,"Morning Peak", IF(Bike_Sharing_Master6[[#This Row],[Hr]]&lt;17,"Daytime", IF(Bike_Sharing_Master6[[#This Row],[Hr]]&lt;21,"Evening Peak","Night"))))</f>
        <v>Late Night</v>
      </c>
      <c r="S880" s="1" t="str">
        <f>IF(Bike_Sharing_Master6[[#This Row],[Holiday]]=1,"Holiday","Non-Holiday")</f>
        <v>Non-Holiday</v>
      </c>
      <c r="T880" s="1" t="str">
        <f>IF(Bike_Sharing_Master6[[#This Row],[Cnt]]&lt;80,"Low",IF(Bike_Sharing_Master6[[#This Row],[Cnt]]&lt;160,"Medium","High"))</f>
        <v>Low</v>
      </c>
      <c r="U880" s="1" t="str">
        <f>VLOOKUP(Bike_Sharing_Master6[[#This Row],[Weathersit]],[1]Lookup_Weather!A:B,2,FALSE)</f>
        <v>Clear</v>
      </c>
    </row>
    <row r="881" spans="1:21" x14ac:dyDescent="0.3">
      <c r="A881">
        <v>880</v>
      </c>
      <c r="B881" s="3">
        <v>40583</v>
      </c>
      <c r="C881" s="1">
        <v>1</v>
      </c>
      <c r="D881" s="1">
        <v>0</v>
      </c>
      <c r="E881" s="1">
        <v>2</v>
      </c>
      <c r="F881" s="1">
        <v>2</v>
      </c>
      <c r="G881" t="b">
        <v>0</v>
      </c>
      <c r="H881" s="1">
        <v>3</v>
      </c>
      <c r="I881" s="1">
        <v>1</v>
      </c>
      <c r="J881" s="2">
        <v>0.08</v>
      </c>
      <c r="K881" s="2">
        <v>7.5800000000000006E-2</v>
      </c>
      <c r="L881" s="2">
        <v>0.38</v>
      </c>
      <c r="M881" s="2">
        <v>0.28360000000000002</v>
      </c>
      <c r="N881" s="1">
        <v>1</v>
      </c>
      <c r="O881" s="1">
        <v>2</v>
      </c>
      <c r="P881" s="1">
        <v>3</v>
      </c>
      <c r="Q881" s="1" t="str">
        <f>IF(WEEKDAY(Bike_Sharing_Master6[[#This Row],[Dteday]],2)&gt;=6,"Weekend","Weekday")</f>
        <v>Weekday</v>
      </c>
      <c r="R881" s="1" t="str">
        <f xml:space="preserve"> IF(Bike_Sharing_Master6[[#This Row],[Hr]]&lt;6,"Late Night", IF(Bike_Sharing_Master6[[#This Row],[Hr]]&lt;10,"Morning Peak", IF(Bike_Sharing_Master6[[#This Row],[Hr]]&lt;17,"Daytime", IF(Bike_Sharing_Master6[[#This Row],[Hr]]&lt;21,"Evening Peak","Night"))))</f>
        <v>Late Night</v>
      </c>
      <c r="S881" s="1" t="str">
        <f>IF(Bike_Sharing_Master6[[#This Row],[Holiday]]=1,"Holiday","Non-Holiday")</f>
        <v>Non-Holiday</v>
      </c>
      <c r="T881" s="1" t="str">
        <f>IF(Bike_Sharing_Master6[[#This Row],[Cnt]]&lt;80,"Low",IF(Bike_Sharing_Master6[[#This Row],[Cnt]]&lt;160,"Medium","High"))</f>
        <v>Low</v>
      </c>
      <c r="U881" s="1" t="str">
        <f>VLOOKUP(Bike_Sharing_Master6[[#This Row],[Weathersit]],[1]Lookup_Weather!A:B,2,FALSE)</f>
        <v>Clear</v>
      </c>
    </row>
    <row r="882" spans="1:21" x14ac:dyDescent="0.3">
      <c r="A882">
        <v>881</v>
      </c>
      <c r="B882" s="3">
        <v>40583</v>
      </c>
      <c r="C882" s="1">
        <v>1</v>
      </c>
      <c r="D882" s="1">
        <v>0</v>
      </c>
      <c r="E882" s="1">
        <v>2</v>
      </c>
      <c r="F882" s="1">
        <v>3</v>
      </c>
      <c r="G882" t="b">
        <v>0</v>
      </c>
      <c r="H882" s="1">
        <v>3</v>
      </c>
      <c r="I882" s="1">
        <v>1</v>
      </c>
      <c r="J882" s="2">
        <v>0.06</v>
      </c>
      <c r="K882" s="2">
        <v>7.5800000000000006E-2</v>
      </c>
      <c r="L882" s="2">
        <v>0.45</v>
      </c>
      <c r="M882" s="2">
        <v>0.1343</v>
      </c>
      <c r="N882" s="1">
        <v>0</v>
      </c>
      <c r="O882" s="1">
        <v>2</v>
      </c>
      <c r="P882" s="1">
        <v>2</v>
      </c>
      <c r="Q882" s="1" t="str">
        <f>IF(WEEKDAY(Bike_Sharing_Master6[[#This Row],[Dteday]],2)&gt;=6,"Weekend","Weekday")</f>
        <v>Weekday</v>
      </c>
      <c r="R882" s="1" t="str">
        <f xml:space="preserve"> IF(Bike_Sharing_Master6[[#This Row],[Hr]]&lt;6,"Late Night", IF(Bike_Sharing_Master6[[#This Row],[Hr]]&lt;10,"Morning Peak", IF(Bike_Sharing_Master6[[#This Row],[Hr]]&lt;17,"Daytime", IF(Bike_Sharing_Master6[[#This Row],[Hr]]&lt;21,"Evening Peak","Night"))))</f>
        <v>Late Night</v>
      </c>
      <c r="S882" s="1" t="str">
        <f>IF(Bike_Sharing_Master6[[#This Row],[Holiday]]=1,"Holiday","Non-Holiday")</f>
        <v>Non-Holiday</v>
      </c>
      <c r="T882" s="1" t="str">
        <f>IF(Bike_Sharing_Master6[[#This Row],[Cnt]]&lt;80,"Low",IF(Bike_Sharing_Master6[[#This Row],[Cnt]]&lt;160,"Medium","High"))</f>
        <v>Low</v>
      </c>
      <c r="U882" s="1" t="str">
        <f>VLOOKUP(Bike_Sharing_Master6[[#This Row],[Weathersit]],[1]Lookup_Weather!A:B,2,FALSE)</f>
        <v>Clear</v>
      </c>
    </row>
    <row r="883" spans="1:21" x14ac:dyDescent="0.3">
      <c r="A883">
        <v>882</v>
      </c>
      <c r="B883" s="3">
        <v>40583</v>
      </c>
      <c r="C883" s="1">
        <v>1</v>
      </c>
      <c r="D883" s="1">
        <v>0</v>
      </c>
      <c r="E883" s="1">
        <v>2</v>
      </c>
      <c r="F883" s="1">
        <v>5</v>
      </c>
      <c r="G883" t="b">
        <v>0</v>
      </c>
      <c r="H883" s="1">
        <v>3</v>
      </c>
      <c r="I883" s="1">
        <v>1</v>
      </c>
      <c r="J883" s="2">
        <v>0.06</v>
      </c>
      <c r="K883" s="2">
        <v>0.1061</v>
      </c>
      <c r="L883" s="2">
        <v>0.45</v>
      </c>
      <c r="M883" s="2">
        <v>0.1045</v>
      </c>
      <c r="N883" s="1">
        <v>0</v>
      </c>
      <c r="O883" s="1">
        <v>7</v>
      </c>
      <c r="P883" s="1">
        <v>7</v>
      </c>
      <c r="Q883" s="1" t="str">
        <f>IF(WEEKDAY(Bike_Sharing_Master6[[#This Row],[Dteday]],2)&gt;=6,"Weekend","Weekday")</f>
        <v>Weekday</v>
      </c>
      <c r="R883" s="1" t="str">
        <f xml:space="preserve"> IF(Bike_Sharing_Master6[[#This Row],[Hr]]&lt;6,"Late Night", IF(Bike_Sharing_Master6[[#This Row],[Hr]]&lt;10,"Morning Peak", IF(Bike_Sharing_Master6[[#This Row],[Hr]]&lt;17,"Daytime", IF(Bike_Sharing_Master6[[#This Row],[Hr]]&lt;21,"Evening Peak","Night"))))</f>
        <v>Late Night</v>
      </c>
      <c r="S883" s="1" t="str">
        <f>IF(Bike_Sharing_Master6[[#This Row],[Holiday]]=1,"Holiday","Non-Holiday")</f>
        <v>Non-Holiday</v>
      </c>
      <c r="T883" s="1" t="str">
        <f>IF(Bike_Sharing_Master6[[#This Row],[Cnt]]&lt;80,"Low",IF(Bike_Sharing_Master6[[#This Row],[Cnt]]&lt;160,"Medium","High"))</f>
        <v>Low</v>
      </c>
      <c r="U883" s="1" t="str">
        <f>VLOOKUP(Bike_Sharing_Master6[[#This Row],[Weathersit]],[1]Lookup_Weather!A:B,2,FALSE)</f>
        <v>Clear</v>
      </c>
    </row>
    <row r="884" spans="1:21" x14ac:dyDescent="0.3">
      <c r="A884">
        <v>883</v>
      </c>
      <c r="B884" s="3">
        <v>40583</v>
      </c>
      <c r="C884" s="1">
        <v>1</v>
      </c>
      <c r="D884" s="1">
        <v>0</v>
      </c>
      <c r="E884" s="1">
        <v>2</v>
      </c>
      <c r="F884" s="1">
        <v>6</v>
      </c>
      <c r="G884" t="b">
        <v>0</v>
      </c>
      <c r="H884" s="1">
        <v>3</v>
      </c>
      <c r="I884" s="1">
        <v>1</v>
      </c>
      <c r="J884" s="2">
        <v>0.06</v>
      </c>
      <c r="K884" s="2">
        <v>0.1515</v>
      </c>
      <c r="L884" s="2">
        <v>0.45</v>
      </c>
      <c r="M884" s="2">
        <v>0</v>
      </c>
      <c r="N884" s="1">
        <v>0</v>
      </c>
      <c r="O884" s="1">
        <v>43</v>
      </c>
      <c r="P884" s="1">
        <v>43</v>
      </c>
      <c r="Q884" s="1" t="str">
        <f>IF(WEEKDAY(Bike_Sharing_Master6[[#This Row],[Dteday]],2)&gt;=6,"Weekend","Weekday")</f>
        <v>Weekday</v>
      </c>
      <c r="R884" s="1" t="str">
        <f xml:space="preserve"> IF(Bike_Sharing_Master6[[#This Row],[Hr]]&lt;6,"Late Night", IF(Bike_Sharing_Master6[[#This Row],[Hr]]&lt;10,"Morning Peak", IF(Bike_Sharing_Master6[[#This Row],[Hr]]&lt;17,"Daytime", IF(Bike_Sharing_Master6[[#This Row],[Hr]]&lt;21,"Evening Peak","Night"))))</f>
        <v>Morning Peak</v>
      </c>
      <c r="S884" s="1" t="str">
        <f>IF(Bike_Sharing_Master6[[#This Row],[Holiday]]=1,"Holiday","Non-Holiday")</f>
        <v>Non-Holiday</v>
      </c>
      <c r="T884" s="1" t="str">
        <f>IF(Bike_Sharing_Master6[[#This Row],[Cnt]]&lt;80,"Low",IF(Bike_Sharing_Master6[[#This Row],[Cnt]]&lt;160,"Medium","High"))</f>
        <v>Low</v>
      </c>
      <c r="U884" s="1" t="str">
        <f>VLOOKUP(Bike_Sharing_Master6[[#This Row],[Weathersit]],[1]Lookup_Weather!A:B,2,FALSE)</f>
        <v>Clear</v>
      </c>
    </row>
    <row r="885" spans="1:21" x14ac:dyDescent="0.3">
      <c r="A885">
        <v>884</v>
      </c>
      <c r="B885" s="3">
        <v>40583</v>
      </c>
      <c r="C885" s="1">
        <v>1</v>
      </c>
      <c r="D885" s="1">
        <v>0</v>
      </c>
      <c r="E885" s="1">
        <v>2</v>
      </c>
      <c r="F885" s="1">
        <v>7</v>
      </c>
      <c r="G885" t="b">
        <v>0</v>
      </c>
      <c r="H885" s="1">
        <v>3</v>
      </c>
      <c r="I885" s="1">
        <v>1</v>
      </c>
      <c r="J885" s="2">
        <v>0.06</v>
      </c>
      <c r="K885" s="2">
        <v>0.1061</v>
      </c>
      <c r="L885" s="2">
        <v>0.49</v>
      </c>
      <c r="M885" s="2">
        <v>0.1045</v>
      </c>
      <c r="N885" s="1">
        <v>4</v>
      </c>
      <c r="O885" s="1">
        <v>95</v>
      </c>
      <c r="P885" s="1">
        <v>99</v>
      </c>
      <c r="Q885" s="1" t="str">
        <f>IF(WEEKDAY(Bike_Sharing_Master6[[#This Row],[Dteday]],2)&gt;=6,"Weekend","Weekday")</f>
        <v>Weekday</v>
      </c>
      <c r="R885" s="1" t="str">
        <f xml:space="preserve"> IF(Bike_Sharing_Master6[[#This Row],[Hr]]&lt;6,"Late Night", IF(Bike_Sharing_Master6[[#This Row],[Hr]]&lt;10,"Morning Peak", IF(Bike_Sharing_Master6[[#This Row],[Hr]]&lt;17,"Daytime", IF(Bike_Sharing_Master6[[#This Row],[Hr]]&lt;21,"Evening Peak","Night"))))</f>
        <v>Morning Peak</v>
      </c>
      <c r="S885" s="1" t="str">
        <f>IF(Bike_Sharing_Master6[[#This Row],[Holiday]]=1,"Holiday","Non-Holiday")</f>
        <v>Non-Holiday</v>
      </c>
      <c r="T885" s="1" t="str">
        <f>IF(Bike_Sharing_Master6[[#This Row],[Cnt]]&lt;80,"Low",IF(Bike_Sharing_Master6[[#This Row],[Cnt]]&lt;160,"Medium","High"))</f>
        <v>Medium</v>
      </c>
      <c r="U885" s="1" t="str">
        <f>VLOOKUP(Bike_Sharing_Master6[[#This Row],[Weathersit]],[1]Lookup_Weather!A:B,2,FALSE)</f>
        <v>Clear</v>
      </c>
    </row>
    <row r="886" spans="1:21" x14ac:dyDescent="0.3">
      <c r="A886">
        <v>885</v>
      </c>
      <c r="B886" s="3">
        <v>40583</v>
      </c>
      <c r="C886" s="1">
        <v>1</v>
      </c>
      <c r="D886" s="1">
        <v>0</v>
      </c>
      <c r="E886" s="1">
        <v>2</v>
      </c>
      <c r="F886" s="1">
        <v>8</v>
      </c>
      <c r="G886" t="b">
        <v>0</v>
      </c>
      <c r="H886" s="1">
        <v>3</v>
      </c>
      <c r="I886" s="1">
        <v>1</v>
      </c>
      <c r="J886" s="2">
        <v>0.1</v>
      </c>
      <c r="K886" s="2">
        <v>0.13639999999999999</v>
      </c>
      <c r="L886" s="2">
        <v>0.42</v>
      </c>
      <c r="M886" s="2">
        <v>0</v>
      </c>
      <c r="N886" s="1">
        <v>1</v>
      </c>
      <c r="O886" s="1">
        <v>198</v>
      </c>
      <c r="P886" s="1">
        <v>199</v>
      </c>
      <c r="Q886" s="1" t="str">
        <f>IF(WEEKDAY(Bike_Sharing_Master6[[#This Row],[Dteday]],2)&gt;=6,"Weekend","Weekday")</f>
        <v>Weekday</v>
      </c>
      <c r="R886" s="1" t="str">
        <f xml:space="preserve"> IF(Bike_Sharing_Master6[[#This Row],[Hr]]&lt;6,"Late Night", IF(Bike_Sharing_Master6[[#This Row],[Hr]]&lt;10,"Morning Peak", IF(Bike_Sharing_Master6[[#This Row],[Hr]]&lt;17,"Daytime", IF(Bike_Sharing_Master6[[#This Row],[Hr]]&lt;21,"Evening Peak","Night"))))</f>
        <v>Morning Peak</v>
      </c>
      <c r="S886" s="1" t="str">
        <f>IF(Bike_Sharing_Master6[[#This Row],[Holiday]]=1,"Holiday","Non-Holiday")</f>
        <v>Non-Holiday</v>
      </c>
      <c r="T886" s="1" t="str">
        <f>IF(Bike_Sharing_Master6[[#This Row],[Cnt]]&lt;80,"Low",IF(Bike_Sharing_Master6[[#This Row],[Cnt]]&lt;160,"Medium","High"))</f>
        <v>High</v>
      </c>
      <c r="U886" s="1" t="str">
        <f>VLOOKUP(Bike_Sharing_Master6[[#This Row],[Weathersit]],[1]Lookup_Weather!A:B,2,FALSE)</f>
        <v>Clear</v>
      </c>
    </row>
    <row r="887" spans="1:21" x14ac:dyDescent="0.3">
      <c r="A887">
        <v>886</v>
      </c>
      <c r="B887" s="3">
        <v>40583</v>
      </c>
      <c r="C887" s="1">
        <v>1</v>
      </c>
      <c r="D887" s="1">
        <v>0</v>
      </c>
      <c r="E887" s="1">
        <v>2</v>
      </c>
      <c r="F887" s="1">
        <v>9</v>
      </c>
      <c r="G887" t="b">
        <v>0</v>
      </c>
      <c r="H887" s="1">
        <v>3</v>
      </c>
      <c r="I887" s="1">
        <v>1</v>
      </c>
      <c r="J887" s="2">
        <v>0.12</v>
      </c>
      <c r="K887" s="2">
        <v>0.13639999999999999</v>
      </c>
      <c r="L887" s="2">
        <v>0.39</v>
      </c>
      <c r="M887" s="2">
        <v>0.16420000000000001</v>
      </c>
      <c r="N887" s="1">
        <v>4</v>
      </c>
      <c r="O887" s="1">
        <v>119</v>
      </c>
      <c r="P887" s="1">
        <v>123</v>
      </c>
      <c r="Q887" s="1" t="str">
        <f>IF(WEEKDAY(Bike_Sharing_Master6[[#This Row],[Dteday]],2)&gt;=6,"Weekend","Weekday")</f>
        <v>Weekday</v>
      </c>
      <c r="R887" s="1" t="str">
        <f xml:space="preserve"> IF(Bike_Sharing_Master6[[#This Row],[Hr]]&lt;6,"Late Night", IF(Bike_Sharing_Master6[[#This Row],[Hr]]&lt;10,"Morning Peak", IF(Bike_Sharing_Master6[[#This Row],[Hr]]&lt;17,"Daytime", IF(Bike_Sharing_Master6[[#This Row],[Hr]]&lt;21,"Evening Peak","Night"))))</f>
        <v>Morning Peak</v>
      </c>
      <c r="S887" s="1" t="str">
        <f>IF(Bike_Sharing_Master6[[#This Row],[Holiday]]=1,"Holiday","Non-Holiday")</f>
        <v>Non-Holiday</v>
      </c>
      <c r="T887" s="1" t="str">
        <f>IF(Bike_Sharing_Master6[[#This Row],[Cnt]]&lt;80,"Low",IF(Bike_Sharing_Master6[[#This Row],[Cnt]]&lt;160,"Medium","High"))</f>
        <v>Medium</v>
      </c>
      <c r="U887" s="1" t="str">
        <f>VLOOKUP(Bike_Sharing_Master6[[#This Row],[Weathersit]],[1]Lookup_Weather!A:B,2,FALSE)</f>
        <v>Clear</v>
      </c>
    </row>
    <row r="888" spans="1:21" x14ac:dyDescent="0.3">
      <c r="A888">
        <v>887</v>
      </c>
      <c r="B888" s="3">
        <v>40583</v>
      </c>
      <c r="C888" s="1">
        <v>1</v>
      </c>
      <c r="D888" s="1">
        <v>0</v>
      </c>
      <c r="E888" s="1">
        <v>2</v>
      </c>
      <c r="F888" s="1">
        <v>10</v>
      </c>
      <c r="G888" t="b">
        <v>0</v>
      </c>
      <c r="H888" s="1">
        <v>3</v>
      </c>
      <c r="I888" s="1">
        <v>1</v>
      </c>
      <c r="J888" s="2">
        <v>0.14000000000000001</v>
      </c>
      <c r="K888" s="2">
        <v>0.18179999999999999</v>
      </c>
      <c r="L888" s="2">
        <v>0.36</v>
      </c>
      <c r="M888" s="2">
        <v>0</v>
      </c>
      <c r="N888" s="1">
        <v>8</v>
      </c>
      <c r="O888" s="1">
        <v>51</v>
      </c>
      <c r="P888" s="1">
        <v>59</v>
      </c>
      <c r="Q888" s="1" t="str">
        <f>IF(WEEKDAY(Bike_Sharing_Master6[[#This Row],[Dteday]],2)&gt;=6,"Weekend","Weekday")</f>
        <v>Weekday</v>
      </c>
      <c r="R888" s="1" t="str">
        <f xml:space="preserve"> IF(Bike_Sharing_Master6[[#This Row],[Hr]]&lt;6,"Late Night", IF(Bike_Sharing_Master6[[#This Row],[Hr]]&lt;10,"Morning Peak", IF(Bike_Sharing_Master6[[#This Row],[Hr]]&lt;17,"Daytime", IF(Bike_Sharing_Master6[[#This Row],[Hr]]&lt;21,"Evening Peak","Night"))))</f>
        <v>Daytime</v>
      </c>
      <c r="S888" s="1" t="str">
        <f>IF(Bike_Sharing_Master6[[#This Row],[Holiday]]=1,"Holiday","Non-Holiday")</f>
        <v>Non-Holiday</v>
      </c>
      <c r="T888" s="1" t="str">
        <f>IF(Bike_Sharing_Master6[[#This Row],[Cnt]]&lt;80,"Low",IF(Bike_Sharing_Master6[[#This Row],[Cnt]]&lt;160,"Medium","High"))</f>
        <v>Low</v>
      </c>
      <c r="U888" s="1" t="str">
        <f>VLOOKUP(Bike_Sharing_Master6[[#This Row],[Weathersit]],[1]Lookup_Weather!A:B,2,FALSE)</f>
        <v>Clear</v>
      </c>
    </row>
    <row r="889" spans="1:21" x14ac:dyDescent="0.3">
      <c r="A889">
        <v>888</v>
      </c>
      <c r="B889" s="3">
        <v>40583</v>
      </c>
      <c r="C889" s="1">
        <v>1</v>
      </c>
      <c r="D889" s="1">
        <v>0</v>
      </c>
      <c r="E889" s="1">
        <v>2</v>
      </c>
      <c r="F889" s="1">
        <v>11</v>
      </c>
      <c r="G889" t="b">
        <v>0</v>
      </c>
      <c r="H889" s="1">
        <v>3</v>
      </c>
      <c r="I889" s="1">
        <v>2</v>
      </c>
      <c r="J889" s="2">
        <v>0.14000000000000001</v>
      </c>
      <c r="K889" s="2">
        <v>0.1515</v>
      </c>
      <c r="L889" s="2">
        <v>0.43</v>
      </c>
      <c r="M889" s="2">
        <v>0.16420000000000001</v>
      </c>
      <c r="N889" s="1">
        <v>1</v>
      </c>
      <c r="O889" s="1">
        <v>40</v>
      </c>
      <c r="P889" s="1">
        <v>41</v>
      </c>
      <c r="Q889" s="1" t="str">
        <f>IF(WEEKDAY(Bike_Sharing_Master6[[#This Row],[Dteday]],2)&gt;=6,"Weekend","Weekday")</f>
        <v>Weekday</v>
      </c>
      <c r="R889" s="1" t="str">
        <f xml:space="preserve"> IF(Bike_Sharing_Master6[[#This Row],[Hr]]&lt;6,"Late Night", IF(Bike_Sharing_Master6[[#This Row],[Hr]]&lt;10,"Morning Peak", IF(Bike_Sharing_Master6[[#This Row],[Hr]]&lt;17,"Daytime", IF(Bike_Sharing_Master6[[#This Row],[Hr]]&lt;21,"Evening Peak","Night"))))</f>
        <v>Daytime</v>
      </c>
      <c r="S889" s="1" t="str">
        <f>IF(Bike_Sharing_Master6[[#This Row],[Holiday]]=1,"Holiday","Non-Holiday")</f>
        <v>Non-Holiday</v>
      </c>
      <c r="T889" s="1" t="str">
        <f>IF(Bike_Sharing_Master6[[#This Row],[Cnt]]&lt;80,"Low",IF(Bike_Sharing_Master6[[#This Row],[Cnt]]&lt;160,"Medium","High"))</f>
        <v>Low</v>
      </c>
      <c r="U889" s="1" t="str">
        <f>VLOOKUP(Bike_Sharing_Master6[[#This Row],[Weathersit]],[1]Lookup_Weather!A:B,2,FALSE)</f>
        <v>Mist</v>
      </c>
    </row>
    <row r="890" spans="1:21" x14ac:dyDescent="0.3">
      <c r="A890">
        <v>889</v>
      </c>
      <c r="B890" s="3">
        <v>40583</v>
      </c>
      <c r="C890" s="1">
        <v>1</v>
      </c>
      <c r="D890" s="1">
        <v>0</v>
      </c>
      <c r="E890" s="1">
        <v>2</v>
      </c>
      <c r="F890" s="1">
        <v>12</v>
      </c>
      <c r="G890" t="b">
        <v>0</v>
      </c>
      <c r="H890" s="1">
        <v>3</v>
      </c>
      <c r="I890" s="1">
        <v>2</v>
      </c>
      <c r="J890" s="2">
        <v>0.18</v>
      </c>
      <c r="K890" s="2">
        <v>0.18179999999999999</v>
      </c>
      <c r="L890" s="2">
        <v>0.4</v>
      </c>
      <c r="M890" s="2">
        <v>0.22389999999999999</v>
      </c>
      <c r="N890" s="1">
        <v>4</v>
      </c>
      <c r="O890" s="1">
        <v>57</v>
      </c>
      <c r="P890" s="1">
        <v>61</v>
      </c>
      <c r="Q890" s="1" t="str">
        <f>IF(WEEKDAY(Bike_Sharing_Master6[[#This Row],[Dteday]],2)&gt;=6,"Weekend","Weekday")</f>
        <v>Weekday</v>
      </c>
      <c r="R890" s="1" t="str">
        <f xml:space="preserve"> IF(Bike_Sharing_Master6[[#This Row],[Hr]]&lt;6,"Late Night", IF(Bike_Sharing_Master6[[#This Row],[Hr]]&lt;10,"Morning Peak", IF(Bike_Sharing_Master6[[#This Row],[Hr]]&lt;17,"Daytime", IF(Bike_Sharing_Master6[[#This Row],[Hr]]&lt;21,"Evening Peak","Night"))))</f>
        <v>Daytime</v>
      </c>
      <c r="S890" s="1" t="str">
        <f>IF(Bike_Sharing_Master6[[#This Row],[Holiday]]=1,"Holiday","Non-Holiday")</f>
        <v>Non-Holiday</v>
      </c>
      <c r="T890" s="1" t="str">
        <f>IF(Bike_Sharing_Master6[[#This Row],[Cnt]]&lt;80,"Low",IF(Bike_Sharing_Master6[[#This Row],[Cnt]]&lt;160,"Medium","High"))</f>
        <v>Low</v>
      </c>
      <c r="U890" s="1" t="str">
        <f>VLOOKUP(Bike_Sharing_Master6[[#This Row],[Weathersit]],[1]Lookup_Weather!A:B,2,FALSE)</f>
        <v>Mist</v>
      </c>
    </row>
    <row r="891" spans="1:21" x14ac:dyDescent="0.3">
      <c r="A891">
        <v>890</v>
      </c>
      <c r="B891" s="3">
        <v>40583</v>
      </c>
      <c r="C891" s="1">
        <v>1</v>
      </c>
      <c r="D891" s="1">
        <v>0</v>
      </c>
      <c r="E891" s="1">
        <v>2</v>
      </c>
      <c r="F891" s="1">
        <v>13</v>
      </c>
      <c r="G891" t="b">
        <v>0</v>
      </c>
      <c r="H891" s="1">
        <v>3</v>
      </c>
      <c r="I891" s="1">
        <v>1</v>
      </c>
      <c r="J891" s="2">
        <v>0.18</v>
      </c>
      <c r="K891" s="2">
        <v>0.16669999999999999</v>
      </c>
      <c r="L891" s="2">
        <v>0.4</v>
      </c>
      <c r="M891" s="2">
        <v>0.25369999999999998</v>
      </c>
      <c r="N891" s="1">
        <v>2</v>
      </c>
      <c r="O891" s="1">
        <v>67</v>
      </c>
      <c r="P891" s="1">
        <v>69</v>
      </c>
      <c r="Q891" s="1" t="str">
        <f>IF(WEEKDAY(Bike_Sharing_Master6[[#This Row],[Dteday]],2)&gt;=6,"Weekend","Weekday")</f>
        <v>Weekday</v>
      </c>
      <c r="R891" s="1" t="str">
        <f xml:space="preserve"> IF(Bike_Sharing_Master6[[#This Row],[Hr]]&lt;6,"Late Night", IF(Bike_Sharing_Master6[[#This Row],[Hr]]&lt;10,"Morning Peak", IF(Bike_Sharing_Master6[[#This Row],[Hr]]&lt;17,"Daytime", IF(Bike_Sharing_Master6[[#This Row],[Hr]]&lt;21,"Evening Peak","Night"))))</f>
        <v>Daytime</v>
      </c>
      <c r="S891" s="1" t="str">
        <f>IF(Bike_Sharing_Master6[[#This Row],[Holiday]]=1,"Holiday","Non-Holiday")</f>
        <v>Non-Holiday</v>
      </c>
      <c r="T891" s="1" t="str">
        <f>IF(Bike_Sharing_Master6[[#This Row],[Cnt]]&lt;80,"Low",IF(Bike_Sharing_Master6[[#This Row],[Cnt]]&lt;160,"Medium","High"))</f>
        <v>Low</v>
      </c>
      <c r="U891" s="1" t="str">
        <f>VLOOKUP(Bike_Sharing_Master6[[#This Row],[Weathersit]],[1]Lookup_Weather!A:B,2,FALSE)</f>
        <v>Clear</v>
      </c>
    </row>
    <row r="892" spans="1:21" x14ac:dyDescent="0.3">
      <c r="A892">
        <v>891</v>
      </c>
      <c r="B892" s="3">
        <v>40583</v>
      </c>
      <c r="C892" s="1">
        <v>1</v>
      </c>
      <c r="D892" s="1">
        <v>0</v>
      </c>
      <c r="E892" s="1">
        <v>2</v>
      </c>
      <c r="F892" s="1">
        <v>14</v>
      </c>
      <c r="G892" t="b">
        <v>0</v>
      </c>
      <c r="H892" s="1">
        <v>3</v>
      </c>
      <c r="I892" s="1">
        <v>1</v>
      </c>
      <c r="J892" s="2">
        <v>0.2</v>
      </c>
      <c r="K892" s="2">
        <v>0.18179999999999999</v>
      </c>
      <c r="L892" s="2">
        <v>0.34</v>
      </c>
      <c r="M892" s="2">
        <v>0.29849999999999999</v>
      </c>
      <c r="N892" s="1">
        <v>2</v>
      </c>
      <c r="O892" s="1">
        <v>56</v>
      </c>
      <c r="P892" s="1">
        <v>58</v>
      </c>
      <c r="Q892" s="1" t="str">
        <f>IF(WEEKDAY(Bike_Sharing_Master6[[#This Row],[Dteday]],2)&gt;=6,"Weekend","Weekday")</f>
        <v>Weekday</v>
      </c>
      <c r="R892" s="1" t="str">
        <f xml:space="preserve"> IF(Bike_Sharing_Master6[[#This Row],[Hr]]&lt;6,"Late Night", IF(Bike_Sharing_Master6[[#This Row],[Hr]]&lt;10,"Morning Peak", IF(Bike_Sharing_Master6[[#This Row],[Hr]]&lt;17,"Daytime", IF(Bike_Sharing_Master6[[#This Row],[Hr]]&lt;21,"Evening Peak","Night"))))</f>
        <v>Daytime</v>
      </c>
      <c r="S892" s="1" t="str">
        <f>IF(Bike_Sharing_Master6[[#This Row],[Holiday]]=1,"Holiday","Non-Holiday")</f>
        <v>Non-Holiday</v>
      </c>
      <c r="T892" s="1" t="str">
        <f>IF(Bike_Sharing_Master6[[#This Row],[Cnt]]&lt;80,"Low",IF(Bike_Sharing_Master6[[#This Row],[Cnt]]&lt;160,"Medium","High"))</f>
        <v>Low</v>
      </c>
      <c r="U892" s="1" t="str">
        <f>VLOOKUP(Bike_Sharing_Master6[[#This Row],[Weathersit]],[1]Lookup_Weather!A:B,2,FALSE)</f>
        <v>Clear</v>
      </c>
    </row>
    <row r="893" spans="1:21" x14ac:dyDescent="0.3">
      <c r="A893">
        <v>892</v>
      </c>
      <c r="B893" s="3">
        <v>40583</v>
      </c>
      <c r="C893" s="1">
        <v>1</v>
      </c>
      <c r="D893" s="1">
        <v>0</v>
      </c>
      <c r="E893" s="1">
        <v>2</v>
      </c>
      <c r="F893" s="1">
        <v>15</v>
      </c>
      <c r="G893" t="b">
        <v>0</v>
      </c>
      <c r="H893" s="1">
        <v>3</v>
      </c>
      <c r="I893" s="1">
        <v>2</v>
      </c>
      <c r="J893" s="2">
        <v>0.2</v>
      </c>
      <c r="K893" s="2">
        <v>0.18179999999999999</v>
      </c>
      <c r="L893" s="2">
        <v>0.34</v>
      </c>
      <c r="M893" s="2">
        <v>0.28360000000000002</v>
      </c>
      <c r="N893" s="1">
        <v>3</v>
      </c>
      <c r="O893" s="1">
        <v>61</v>
      </c>
      <c r="P893" s="1">
        <v>64</v>
      </c>
      <c r="Q893" s="1" t="str">
        <f>IF(WEEKDAY(Bike_Sharing_Master6[[#This Row],[Dteday]],2)&gt;=6,"Weekend","Weekday")</f>
        <v>Weekday</v>
      </c>
      <c r="R893" s="1" t="str">
        <f xml:space="preserve"> IF(Bike_Sharing_Master6[[#This Row],[Hr]]&lt;6,"Late Night", IF(Bike_Sharing_Master6[[#This Row],[Hr]]&lt;10,"Morning Peak", IF(Bike_Sharing_Master6[[#This Row],[Hr]]&lt;17,"Daytime", IF(Bike_Sharing_Master6[[#This Row],[Hr]]&lt;21,"Evening Peak","Night"))))</f>
        <v>Daytime</v>
      </c>
      <c r="S893" s="1" t="str">
        <f>IF(Bike_Sharing_Master6[[#This Row],[Holiday]]=1,"Holiday","Non-Holiday")</f>
        <v>Non-Holiday</v>
      </c>
      <c r="T893" s="1" t="str">
        <f>IF(Bike_Sharing_Master6[[#This Row],[Cnt]]&lt;80,"Low",IF(Bike_Sharing_Master6[[#This Row],[Cnt]]&lt;160,"Medium","High"))</f>
        <v>Low</v>
      </c>
      <c r="U893" s="1" t="str">
        <f>VLOOKUP(Bike_Sharing_Master6[[#This Row],[Weathersit]],[1]Lookup_Weather!A:B,2,FALSE)</f>
        <v>Mist</v>
      </c>
    </row>
    <row r="894" spans="1:21" x14ac:dyDescent="0.3">
      <c r="A894">
        <v>893</v>
      </c>
      <c r="B894" s="3">
        <v>40583</v>
      </c>
      <c r="C894" s="1">
        <v>1</v>
      </c>
      <c r="D894" s="1">
        <v>0</v>
      </c>
      <c r="E894" s="1">
        <v>2</v>
      </c>
      <c r="F894" s="1">
        <v>16</v>
      </c>
      <c r="G894" t="b">
        <v>0</v>
      </c>
      <c r="H894" s="1">
        <v>3</v>
      </c>
      <c r="I894" s="1">
        <v>2</v>
      </c>
      <c r="J894" s="2">
        <v>0.2</v>
      </c>
      <c r="K894" s="2">
        <v>0.19700000000000001</v>
      </c>
      <c r="L894" s="2">
        <v>0.37</v>
      </c>
      <c r="M894" s="2">
        <v>0.25369999999999998</v>
      </c>
      <c r="N894" s="1">
        <v>7</v>
      </c>
      <c r="O894" s="1">
        <v>72</v>
      </c>
      <c r="P894" s="1">
        <v>79</v>
      </c>
      <c r="Q894" s="1" t="str">
        <f>IF(WEEKDAY(Bike_Sharing_Master6[[#This Row],[Dteday]],2)&gt;=6,"Weekend","Weekday")</f>
        <v>Weekday</v>
      </c>
      <c r="R894" s="1" t="str">
        <f xml:space="preserve"> IF(Bike_Sharing_Master6[[#This Row],[Hr]]&lt;6,"Late Night", IF(Bike_Sharing_Master6[[#This Row],[Hr]]&lt;10,"Morning Peak", IF(Bike_Sharing_Master6[[#This Row],[Hr]]&lt;17,"Daytime", IF(Bike_Sharing_Master6[[#This Row],[Hr]]&lt;21,"Evening Peak","Night"))))</f>
        <v>Daytime</v>
      </c>
      <c r="S894" s="1" t="str">
        <f>IF(Bike_Sharing_Master6[[#This Row],[Holiday]]=1,"Holiday","Non-Holiday")</f>
        <v>Non-Holiday</v>
      </c>
      <c r="T894" s="1" t="str">
        <f>IF(Bike_Sharing_Master6[[#This Row],[Cnt]]&lt;80,"Low",IF(Bike_Sharing_Master6[[#This Row],[Cnt]]&lt;160,"Medium","High"))</f>
        <v>Low</v>
      </c>
      <c r="U894" s="1" t="str">
        <f>VLOOKUP(Bike_Sharing_Master6[[#This Row],[Weathersit]],[1]Lookup_Weather!A:B,2,FALSE)</f>
        <v>Mist</v>
      </c>
    </row>
    <row r="895" spans="1:21" x14ac:dyDescent="0.3">
      <c r="A895">
        <v>894</v>
      </c>
      <c r="B895" s="3">
        <v>40583</v>
      </c>
      <c r="C895" s="1">
        <v>1</v>
      </c>
      <c r="D895" s="1">
        <v>0</v>
      </c>
      <c r="E895" s="1">
        <v>2</v>
      </c>
      <c r="F895" s="1">
        <v>17</v>
      </c>
      <c r="G895" t="b">
        <v>0</v>
      </c>
      <c r="H895" s="1">
        <v>3</v>
      </c>
      <c r="I895" s="1">
        <v>2</v>
      </c>
      <c r="J895" s="2">
        <v>0.2</v>
      </c>
      <c r="K895" s="2">
        <v>0.19700000000000001</v>
      </c>
      <c r="L895" s="2">
        <v>0.34</v>
      </c>
      <c r="M895" s="2">
        <v>0.25369999999999998</v>
      </c>
      <c r="N895" s="1">
        <v>9</v>
      </c>
      <c r="O895" s="1">
        <v>157</v>
      </c>
      <c r="P895" s="1">
        <v>166</v>
      </c>
      <c r="Q895" s="1" t="str">
        <f>IF(WEEKDAY(Bike_Sharing_Master6[[#This Row],[Dteday]],2)&gt;=6,"Weekend","Weekday")</f>
        <v>Weekday</v>
      </c>
      <c r="R895" s="1" t="str">
        <f xml:space="preserve"> IF(Bike_Sharing_Master6[[#This Row],[Hr]]&lt;6,"Late Night", IF(Bike_Sharing_Master6[[#This Row],[Hr]]&lt;10,"Morning Peak", IF(Bike_Sharing_Master6[[#This Row],[Hr]]&lt;17,"Daytime", IF(Bike_Sharing_Master6[[#This Row],[Hr]]&lt;21,"Evening Peak","Night"))))</f>
        <v>Evening Peak</v>
      </c>
      <c r="S895" s="1" t="str">
        <f>IF(Bike_Sharing_Master6[[#This Row],[Holiday]]=1,"Holiday","Non-Holiday")</f>
        <v>Non-Holiday</v>
      </c>
      <c r="T895" s="1" t="str">
        <f>IF(Bike_Sharing_Master6[[#This Row],[Cnt]]&lt;80,"Low",IF(Bike_Sharing_Master6[[#This Row],[Cnt]]&lt;160,"Medium","High"))</f>
        <v>High</v>
      </c>
      <c r="U895" s="1" t="str">
        <f>VLOOKUP(Bike_Sharing_Master6[[#This Row],[Weathersit]],[1]Lookup_Weather!A:B,2,FALSE)</f>
        <v>Mist</v>
      </c>
    </row>
    <row r="896" spans="1:21" x14ac:dyDescent="0.3">
      <c r="A896">
        <v>895</v>
      </c>
      <c r="B896" s="3">
        <v>40583</v>
      </c>
      <c r="C896" s="1">
        <v>1</v>
      </c>
      <c r="D896" s="1">
        <v>0</v>
      </c>
      <c r="E896" s="1">
        <v>2</v>
      </c>
      <c r="F896" s="1">
        <v>18</v>
      </c>
      <c r="G896" t="b">
        <v>0</v>
      </c>
      <c r="H896" s="1">
        <v>3</v>
      </c>
      <c r="I896" s="1">
        <v>2</v>
      </c>
      <c r="J896" s="2">
        <v>0.18</v>
      </c>
      <c r="K896" s="2">
        <v>0.16669999999999999</v>
      </c>
      <c r="L896" s="2">
        <v>0.47</v>
      </c>
      <c r="M896" s="2">
        <v>0.29849999999999999</v>
      </c>
      <c r="N896" s="1">
        <v>2</v>
      </c>
      <c r="O896" s="1">
        <v>168</v>
      </c>
      <c r="P896" s="1">
        <v>170</v>
      </c>
      <c r="Q896" s="1" t="str">
        <f>IF(WEEKDAY(Bike_Sharing_Master6[[#This Row],[Dteday]],2)&gt;=6,"Weekend","Weekday")</f>
        <v>Weekday</v>
      </c>
      <c r="R896" s="1" t="str">
        <f xml:space="preserve"> IF(Bike_Sharing_Master6[[#This Row],[Hr]]&lt;6,"Late Night", IF(Bike_Sharing_Master6[[#This Row],[Hr]]&lt;10,"Morning Peak", IF(Bike_Sharing_Master6[[#This Row],[Hr]]&lt;17,"Daytime", IF(Bike_Sharing_Master6[[#This Row],[Hr]]&lt;21,"Evening Peak","Night"))))</f>
        <v>Evening Peak</v>
      </c>
      <c r="S896" s="1" t="str">
        <f>IF(Bike_Sharing_Master6[[#This Row],[Holiday]]=1,"Holiday","Non-Holiday")</f>
        <v>Non-Holiday</v>
      </c>
      <c r="T896" s="1" t="str">
        <f>IF(Bike_Sharing_Master6[[#This Row],[Cnt]]&lt;80,"Low",IF(Bike_Sharing_Master6[[#This Row],[Cnt]]&lt;160,"Medium","High"))</f>
        <v>High</v>
      </c>
      <c r="U896" s="1" t="str">
        <f>VLOOKUP(Bike_Sharing_Master6[[#This Row],[Weathersit]],[1]Lookup_Weather!A:B,2,FALSE)</f>
        <v>Mist</v>
      </c>
    </row>
    <row r="897" spans="1:21" x14ac:dyDescent="0.3">
      <c r="A897">
        <v>896</v>
      </c>
      <c r="B897" s="3">
        <v>40583</v>
      </c>
      <c r="C897" s="1">
        <v>1</v>
      </c>
      <c r="D897" s="1">
        <v>0</v>
      </c>
      <c r="E897" s="1">
        <v>2</v>
      </c>
      <c r="F897" s="1">
        <v>19</v>
      </c>
      <c r="G897" t="b">
        <v>0</v>
      </c>
      <c r="H897" s="1">
        <v>3</v>
      </c>
      <c r="I897" s="1">
        <v>3</v>
      </c>
      <c r="J897" s="2">
        <v>0.14000000000000001</v>
      </c>
      <c r="K897" s="2">
        <v>0.1212</v>
      </c>
      <c r="L897" s="2">
        <v>0.86</v>
      </c>
      <c r="M897" s="2">
        <v>0.25369999999999998</v>
      </c>
      <c r="N897" s="1">
        <v>1</v>
      </c>
      <c r="O897" s="1">
        <v>87</v>
      </c>
      <c r="P897" s="1">
        <v>88</v>
      </c>
      <c r="Q897" s="1" t="str">
        <f>IF(WEEKDAY(Bike_Sharing_Master6[[#This Row],[Dteday]],2)&gt;=6,"Weekend","Weekday")</f>
        <v>Weekday</v>
      </c>
      <c r="R897" s="1" t="str">
        <f xml:space="preserve"> IF(Bike_Sharing_Master6[[#This Row],[Hr]]&lt;6,"Late Night", IF(Bike_Sharing_Master6[[#This Row],[Hr]]&lt;10,"Morning Peak", IF(Bike_Sharing_Master6[[#This Row],[Hr]]&lt;17,"Daytime", IF(Bike_Sharing_Master6[[#This Row],[Hr]]&lt;21,"Evening Peak","Night"))))</f>
        <v>Evening Peak</v>
      </c>
      <c r="S897" s="1" t="str">
        <f>IF(Bike_Sharing_Master6[[#This Row],[Holiday]]=1,"Holiday","Non-Holiday")</f>
        <v>Non-Holiday</v>
      </c>
      <c r="T897" s="1" t="str">
        <f>IF(Bike_Sharing_Master6[[#This Row],[Cnt]]&lt;80,"Low",IF(Bike_Sharing_Master6[[#This Row],[Cnt]]&lt;160,"Medium","High"))</f>
        <v>Medium</v>
      </c>
      <c r="U897" s="1" t="str">
        <f>VLOOKUP(Bike_Sharing_Master6[[#This Row],[Weathersit]],[1]Lookup_Weather!A:B,2,FALSE)</f>
        <v>Light Rain</v>
      </c>
    </row>
    <row r="898" spans="1:21" x14ac:dyDescent="0.3">
      <c r="A898">
        <v>897</v>
      </c>
      <c r="B898" s="3">
        <v>40583</v>
      </c>
      <c r="C898" s="1">
        <v>1</v>
      </c>
      <c r="D898" s="1">
        <v>0</v>
      </c>
      <c r="E898" s="1">
        <v>2</v>
      </c>
      <c r="F898" s="1">
        <v>20</v>
      </c>
      <c r="G898" t="b">
        <v>0</v>
      </c>
      <c r="H898" s="1">
        <v>3</v>
      </c>
      <c r="I898" s="1">
        <v>3</v>
      </c>
      <c r="J898" s="2">
        <v>0.14000000000000001</v>
      </c>
      <c r="K898" s="2">
        <v>0.1515</v>
      </c>
      <c r="L898" s="2">
        <v>0.86</v>
      </c>
      <c r="M898" s="2">
        <v>0.16420000000000001</v>
      </c>
      <c r="N898" s="1">
        <v>0</v>
      </c>
      <c r="O898" s="1">
        <v>84</v>
      </c>
      <c r="P898" s="1">
        <v>84</v>
      </c>
      <c r="Q898" s="1" t="str">
        <f>IF(WEEKDAY(Bike_Sharing_Master6[[#This Row],[Dteday]],2)&gt;=6,"Weekend","Weekday")</f>
        <v>Weekday</v>
      </c>
      <c r="R898" s="1" t="str">
        <f xml:space="preserve"> IF(Bike_Sharing_Master6[[#This Row],[Hr]]&lt;6,"Late Night", IF(Bike_Sharing_Master6[[#This Row],[Hr]]&lt;10,"Morning Peak", IF(Bike_Sharing_Master6[[#This Row],[Hr]]&lt;17,"Daytime", IF(Bike_Sharing_Master6[[#This Row],[Hr]]&lt;21,"Evening Peak","Night"))))</f>
        <v>Evening Peak</v>
      </c>
      <c r="S898" s="1" t="str">
        <f>IF(Bike_Sharing_Master6[[#This Row],[Holiday]]=1,"Holiday","Non-Holiday")</f>
        <v>Non-Holiday</v>
      </c>
      <c r="T898" s="1" t="str">
        <f>IF(Bike_Sharing_Master6[[#This Row],[Cnt]]&lt;80,"Low",IF(Bike_Sharing_Master6[[#This Row],[Cnt]]&lt;160,"Medium","High"))</f>
        <v>Medium</v>
      </c>
      <c r="U898" s="1" t="str">
        <f>VLOOKUP(Bike_Sharing_Master6[[#This Row],[Weathersit]],[1]Lookup_Weather!A:B,2,FALSE)</f>
        <v>Light Rain</v>
      </c>
    </row>
    <row r="899" spans="1:21" x14ac:dyDescent="0.3">
      <c r="A899">
        <v>898</v>
      </c>
      <c r="B899" s="3">
        <v>40583</v>
      </c>
      <c r="C899" s="1">
        <v>1</v>
      </c>
      <c r="D899" s="1">
        <v>0</v>
      </c>
      <c r="E899" s="1">
        <v>2</v>
      </c>
      <c r="F899" s="1">
        <v>21</v>
      </c>
      <c r="G899" t="b">
        <v>0</v>
      </c>
      <c r="H899" s="1">
        <v>3</v>
      </c>
      <c r="I899" s="1">
        <v>2</v>
      </c>
      <c r="J899" s="2">
        <v>0.14000000000000001</v>
      </c>
      <c r="K899" s="2">
        <v>0.1515</v>
      </c>
      <c r="L899" s="2">
        <v>0.86</v>
      </c>
      <c r="M899" s="2">
        <v>0.16420000000000001</v>
      </c>
      <c r="N899" s="1">
        <v>0</v>
      </c>
      <c r="O899" s="1">
        <v>83</v>
      </c>
      <c r="P899" s="1">
        <v>83</v>
      </c>
      <c r="Q899" s="1" t="str">
        <f>IF(WEEKDAY(Bike_Sharing_Master6[[#This Row],[Dteday]],2)&gt;=6,"Weekend","Weekday")</f>
        <v>Weekday</v>
      </c>
      <c r="R899" s="1" t="str">
        <f xml:space="preserve"> IF(Bike_Sharing_Master6[[#This Row],[Hr]]&lt;6,"Late Night", IF(Bike_Sharing_Master6[[#This Row],[Hr]]&lt;10,"Morning Peak", IF(Bike_Sharing_Master6[[#This Row],[Hr]]&lt;17,"Daytime", IF(Bike_Sharing_Master6[[#This Row],[Hr]]&lt;21,"Evening Peak","Night"))))</f>
        <v>Night</v>
      </c>
      <c r="S899" s="1" t="str">
        <f>IF(Bike_Sharing_Master6[[#This Row],[Holiday]]=1,"Holiday","Non-Holiday")</f>
        <v>Non-Holiday</v>
      </c>
      <c r="T899" s="1" t="str">
        <f>IF(Bike_Sharing_Master6[[#This Row],[Cnt]]&lt;80,"Low",IF(Bike_Sharing_Master6[[#This Row],[Cnt]]&lt;160,"Medium","High"))</f>
        <v>Medium</v>
      </c>
      <c r="U899" s="1" t="str">
        <f>VLOOKUP(Bike_Sharing_Master6[[#This Row],[Weathersit]],[1]Lookup_Weather!A:B,2,FALSE)</f>
        <v>Mist</v>
      </c>
    </row>
    <row r="900" spans="1:21" x14ac:dyDescent="0.3">
      <c r="A900">
        <v>899</v>
      </c>
      <c r="B900" s="3">
        <v>40583</v>
      </c>
      <c r="C900" s="1">
        <v>1</v>
      </c>
      <c r="D900" s="1">
        <v>0</v>
      </c>
      <c r="E900" s="1">
        <v>2</v>
      </c>
      <c r="F900" s="1">
        <v>22</v>
      </c>
      <c r="G900" t="b">
        <v>0</v>
      </c>
      <c r="H900" s="1">
        <v>3</v>
      </c>
      <c r="I900" s="1">
        <v>3</v>
      </c>
      <c r="J900" s="2">
        <v>0.16</v>
      </c>
      <c r="K900" s="2">
        <v>0.16669999999999999</v>
      </c>
      <c r="L900" s="2">
        <v>0.8</v>
      </c>
      <c r="M900" s="2">
        <v>0.16420000000000001</v>
      </c>
      <c r="N900" s="1">
        <v>4</v>
      </c>
      <c r="O900" s="1">
        <v>42</v>
      </c>
      <c r="P900" s="1">
        <v>46</v>
      </c>
      <c r="Q900" s="1" t="str">
        <f>IF(WEEKDAY(Bike_Sharing_Master6[[#This Row],[Dteday]],2)&gt;=6,"Weekend","Weekday")</f>
        <v>Weekday</v>
      </c>
      <c r="R900" s="1" t="str">
        <f xml:space="preserve"> IF(Bike_Sharing_Master6[[#This Row],[Hr]]&lt;6,"Late Night", IF(Bike_Sharing_Master6[[#This Row],[Hr]]&lt;10,"Morning Peak", IF(Bike_Sharing_Master6[[#This Row],[Hr]]&lt;17,"Daytime", IF(Bike_Sharing_Master6[[#This Row],[Hr]]&lt;21,"Evening Peak","Night"))))</f>
        <v>Night</v>
      </c>
      <c r="S900" s="1" t="str">
        <f>IF(Bike_Sharing_Master6[[#This Row],[Holiday]]=1,"Holiday","Non-Holiday")</f>
        <v>Non-Holiday</v>
      </c>
      <c r="T900" s="1" t="str">
        <f>IF(Bike_Sharing_Master6[[#This Row],[Cnt]]&lt;80,"Low",IF(Bike_Sharing_Master6[[#This Row],[Cnt]]&lt;160,"Medium","High"))</f>
        <v>Low</v>
      </c>
      <c r="U900" s="1" t="str">
        <f>VLOOKUP(Bike_Sharing_Master6[[#This Row],[Weathersit]],[1]Lookup_Weather!A:B,2,FALSE)</f>
        <v>Light Rain</v>
      </c>
    </row>
    <row r="901" spans="1:21" x14ac:dyDescent="0.3">
      <c r="A901">
        <v>900</v>
      </c>
      <c r="B901" s="3">
        <v>40583</v>
      </c>
      <c r="C901" s="1">
        <v>1</v>
      </c>
      <c r="D901" s="1">
        <v>0</v>
      </c>
      <c r="E901" s="1">
        <v>2</v>
      </c>
      <c r="F901" s="1">
        <v>23</v>
      </c>
      <c r="G901" t="b">
        <v>0</v>
      </c>
      <c r="H901" s="1">
        <v>3</v>
      </c>
      <c r="I901" s="1">
        <v>3</v>
      </c>
      <c r="J901" s="2">
        <v>0.16</v>
      </c>
      <c r="K901" s="2">
        <v>0.1515</v>
      </c>
      <c r="L901" s="2">
        <v>0.8</v>
      </c>
      <c r="M901" s="2">
        <v>0.19400000000000001</v>
      </c>
      <c r="N901" s="1">
        <v>0</v>
      </c>
      <c r="O901" s="1">
        <v>37</v>
      </c>
      <c r="P901" s="1">
        <v>37</v>
      </c>
      <c r="Q901" s="1" t="str">
        <f>IF(WEEKDAY(Bike_Sharing_Master6[[#This Row],[Dteday]],2)&gt;=6,"Weekend","Weekday")</f>
        <v>Weekday</v>
      </c>
      <c r="R901" s="1" t="str">
        <f xml:space="preserve"> IF(Bike_Sharing_Master6[[#This Row],[Hr]]&lt;6,"Late Night", IF(Bike_Sharing_Master6[[#This Row],[Hr]]&lt;10,"Morning Peak", IF(Bike_Sharing_Master6[[#This Row],[Hr]]&lt;17,"Daytime", IF(Bike_Sharing_Master6[[#This Row],[Hr]]&lt;21,"Evening Peak","Night"))))</f>
        <v>Night</v>
      </c>
      <c r="S901" s="1" t="str">
        <f>IF(Bike_Sharing_Master6[[#This Row],[Holiday]]=1,"Holiday","Non-Holiday")</f>
        <v>Non-Holiday</v>
      </c>
      <c r="T901" s="1" t="str">
        <f>IF(Bike_Sharing_Master6[[#This Row],[Cnt]]&lt;80,"Low",IF(Bike_Sharing_Master6[[#This Row],[Cnt]]&lt;160,"Medium","High"))</f>
        <v>Low</v>
      </c>
      <c r="U901" s="1" t="str">
        <f>VLOOKUP(Bike_Sharing_Master6[[#This Row],[Weathersit]],[1]Lookup_Weather!A:B,2,FALSE)</f>
        <v>Light Rain</v>
      </c>
    </row>
    <row r="902" spans="1:21" x14ac:dyDescent="0.3">
      <c r="A902">
        <v>901</v>
      </c>
      <c r="B902" s="3">
        <v>40584</v>
      </c>
      <c r="C902" s="1">
        <v>1</v>
      </c>
      <c r="D902" s="1">
        <v>0</v>
      </c>
      <c r="E902" s="1">
        <v>2</v>
      </c>
      <c r="F902" s="1">
        <v>0</v>
      </c>
      <c r="G902" t="b">
        <v>0</v>
      </c>
      <c r="H902" s="1">
        <v>4</v>
      </c>
      <c r="I902" s="1">
        <v>3</v>
      </c>
      <c r="J902" s="2">
        <v>0.14000000000000001</v>
      </c>
      <c r="K902" s="2">
        <v>0.13639999999999999</v>
      </c>
      <c r="L902" s="2">
        <v>0.86</v>
      </c>
      <c r="M902" s="2">
        <v>0.19400000000000001</v>
      </c>
      <c r="N902" s="1">
        <v>0</v>
      </c>
      <c r="O902" s="1">
        <v>16</v>
      </c>
      <c r="P902" s="1">
        <v>16</v>
      </c>
      <c r="Q902" s="1" t="str">
        <f>IF(WEEKDAY(Bike_Sharing_Master6[[#This Row],[Dteday]],2)&gt;=6,"Weekend","Weekday")</f>
        <v>Weekday</v>
      </c>
      <c r="R902" s="1" t="str">
        <f xml:space="preserve"> IF(Bike_Sharing_Master6[[#This Row],[Hr]]&lt;6,"Late Night", IF(Bike_Sharing_Master6[[#This Row],[Hr]]&lt;10,"Morning Peak", IF(Bike_Sharing_Master6[[#This Row],[Hr]]&lt;17,"Daytime", IF(Bike_Sharing_Master6[[#This Row],[Hr]]&lt;21,"Evening Peak","Night"))))</f>
        <v>Late Night</v>
      </c>
      <c r="S902" s="1" t="str">
        <f>IF(Bike_Sharing_Master6[[#This Row],[Holiday]]=1,"Holiday","Non-Holiday")</f>
        <v>Non-Holiday</v>
      </c>
      <c r="T902" s="1" t="str">
        <f>IF(Bike_Sharing_Master6[[#This Row],[Cnt]]&lt;80,"Low",IF(Bike_Sharing_Master6[[#This Row],[Cnt]]&lt;160,"Medium","High"))</f>
        <v>Low</v>
      </c>
      <c r="U902" s="1" t="str">
        <f>VLOOKUP(Bike_Sharing_Master6[[#This Row],[Weathersit]],[1]Lookup_Weather!A:B,2,FALSE)</f>
        <v>Light Rain</v>
      </c>
    </row>
    <row r="903" spans="1:21" x14ac:dyDescent="0.3">
      <c r="A903">
        <v>902</v>
      </c>
      <c r="B903" s="3">
        <v>40584</v>
      </c>
      <c r="C903" s="1">
        <v>1</v>
      </c>
      <c r="D903" s="1">
        <v>0</v>
      </c>
      <c r="E903" s="1">
        <v>2</v>
      </c>
      <c r="F903" s="1">
        <v>1</v>
      </c>
      <c r="G903" t="b">
        <v>0</v>
      </c>
      <c r="H903" s="1">
        <v>4</v>
      </c>
      <c r="I903" s="1">
        <v>3</v>
      </c>
      <c r="J903" s="2">
        <v>0.14000000000000001</v>
      </c>
      <c r="K903" s="2">
        <v>0.1515</v>
      </c>
      <c r="L903" s="2">
        <v>0.8</v>
      </c>
      <c r="M903" s="2">
        <v>0.1343</v>
      </c>
      <c r="N903" s="1">
        <v>0</v>
      </c>
      <c r="O903" s="1">
        <v>7</v>
      </c>
      <c r="P903" s="1">
        <v>7</v>
      </c>
      <c r="Q903" s="1" t="str">
        <f>IF(WEEKDAY(Bike_Sharing_Master6[[#This Row],[Dteday]],2)&gt;=6,"Weekend","Weekday")</f>
        <v>Weekday</v>
      </c>
      <c r="R903" s="1" t="str">
        <f xml:space="preserve"> IF(Bike_Sharing_Master6[[#This Row],[Hr]]&lt;6,"Late Night", IF(Bike_Sharing_Master6[[#This Row],[Hr]]&lt;10,"Morning Peak", IF(Bike_Sharing_Master6[[#This Row],[Hr]]&lt;17,"Daytime", IF(Bike_Sharing_Master6[[#This Row],[Hr]]&lt;21,"Evening Peak","Night"))))</f>
        <v>Late Night</v>
      </c>
      <c r="S903" s="1" t="str">
        <f>IF(Bike_Sharing_Master6[[#This Row],[Holiday]]=1,"Holiday","Non-Holiday")</f>
        <v>Non-Holiday</v>
      </c>
      <c r="T903" s="1" t="str">
        <f>IF(Bike_Sharing_Master6[[#This Row],[Cnt]]&lt;80,"Low",IF(Bike_Sharing_Master6[[#This Row],[Cnt]]&lt;160,"Medium","High"))</f>
        <v>Low</v>
      </c>
      <c r="U903" s="1" t="str">
        <f>VLOOKUP(Bike_Sharing_Master6[[#This Row],[Weathersit]],[1]Lookup_Weather!A:B,2,FALSE)</f>
        <v>Light Rain</v>
      </c>
    </row>
    <row r="904" spans="1:21" x14ac:dyDescent="0.3">
      <c r="A904">
        <v>903</v>
      </c>
      <c r="B904" s="3">
        <v>40584</v>
      </c>
      <c r="C904" s="1">
        <v>1</v>
      </c>
      <c r="D904" s="1">
        <v>0</v>
      </c>
      <c r="E904" s="1">
        <v>2</v>
      </c>
      <c r="F904" s="1">
        <v>2</v>
      </c>
      <c r="G904" t="b">
        <v>0</v>
      </c>
      <c r="H904" s="1">
        <v>4</v>
      </c>
      <c r="I904" s="1">
        <v>3</v>
      </c>
      <c r="J904" s="2">
        <v>0.14000000000000001</v>
      </c>
      <c r="K904" s="2">
        <v>0.1515</v>
      </c>
      <c r="L904" s="2">
        <v>0.8</v>
      </c>
      <c r="M904" s="2">
        <v>0.1343</v>
      </c>
      <c r="N904" s="1">
        <v>0</v>
      </c>
      <c r="O904" s="1">
        <v>3</v>
      </c>
      <c r="P904" s="1">
        <v>3</v>
      </c>
      <c r="Q904" s="1" t="str">
        <f>IF(WEEKDAY(Bike_Sharing_Master6[[#This Row],[Dteday]],2)&gt;=6,"Weekend","Weekday")</f>
        <v>Weekday</v>
      </c>
      <c r="R904" s="1" t="str">
        <f xml:space="preserve"> IF(Bike_Sharing_Master6[[#This Row],[Hr]]&lt;6,"Late Night", IF(Bike_Sharing_Master6[[#This Row],[Hr]]&lt;10,"Morning Peak", IF(Bike_Sharing_Master6[[#This Row],[Hr]]&lt;17,"Daytime", IF(Bike_Sharing_Master6[[#This Row],[Hr]]&lt;21,"Evening Peak","Night"))))</f>
        <v>Late Night</v>
      </c>
      <c r="S904" s="1" t="str">
        <f>IF(Bike_Sharing_Master6[[#This Row],[Holiday]]=1,"Holiday","Non-Holiday")</f>
        <v>Non-Holiday</v>
      </c>
      <c r="T904" s="1" t="str">
        <f>IF(Bike_Sharing_Master6[[#This Row],[Cnt]]&lt;80,"Low",IF(Bike_Sharing_Master6[[#This Row],[Cnt]]&lt;160,"Medium","High"))</f>
        <v>Low</v>
      </c>
      <c r="U904" s="1" t="str">
        <f>VLOOKUP(Bike_Sharing_Master6[[#This Row],[Weathersit]],[1]Lookup_Weather!A:B,2,FALSE)</f>
        <v>Light Rain</v>
      </c>
    </row>
    <row r="905" spans="1:21" x14ac:dyDescent="0.3">
      <c r="A905">
        <v>904</v>
      </c>
      <c r="B905" s="3">
        <v>40584</v>
      </c>
      <c r="C905" s="1">
        <v>1</v>
      </c>
      <c r="D905" s="1">
        <v>0</v>
      </c>
      <c r="E905" s="1">
        <v>2</v>
      </c>
      <c r="F905" s="1">
        <v>4</v>
      </c>
      <c r="G905" t="b">
        <v>0</v>
      </c>
      <c r="H905" s="1">
        <v>4</v>
      </c>
      <c r="I905" s="1">
        <v>2</v>
      </c>
      <c r="J905" s="2">
        <v>0.14000000000000001</v>
      </c>
      <c r="K905" s="2">
        <v>0.13639999999999999</v>
      </c>
      <c r="L905" s="2">
        <v>0.59</v>
      </c>
      <c r="M905" s="2">
        <v>0.22389999999999999</v>
      </c>
      <c r="N905" s="1">
        <v>0</v>
      </c>
      <c r="O905" s="1">
        <v>1</v>
      </c>
      <c r="P905" s="1">
        <v>1</v>
      </c>
      <c r="Q905" s="1" t="str">
        <f>IF(WEEKDAY(Bike_Sharing_Master6[[#This Row],[Dteday]],2)&gt;=6,"Weekend","Weekday")</f>
        <v>Weekday</v>
      </c>
      <c r="R905" s="1" t="str">
        <f xml:space="preserve"> IF(Bike_Sharing_Master6[[#This Row],[Hr]]&lt;6,"Late Night", IF(Bike_Sharing_Master6[[#This Row],[Hr]]&lt;10,"Morning Peak", IF(Bike_Sharing_Master6[[#This Row],[Hr]]&lt;17,"Daytime", IF(Bike_Sharing_Master6[[#This Row],[Hr]]&lt;21,"Evening Peak","Night"))))</f>
        <v>Late Night</v>
      </c>
      <c r="S905" s="1" t="str">
        <f>IF(Bike_Sharing_Master6[[#This Row],[Holiday]]=1,"Holiday","Non-Holiday")</f>
        <v>Non-Holiday</v>
      </c>
      <c r="T905" s="1" t="str">
        <f>IF(Bike_Sharing_Master6[[#This Row],[Cnt]]&lt;80,"Low",IF(Bike_Sharing_Master6[[#This Row],[Cnt]]&lt;160,"Medium","High"))</f>
        <v>Low</v>
      </c>
      <c r="U905" s="1" t="str">
        <f>VLOOKUP(Bike_Sharing_Master6[[#This Row],[Weathersit]],[1]Lookup_Weather!A:B,2,FALSE)</f>
        <v>Mist</v>
      </c>
    </row>
    <row r="906" spans="1:21" x14ac:dyDescent="0.3">
      <c r="A906">
        <v>905</v>
      </c>
      <c r="B906" s="3">
        <v>40584</v>
      </c>
      <c r="C906" s="1">
        <v>1</v>
      </c>
      <c r="D906" s="1">
        <v>0</v>
      </c>
      <c r="E906" s="1">
        <v>2</v>
      </c>
      <c r="F906" s="1">
        <v>5</v>
      </c>
      <c r="G906" t="b">
        <v>0</v>
      </c>
      <c r="H906" s="1">
        <v>4</v>
      </c>
      <c r="I906" s="1">
        <v>2</v>
      </c>
      <c r="J906" s="2">
        <v>0.12</v>
      </c>
      <c r="K906" s="2">
        <v>0.1212</v>
      </c>
      <c r="L906" s="2">
        <v>0.5</v>
      </c>
      <c r="M906" s="2">
        <v>0.22389999999999999</v>
      </c>
      <c r="N906" s="1">
        <v>0</v>
      </c>
      <c r="O906" s="1">
        <v>6</v>
      </c>
      <c r="P906" s="1">
        <v>6</v>
      </c>
      <c r="Q906" s="1" t="str">
        <f>IF(WEEKDAY(Bike_Sharing_Master6[[#This Row],[Dteday]],2)&gt;=6,"Weekend","Weekday")</f>
        <v>Weekday</v>
      </c>
      <c r="R906" s="1" t="str">
        <f xml:space="preserve"> IF(Bike_Sharing_Master6[[#This Row],[Hr]]&lt;6,"Late Night", IF(Bike_Sharing_Master6[[#This Row],[Hr]]&lt;10,"Morning Peak", IF(Bike_Sharing_Master6[[#This Row],[Hr]]&lt;17,"Daytime", IF(Bike_Sharing_Master6[[#This Row],[Hr]]&lt;21,"Evening Peak","Night"))))</f>
        <v>Late Night</v>
      </c>
      <c r="S906" s="1" t="str">
        <f>IF(Bike_Sharing_Master6[[#This Row],[Holiday]]=1,"Holiday","Non-Holiday")</f>
        <v>Non-Holiday</v>
      </c>
      <c r="T906" s="1" t="str">
        <f>IF(Bike_Sharing_Master6[[#This Row],[Cnt]]&lt;80,"Low",IF(Bike_Sharing_Master6[[#This Row],[Cnt]]&lt;160,"Medium","High"))</f>
        <v>Low</v>
      </c>
      <c r="U906" s="1" t="str">
        <f>VLOOKUP(Bike_Sharing_Master6[[#This Row],[Weathersit]],[1]Lookup_Weather!A:B,2,FALSE)</f>
        <v>Mist</v>
      </c>
    </row>
    <row r="907" spans="1:21" x14ac:dyDescent="0.3">
      <c r="A907">
        <v>906</v>
      </c>
      <c r="B907" s="3">
        <v>40584</v>
      </c>
      <c r="C907" s="1">
        <v>1</v>
      </c>
      <c r="D907" s="1">
        <v>0</v>
      </c>
      <c r="E907" s="1">
        <v>2</v>
      </c>
      <c r="F907" s="1">
        <v>6</v>
      </c>
      <c r="G907" t="b">
        <v>0</v>
      </c>
      <c r="H907" s="1">
        <v>4</v>
      </c>
      <c r="I907" s="1">
        <v>2</v>
      </c>
      <c r="J907" s="2">
        <v>0.12</v>
      </c>
      <c r="K907" s="2">
        <v>0.1212</v>
      </c>
      <c r="L907" s="2">
        <v>0.54</v>
      </c>
      <c r="M907" s="2">
        <v>0.28360000000000002</v>
      </c>
      <c r="N907" s="1">
        <v>0</v>
      </c>
      <c r="O907" s="1">
        <v>26</v>
      </c>
      <c r="P907" s="1">
        <v>26</v>
      </c>
      <c r="Q907" s="1" t="str">
        <f>IF(WEEKDAY(Bike_Sharing_Master6[[#This Row],[Dteday]],2)&gt;=6,"Weekend","Weekday")</f>
        <v>Weekday</v>
      </c>
      <c r="R907" s="1" t="str">
        <f xml:space="preserve"> IF(Bike_Sharing_Master6[[#This Row],[Hr]]&lt;6,"Late Night", IF(Bike_Sharing_Master6[[#This Row],[Hr]]&lt;10,"Morning Peak", IF(Bike_Sharing_Master6[[#This Row],[Hr]]&lt;17,"Daytime", IF(Bike_Sharing_Master6[[#This Row],[Hr]]&lt;21,"Evening Peak","Night"))))</f>
        <v>Morning Peak</v>
      </c>
      <c r="S907" s="1" t="str">
        <f>IF(Bike_Sharing_Master6[[#This Row],[Holiday]]=1,"Holiday","Non-Holiday")</f>
        <v>Non-Holiday</v>
      </c>
      <c r="T907" s="1" t="str">
        <f>IF(Bike_Sharing_Master6[[#This Row],[Cnt]]&lt;80,"Low",IF(Bike_Sharing_Master6[[#This Row],[Cnt]]&lt;160,"Medium","High"))</f>
        <v>Low</v>
      </c>
      <c r="U907" s="1" t="str">
        <f>VLOOKUP(Bike_Sharing_Master6[[#This Row],[Weathersit]],[1]Lookup_Weather!A:B,2,FALSE)</f>
        <v>Mist</v>
      </c>
    </row>
    <row r="908" spans="1:21" x14ac:dyDescent="0.3">
      <c r="A908">
        <v>907</v>
      </c>
      <c r="B908" s="3">
        <v>40584</v>
      </c>
      <c r="C908" s="1">
        <v>1</v>
      </c>
      <c r="D908" s="1">
        <v>0</v>
      </c>
      <c r="E908" s="1">
        <v>2</v>
      </c>
      <c r="F908" s="1">
        <v>7</v>
      </c>
      <c r="G908" t="b">
        <v>0</v>
      </c>
      <c r="H908" s="1">
        <v>4</v>
      </c>
      <c r="I908" s="1">
        <v>1</v>
      </c>
      <c r="J908" s="2">
        <v>0.1</v>
      </c>
      <c r="K908" s="2">
        <v>7.5800000000000006E-2</v>
      </c>
      <c r="L908" s="2">
        <v>0.5</v>
      </c>
      <c r="M908" s="2">
        <v>0.41789999999999999</v>
      </c>
      <c r="N908" s="1">
        <v>0</v>
      </c>
      <c r="O908" s="1">
        <v>99</v>
      </c>
      <c r="P908" s="1">
        <v>99</v>
      </c>
      <c r="Q908" s="1" t="str">
        <f>IF(WEEKDAY(Bike_Sharing_Master6[[#This Row],[Dteday]],2)&gt;=6,"Weekend","Weekday")</f>
        <v>Weekday</v>
      </c>
      <c r="R908" s="1" t="str">
        <f xml:space="preserve"> IF(Bike_Sharing_Master6[[#This Row],[Hr]]&lt;6,"Late Night", IF(Bike_Sharing_Master6[[#This Row],[Hr]]&lt;10,"Morning Peak", IF(Bike_Sharing_Master6[[#This Row],[Hr]]&lt;17,"Daytime", IF(Bike_Sharing_Master6[[#This Row],[Hr]]&lt;21,"Evening Peak","Night"))))</f>
        <v>Morning Peak</v>
      </c>
      <c r="S908" s="1" t="str">
        <f>IF(Bike_Sharing_Master6[[#This Row],[Holiday]]=1,"Holiday","Non-Holiday")</f>
        <v>Non-Holiday</v>
      </c>
      <c r="T908" s="1" t="str">
        <f>IF(Bike_Sharing_Master6[[#This Row],[Cnt]]&lt;80,"Low",IF(Bike_Sharing_Master6[[#This Row],[Cnt]]&lt;160,"Medium","High"))</f>
        <v>Medium</v>
      </c>
      <c r="U908" s="1" t="str">
        <f>VLOOKUP(Bike_Sharing_Master6[[#This Row],[Weathersit]],[1]Lookup_Weather!A:B,2,FALSE)</f>
        <v>Clear</v>
      </c>
    </row>
    <row r="909" spans="1:21" x14ac:dyDescent="0.3">
      <c r="A909">
        <v>908</v>
      </c>
      <c r="B909" s="3">
        <v>40584</v>
      </c>
      <c r="C909" s="1">
        <v>1</v>
      </c>
      <c r="D909" s="1">
        <v>0</v>
      </c>
      <c r="E909" s="1">
        <v>2</v>
      </c>
      <c r="F909" s="1">
        <v>8</v>
      </c>
      <c r="G909" t="b">
        <v>0</v>
      </c>
      <c r="H909" s="1">
        <v>4</v>
      </c>
      <c r="I909" s="1">
        <v>1</v>
      </c>
      <c r="J909" s="2">
        <v>0.1</v>
      </c>
      <c r="K909" s="2">
        <v>7.5800000000000006E-2</v>
      </c>
      <c r="L909" s="2">
        <v>0.49</v>
      </c>
      <c r="M909" s="2">
        <v>0.32840000000000003</v>
      </c>
      <c r="N909" s="1">
        <v>5</v>
      </c>
      <c r="O909" s="1">
        <v>173</v>
      </c>
      <c r="P909" s="1">
        <v>178</v>
      </c>
      <c r="Q909" s="1" t="str">
        <f>IF(WEEKDAY(Bike_Sharing_Master6[[#This Row],[Dteday]],2)&gt;=6,"Weekend","Weekday")</f>
        <v>Weekday</v>
      </c>
      <c r="R909" s="1" t="str">
        <f xml:space="preserve"> IF(Bike_Sharing_Master6[[#This Row],[Hr]]&lt;6,"Late Night", IF(Bike_Sharing_Master6[[#This Row],[Hr]]&lt;10,"Morning Peak", IF(Bike_Sharing_Master6[[#This Row],[Hr]]&lt;17,"Daytime", IF(Bike_Sharing_Master6[[#This Row],[Hr]]&lt;21,"Evening Peak","Night"))))</f>
        <v>Morning Peak</v>
      </c>
      <c r="S909" s="1" t="str">
        <f>IF(Bike_Sharing_Master6[[#This Row],[Holiday]]=1,"Holiday","Non-Holiday")</f>
        <v>Non-Holiday</v>
      </c>
      <c r="T909" s="1" t="str">
        <f>IF(Bike_Sharing_Master6[[#This Row],[Cnt]]&lt;80,"Low",IF(Bike_Sharing_Master6[[#This Row],[Cnt]]&lt;160,"Medium","High"))</f>
        <v>High</v>
      </c>
      <c r="U909" s="1" t="str">
        <f>VLOOKUP(Bike_Sharing_Master6[[#This Row],[Weathersit]],[1]Lookup_Weather!A:B,2,FALSE)</f>
        <v>Clear</v>
      </c>
    </row>
    <row r="910" spans="1:21" x14ac:dyDescent="0.3">
      <c r="A910">
        <v>909</v>
      </c>
      <c r="B910" s="3">
        <v>40584</v>
      </c>
      <c r="C910" s="1">
        <v>1</v>
      </c>
      <c r="D910" s="1">
        <v>0</v>
      </c>
      <c r="E910" s="1">
        <v>2</v>
      </c>
      <c r="F910" s="1">
        <v>9</v>
      </c>
      <c r="G910" t="b">
        <v>0</v>
      </c>
      <c r="H910" s="1">
        <v>4</v>
      </c>
      <c r="I910" s="1">
        <v>1</v>
      </c>
      <c r="J910" s="2">
        <v>0.12</v>
      </c>
      <c r="K910" s="2">
        <v>0.1061</v>
      </c>
      <c r="L910" s="2">
        <v>0.42</v>
      </c>
      <c r="M910" s="2">
        <v>0.35820000000000002</v>
      </c>
      <c r="N910" s="1">
        <v>1</v>
      </c>
      <c r="O910" s="1">
        <v>121</v>
      </c>
      <c r="P910" s="1">
        <v>122</v>
      </c>
      <c r="Q910" s="1" t="str">
        <f>IF(WEEKDAY(Bike_Sharing_Master6[[#This Row],[Dteday]],2)&gt;=6,"Weekend","Weekday")</f>
        <v>Weekday</v>
      </c>
      <c r="R910" s="1" t="str">
        <f xml:space="preserve"> IF(Bike_Sharing_Master6[[#This Row],[Hr]]&lt;6,"Late Night", IF(Bike_Sharing_Master6[[#This Row],[Hr]]&lt;10,"Morning Peak", IF(Bike_Sharing_Master6[[#This Row],[Hr]]&lt;17,"Daytime", IF(Bike_Sharing_Master6[[#This Row],[Hr]]&lt;21,"Evening Peak","Night"))))</f>
        <v>Morning Peak</v>
      </c>
      <c r="S910" s="1" t="str">
        <f>IF(Bike_Sharing_Master6[[#This Row],[Holiday]]=1,"Holiday","Non-Holiday")</f>
        <v>Non-Holiday</v>
      </c>
      <c r="T910" s="1" t="str">
        <f>IF(Bike_Sharing_Master6[[#This Row],[Cnt]]&lt;80,"Low",IF(Bike_Sharing_Master6[[#This Row],[Cnt]]&lt;160,"Medium","High"))</f>
        <v>Medium</v>
      </c>
      <c r="U910" s="1" t="str">
        <f>VLOOKUP(Bike_Sharing_Master6[[#This Row],[Weathersit]],[1]Lookup_Weather!A:B,2,FALSE)</f>
        <v>Clear</v>
      </c>
    </row>
    <row r="911" spans="1:21" x14ac:dyDescent="0.3">
      <c r="A911">
        <v>910</v>
      </c>
      <c r="B911" s="3">
        <v>40584</v>
      </c>
      <c r="C911" s="1">
        <v>1</v>
      </c>
      <c r="D911" s="1">
        <v>0</v>
      </c>
      <c r="E911" s="1">
        <v>2</v>
      </c>
      <c r="F911" s="1">
        <v>10</v>
      </c>
      <c r="G911" t="b">
        <v>0</v>
      </c>
      <c r="H911" s="1">
        <v>4</v>
      </c>
      <c r="I911" s="1">
        <v>1</v>
      </c>
      <c r="J911" s="2">
        <v>0.12</v>
      </c>
      <c r="K911" s="2">
        <v>0.1061</v>
      </c>
      <c r="L911" s="2">
        <v>0.42</v>
      </c>
      <c r="M911" s="2">
        <v>0.29849999999999999</v>
      </c>
      <c r="N911" s="1">
        <v>1</v>
      </c>
      <c r="O911" s="1">
        <v>34</v>
      </c>
      <c r="P911" s="1">
        <v>35</v>
      </c>
      <c r="Q911" s="1" t="str">
        <f>IF(WEEKDAY(Bike_Sharing_Master6[[#This Row],[Dteday]],2)&gt;=6,"Weekend","Weekday")</f>
        <v>Weekday</v>
      </c>
      <c r="R911" s="1" t="str">
        <f xml:space="preserve"> IF(Bike_Sharing_Master6[[#This Row],[Hr]]&lt;6,"Late Night", IF(Bike_Sharing_Master6[[#This Row],[Hr]]&lt;10,"Morning Peak", IF(Bike_Sharing_Master6[[#This Row],[Hr]]&lt;17,"Daytime", IF(Bike_Sharing_Master6[[#This Row],[Hr]]&lt;21,"Evening Peak","Night"))))</f>
        <v>Daytime</v>
      </c>
      <c r="S911" s="1" t="str">
        <f>IF(Bike_Sharing_Master6[[#This Row],[Holiday]]=1,"Holiday","Non-Holiday")</f>
        <v>Non-Holiday</v>
      </c>
      <c r="T911" s="1" t="str">
        <f>IF(Bike_Sharing_Master6[[#This Row],[Cnt]]&lt;80,"Low",IF(Bike_Sharing_Master6[[#This Row],[Cnt]]&lt;160,"Medium","High"))</f>
        <v>Low</v>
      </c>
      <c r="U911" s="1" t="str">
        <f>VLOOKUP(Bike_Sharing_Master6[[#This Row],[Weathersit]],[1]Lookup_Weather!A:B,2,FALSE)</f>
        <v>Clear</v>
      </c>
    </row>
    <row r="912" spans="1:21" x14ac:dyDescent="0.3">
      <c r="A912">
        <v>911</v>
      </c>
      <c r="B912" s="3">
        <v>40584</v>
      </c>
      <c r="C912" s="1">
        <v>1</v>
      </c>
      <c r="D912" s="1">
        <v>0</v>
      </c>
      <c r="E912" s="1">
        <v>2</v>
      </c>
      <c r="F912" s="1">
        <v>11</v>
      </c>
      <c r="G912" t="b">
        <v>0</v>
      </c>
      <c r="H912" s="1">
        <v>4</v>
      </c>
      <c r="I912" s="1">
        <v>1</v>
      </c>
      <c r="J912" s="2">
        <v>0.14000000000000001</v>
      </c>
      <c r="K912" s="2">
        <v>0.1212</v>
      </c>
      <c r="L912" s="2">
        <v>0.39</v>
      </c>
      <c r="M912" s="2">
        <v>0.35820000000000002</v>
      </c>
      <c r="N912" s="1">
        <v>1</v>
      </c>
      <c r="O912" s="1">
        <v>44</v>
      </c>
      <c r="P912" s="1">
        <v>45</v>
      </c>
      <c r="Q912" s="1" t="str">
        <f>IF(WEEKDAY(Bike_Sharing_Master6[[#This Row],[Dteday]],2)&gt;=6,"Weekend","Weekday")</f>
        <v>Weekday</v>
      </c>
      <c r="R912" s="1" t="str">
        <f xml:space="preserve"> IF(Bike_Sharing_Master6[[#This Row],[Hr]]&lt;6,"Late Night", IF(Bike_Sharing_Master6[[#This Row],[Hr]]&lt;10,"Morning Peak", IF(Bike_Sharing_Master6[[#This Row],[Hr]]&lt;17,"Daytime", IF(Bike_Sharing_Master6[[#This Row],[Hr]]&lt;21,"Evening Peak","Night"))))</f>
        <v>Daytime</v>
      </c>
      <c r="S912" s="1" t="str">
        <f>IF(Bike_Sharing_Master6[[#This Row],[Holiday]]=1,"Holiday","Non-Holiday")</f>
        <v>Non-Holiday</v>
      </c>
      <c r="T912" s="1" t="str">
        <f>IF(Bike_Sharing_Master6[[#This Row],[Cnt]]&lt;80,"Low",IF(Bike_Sharing_Master6[[#This Row],[Cnt]]&lt;160,"Medium","High"))</f>
        <v>Low</v>
      </c>
      <c r="U912" s="1" t="str">
        <f>VLOOKUP(Bike_Sharing_Master6[[#This Row],[Weathersit]],[1]Lookup_Weather!A:B,2,FALSE)</f>
        <v>Clear</v>
      </c>
    </row>
    <row r="913" spans="1:21" x14ac:dyDescent="0.3">
      <c r="A913">
        <v>912</v>
      </c>
      <c r="B913" s="3">
        <v>40584</v>
      </c>
      <c r="C913" s="1">
        <v>1</v>
      </c>
      <c r="D913" s="1">
        <v>0</v>
      </c>
      <c r="E913" s="1">
        <v>2</v>
      </c>
      <c r="F913" s="1">
        <v>12</v>
      </c>
      <c r="G913" t="b">
        <v>0</v>
      </c>
      <c r="H913" s="1">
        <v>4</v>
      </c>
      <c r="I913" s="1">
        <v>1</v>
      </c>
      <c r="J913" s="2">
        <v>0.16</v>
      </c>
      <c r="K913" s="2">
        <v>0.13639999999999999</v>
      </c>
      <c r="L913" s="2">
        <v>0.34</v>
      </c>
      <c r="M913" s="2">
        <v>0.3881</v>
      </c>
      <c r="N913" s="1">
        <v>4</v>
      </c>
      <c r="O913" s="1">
        <v>65</v>
      </c>
      <c r="P913" s="1">
        <v>69</v>
      </c>
      <c r="Q913" s="1" t="str">
        <f>IF(WEEKDAY(Bike_Sharing_Master6[[#This Row],[Dteday]],2)&gt;=6,"Weekend","Weekday")</f>
        <v>Weekday</v>
      </c>
      <c r="R913" s="1" t="str">
        <f xml:space="preserve"> IF(Bike_Sharing_Master6[[#This Row],[Hr]]&lt;6,"Late Night", IF(Bike_Sharing_Master6[[#This Row],[Hr]]&lt;10,"Morning Peak", IF(Bike_Sharing_Master6[[#This Row],[Hr]]&lt;17,"Daytime", IF(Bike_Sharing_Master6[[#This Row],[Hr]]&lt;21,"Evening Peak","Night"))))</f>
        <v>Daytime</v>
      </c>
      <c r="S913" s="1" t="str">
        <f>IF(Bike_Sharing_Master6[[#This Row],[Holiday]]=1,"Holiday","Non-Holiday")</f>
        <v>Non-Holiday</v>
      </c>
      <c r="T913" s="1" t="str">
        <f>IF(Bike_Sharing_Master6[[#This Row],[Cnt]]&lt;80,"Low",IF(Bike_Sharing_Master6[[#This Row],[Cnt]]&lt;160,"Medium","High"))</f>
        <v>Low</v>
      </c>
      <c r="U913" s="1" t="str">
        <f>VLOOKUP(Bike_Sharing_Master6[[#This Row],[Weathersit]],[1]Lookup_Weather!A:B,2,FALSE)</f>
        <v>Clear</v>
      </c>
    </row>
    <row r="914" spans="1:21" x14ac:dyDescent="0.3">
      <c r="A914">
        <v>913</v>
      </c>
      <c r="B914" s="3">
        <v>40584</v>
      </c>
      <c r="C914" s="1">
        <v>1</v>
      </c>
      <c r="D914" s="1">
        <v>0</v>
      </c>
      <c r="E914" s="1">
        <v>2</v>
      </c>
      <c r="F914" s="1">
        <v>13</v>
      </c>
      <c r="G914" t="b">
        <v>0</v>
      </c>
      <c r="H914" s="1">
        <v>4</v>
      </c>
      <c r="I914" s="1">
        <v>1</v>
      </c>
      <c r="J914" s="2">
        <v>0.18</v>
      </c>
      <c r="K914" s="2">
        <v>0.16669999999999999</v>
      </c>
      <c r="L914" s="2">
        <v>0.28999999999999998</v>
      </c>
      <c r="M914" s="2">
        <v>0.29849999999999999</v>
      </c>
      <c r="N914" s="1">
        <v>3</v>
      </c>
      <c r="O914" s="1">
        <v>59</v>
      </c>
      <c r="P914" s="1">
        <v>62</v>
      </c>
      <c r="Q914" s="1" t="str">
        <f>IF(WEEKDAY(Bike_Sharing_Master6[[#This Row],[Dteday]],2)&gt;=6,"Weekend","Weekday")</f>
        <v>Weekday</v>
      </c>
      <c r="R914" s="1" t="str">
        <f xml:space="preserve"> IF(Bike_Sharing_Master6[[#This Row],[Hr]]&lt;6,"Late Night", IF(Bike_Sharing_Master6[[#This Row],[Hr]]&lt;10,"Morning Peak", IF(Bike_Sharing_Master6[[#This Row],[Hr]]&lt;17,"Daytime", IF(Bike_Sharing_Master6[[#This Row],[Hr]]&lt;21,"Evening Peak","Night"))))</f>
        <v>Daytime</v>
      </c>
      <c r="S914" s="1" t="str">
        <f>IF(Bike_Sharing_Master6[[#This Row],[Holiday]]=1,"Holiday","Non-Holiday")</f>
        <v>Non-Holiday</v>
      </c>
      <c r="T914" s="1" t="str">
        <f>IF(Bike_Sharing_Master6[[#This Row],[Cnt]]&lt;80,"Low",IF(Bike_Sharing_Master6[[#This Row],[Cnt]]&lt;160,"Medium","High"))</f>
        <v>Low</v>
      </c>
      <c r="U914" s="1" t="str">
        <f>VLOOKUP(Bike_Sharing_Master6[[#This Row],[Weathersit]],[1]Lookup_Weather!A:B,2,FALSE)</f>
        <v>Clear</v>
      </c>
    </row>
    <row r="915" spans="1:21" x14ac:dyDescent="0.3">
      <c r="A915">
        <v>914</v>
      </c>
      <c r="B915" s="3">
        <v>40584</v>
      </c>
      <c r="C915" s="1">
        <v>1</v>
      </c>
      <c r="D915" s="1">
        <v>0</v>
      </c>
      <c r="E915" s="1">
        <v>2</v>
      </c>
      <c r="F915" s="1">
        <v>14</v>
      </c>
      <c r="G915" t="b">
        <v>0</v>
      </c>
      <c r="H915" s="1">
        <v>4</v>
      </c>
      <c r="I915" s="1">
        <v>1</v>
      </c>
      <c r="J915" s="2">
        <v>0.2</v>
      </c>
      <c r="K915" s="2">
        <v>0.18179999999999999</v>
      </c>
      <c r="L915" s="2">
        <v>0.27</v>
      </c>
      <c r="M915" s="2">
        <v>0.28360000000000002</v>
      </c>
      <c r="N915" s="1">
        <v>6</v>
      </c>
      <c r="O915" s="1">
        <v>42</v>
      </c>
      <c r="P915" s="1">
        <v>48</v>
      </c>
      <c r="Q915" s="1" t="str">
        <f>IF(WEEKDAY(Bike_Sharing_Master6[[#This Row],[Dteday]],2)&gt;=6,"Weekend","Weekday")</f>
        <v>Weekday</v>
      </c>
      <c r="R915" s="1" t="str">
        <f xml:space="preserve"> IF(Bike_Sharing_Master6[[#This Row],[Hr]]&lt;6,"Late Night", IF(Bike_Sharing_Master6[[#This Row],[Hr]]&lt;10,"Morning Peak", IF(Bike_Sharing_Master6[[#This Row],[Hr]]&lt;17,"Daytime", IF(Bike_Sharing_Master6[[#This Row],[Hr]]&lt;21,"Evening Peak","Night"))))</f>
        <v>Daytime</v>
      </c>
      <c r="S915" s="1" t="str">
        <f>IF(Bike_Sharing_Master6[[#This Row],[Holiday]]=1,"Holiday","Non-Holiday")</f>
        <v>Non-Holiday</v>
      </c>
      <c r="T915" s="1" t="str">
        <f>IF(Bike_Sharing_Master6[[#This Row],[Cnt]]&lt;80,"Low",IF(Bike_Sharing_Master6[[#This Row],[Cnt]]&lt;160,"Medium","High"))</f>
        <v>Low</v>
      </c>
      <c r="U915" s="1" t="str">
        <f>VLOOKUP(Bike_Sharing_Master6[[#This Row],[Weathersit]],[1]Lookup_Weather!A:B,2,FALSE)</f>
        <v>Clear</v>
      </c>
    </row>
    <row r="916" spans="1:21" x14ac:dyDescent="0.3">
      <c r="A916">
        <v>915</v>
      </c>
      <c r="B916" s="3">
        <v>40584</v>
      </c>
      <c r="C916" s="1">
        <v>1</v>
      </c>
      <c r="D916" s="1">
        <v>0</v>
      </c>
      <c r="E916" s="1">
        <v>2</v>
      </c>
      <c r="F916" s="1">
        <v>15</v>
      </c>
      <c r="G916" t="b">
        <v>0</v>
      </c>
      <c r="H916" s="1">
        <v>4</v>
      </c>
      <c r="I916" s="1">
        <v>1</v>
      </c>
      <c r="J916" s="2">
        <v>0.2</v>
      </c>
      <c r="K916" s="2">
        <v>0.19700000000000001</v>
      </c>
      <c r="L916" s="2">
        <v>0.25</v>
      </c>
      <c r="M916" s="2">
        <v>0.25369999999999998</v>
      </c>
      <c r="N916" s="1">
        <v>0</v>
      </c>
      <c r="O916" s="1">
        <v>50</v>
      </c>
      <c r="P916" s="1">
        <v>50</v>
      </c>
      <c r="Q916" s="1" t="str">
        <f>IF(WEEKDAY(Bike_Sharing_Master6[[#This Row],[Dteday]],2)&gt;=6,"Weekend","Weekday")</f>
        <v>Weekday</v>
      </c>
      <c r="R916" s="1" t="str">
        <f xml:space="preserve"> IF(Bike_Sharing_Master6[[#This Row],[Hr]]&lt;6,"Late Night", IF(Bike_Sharing_Master6[[#This Row],[Hr]]&lt;10,"Morning Peak", IF(Bike_Sharing_Master6[[#This Row],[Hr]]&lt;17,"Daytime", IF(Bike_Sharing_Master6[[#This Row],[Hr]]&lt;21,"Evening Peak","Night"))))</f>
        <v>Daytime</v>
      </c>
      <c r="S916" s="1" t="str">
        <f>IF(Bike_Sharing_Master6[[#This Row],[Holiday]]=1,"Holiday","Non-Holiday")</f>
        <v>Non-Holiday</v>
      </c>
      <c r="T916" s="1" t="str">
        <f>IF(Bike_Sharing_Master6[[#This Row],[Cnt]]&lt;80,"Low",IF(Bike_Sharing_Master6[[#This Row],[Cnt]]&lt;160,"Medium","High"))</f>
        <v>Low</v>
      </c>
      <c r="U916" s="1" t="str">
        <f>VLOOKUP(Bike_Sharing_Master6[[#This Row],[Weathersit]],[1]Lookup_Weather!A:B,2,FALSE)</f>
        <v>Clear</v>
      </c>
    </row>
    <row r="917" spans="1:21" x14ac:dyDescent="0.3">
      <c r="A917">
        <v>916</v>
      </c>
      <c r="B917" s="3">
        <v>40584</v>
      </c>
      <c r="C917" s="1">
        <v>1</v>
      </c>
      <c r="D917" s="1">
        <v>0</v>
      </c>
      <c r="E917" s="1">
        <v>2</v>
      </c>
      <c r="F917" s="1">
        <v>16</v>
      </c>
      <c r="G917" t="b">
        <v>0</v>
      </c>
      <c r="H917" s="1">
        <v>4</v>
      </c>
      <c r="I917" s="1">
        <v>1</v>
      </c>
      <c r="J917" s="2">
        <v>0.2</v>
      </c>
      <c r="K917" s="2">
        <v>0.18179999999999999</v>
      </c>
      <c r="L917" s="2">
        <v>0.27</v>
      </c>
      <c r="M917" s="2">
        <v>0.29849999999999999</v>
      </c>
      <c r="N917" s="1">
        <v>4</v>
      </c>
      <c r="O917" s="1">
        <v>76</v>
      </c>
      <c r="P917" s="1">
        <v>80</v>
      </c>
      <c r="Q917" s="1" t="str">
        <f>IF(WEEKDAY(Bike_Sharing_Master6[[#This Row],[Dteday]],2)&gt;=6,"Weekend","Weekday")</f>
        <v>Weekday</v>
      </c>
      <c r="R917" s="1" t="str">
        <f xml:space="preserve"> IF(Bike_Sharing_Master6[[#This Row],[Hr]]&lt;6,"Late Night", IF(Bike_Sharing_Master6[[#This Row],[Hr]]&lt;10,"Morning Peak", IF(Bike_Sharing_Master6[[#This Row],[Hr]]&lt;17,"Daytime", IF(Bike_Sharing_Master6[[#This Row],[Hr]]&lt;21,"Evening Peak","Night"))))</f>
        <v>Daytime</v>
      </c>
      <c r="S917" s="1" t="str">
        <f>IF(Bike_Sharing_Master6[[#This Row],[Holiday]]=1,"Holiday","Non-Holiday")</f>
        <v>Non-Holiday</v>
      </c>
      <c r="T917" s="1" t="str">
        <f>IF(Bike_Sharing_Master6[[#This Row],[Cnt]]&lt;80,"Low",IF(Bike_Sharing_Master6[[#This Row],[Cnt]]&lt;160,"Medium","High"))</f>
        <v>Medium</v>
      </c>
      <c r="U917" s="1" t="str">
        <f>VLOOKUP(Bike_Sharing_Master6[[#This Row],[Weathersit]],[1]Lookup_Weather!A:B,2,FALSE)</f>
        <v>Clear</v>
      </c>
    </row>
    <row r="918" spans="1:21" x14ac:dyDescent="0.3">
      <c r="A918">
        <v>917</v>
      </c>
      <c r="B918" s="3">
        <v>40584</v>
      </c>
      <c r="C918" s="1">
        <v>1</v>
      </c>
      <c r="D918" s="1">
        <v>0</v>
      </c>
      <c r="E918" s="1">
        <v>2</v>
      </c>
      <c r="F918" s="1">
        <v>17</v>
      </c>
      <c r="G918" t="b">
        <v>0</v>
      </c>
      <c r="H918" s="1">
        <v>4</v>
      </c>
      <c r="I918" s="1">
        <v>1</v>
      </c>
      <c r="J918" s="2">
        <v>0.18</v>
      </c>
      <c r="K918" s="2">
        <v>0.18179999999999999</v>
      </c>
      <c r="L918" s="2">
        <v>0.26</v>
      </c>
      <c r="M918" s="2">
        <v>0.19400000000000001</v>
      </c>
      <c r="N918" s="1">
        <v>6</v>
      </c>
      <c r="O918" s="1">
        <v>159</v>
      </c>
      <c r="P918" s="1">
        <v>165</v>
      </c>
      <c r="Q918" s="1" t="str">
        <f>IF(WEEKDAY(Bike_Sharing_Master6[[#This Row],[Dteday]],2)&gt;=6,"Weekend","Weekday")</f>
        <v>Weekday</v>
      </c>
      <c r="R918" s="1" t="str">
        <f xml:space="preserve"> IF(Bike_Sharing_Master6[[#This Row],[Hr]]&lt;6,"Late Night", IF(Bike_Sharing_Master6[[#This Row],[Hr]]&lt;10,"Morning Peak", IF(Bike_Sharing_Master6[[#This Row],[Hr]]&lt;17,"Daytime", IF(Bike_Sharing_Master6[[#This Row],[Hr]]&lt;21,"Evening Peak","Night"))))</f>
        <v>Evening Peak</v>
      </c>
      <c r="S918" s="1" t="str">
        <f>IF(Bike_Sharing_Master6[[#This Row],[Holiday]]=1,"Holiday","Non-Holiday")</f>
        <v>Non-Holiday</v>
      </c>
      <c r="T918" s="1" t="str">
        <f>IF(Bike_Sharing_Master6[[#This Row],[Cnt]]&lt;80,"Low",IF(Bike_Sharing_Master6[[#This Row],[Cnt]]&lt;160,"Medium","High"))</f>
        <v>High</v>
      </c>
      <c r="U918" s="1" t="str">
        <f>VLOOKUP(Bike_Sharing_Master6[[#This Row],[Weathersit]],[1]Lookup_Weather!A:B,2,FALSE)</f>
        <v>Clear</v>
      </c>
    </row>
    <row r="919" spans="1:21" x14ac:dyDescent="0.3">
      <c r="A919">
        <v>918</v>
      </c>
      <c r="B919" s="3">
        <v>40584</v>
      </c>
      <c r="C919" s="1">
        <v>1</v>
      </c>
      <c r="D919" s="1">
        <v>0</v>
      </c>
      <c r="E919" s="1">
        <v>2</v>
      </c>
      <c r="F919" s="1">
        <v>18</v>
      </c>
      <c r="G919" t="b">
        <v>0</v>
      </c>
      <c r="H919" s="1">
        <v>4</v>
      </c>
      <c r="I919" s="1">
        <v>1</v>
      </c>
      <c r="J919" s="2">
        <v>0.16</v>
      </c>
      <c r="K919" s="2">
        <v>0.18179999999999999</v>
      </c>
      <c r="L919" s="2">
        <v>0.28000000000000003</v>
      </c>
      <c r="M919" s="2">
        <v>0.1343</v>
      </c>
      <c r="N919" s="1">
        <v>3</v>
      </c>
      <c r="O919" s="1">
        <v>157</v>
      </c>
      <c r="P919" s="1">
        <v>160</v>
      </c>
      <c r="Q919" s="1" t="str">
        <f>IF(WEEKDAY(Bike_Sharing_Master6[[#This Row],[Dteday]],2)&gt;=6,"Weekend","Weekday")</f>
        <v>Weekday</v>
      </c>
      <c r="R919" s="1" t="str">
        <f xml:space="preserve"> IF(Bike_Sharing_Master6[[#This Row],[Hr]]&lt;6,"Late Night", IF(Bike_Sharing_Master6[[#This Row],[Hr]]&lt;10,"Morning Peak", IF(Bike_Sharing_Master6[[#This Row],[Hr]]&lt;17,"Daytime", IF(Bike_Sharing_Master6[[#This Row],[Hr]]&lt;21,"Evening Peak","Night"))))</f>
        <v>Evening Peak</v>
      </c>
      <c r="S919" s="1" t="str">
        <f>IF(Bike_Sharing_Master6[[#This Row],[Holiday]]=1,"Holiday","Non-Holiday")</f>
        <v>Non-Holiday</v>
      </c>
      <c r="T919" s="1" t="str">
        <f>IF(Bike_Sharing_Master6[[#This Row],[Cnt]]&lt;80,"Low",IF(Bike_Sharing_Master6[[#This Row],[Cnt]]&lt;160,"Medium","High"))</f>
        <v>High</v>
      </c>
      <c r="U919" s="1" t="str">
        <f>VLOOKUP(Bike_Sharing_Master6[[#This Row],[Weathersit]],[1]Lookup_Weather!A:B,2,FALSE)</f>
        <v>Clear</v>
      </c>
    </row>
    <row r="920" spans="1:21" x14ac:dyDescent="0.3">
      <c r="A920">
        <v>919</v>
      </c>
      <c r="B920" s="3">
        <v>40584</v>
      </c>
      <c r="C920" s="1">
        <v>1</v>
      </c>
      <c r="D920" s="1">
        <v>0</v>
      </c>
      <c r="E920" s="1">
        <v>2</v>
      </c>
      <c r="F920" s="1">
        <v>19</v>
      </c>
      <c r="G920" t="b">
        <v>0</v>
      </c>
      <c r="H920" s="1">
        <v>4</v>
      </c>
      <c r="I920" s="1">
        <v>1</v>
      </c>
      <c r="J920" s="2">
        <v>0.14000000000000001</v>
      </c>
      <c r="K920" s="2">
        <v>0.16669999999999999</v>
      </c>
      <c r="L920" s="2">
        <v>0.28000000000000003</v>
      </c>
      <c r="M920" s="2">
        <v>0.1045</v>
      </c>
      <c r="N920" s="1">
        <v>2</v>
      </c>
      <c r="O920" s="1">
        <v>110</v>
      </c>
      <c r="P920" s="1">
        <v>112</v>
      </c>
      <c r="Q920" s="1" t="str">
        <f>IF(WEEKDAY(Bike_Sharing_Master6[[#This Row],[Dteday]],2)&gt;=6,"Weekend","Weekday")</f>
        <v>Weekday</v>
      </c>
      <c r="R920" s="1" t="str">
        <f xml:space="preserve"> IF(Bike_Sharing_Master6[[#This Row],[Hr]]&lt;6,"Late Night", IF(Bike_Sharing_Master6[[#This Row],[Hr]]&lt;10,"Morning Peak", IF(Bike_Sharing_Master6[[#This Row],[Hr]]&lt;17,"Daytime", IF(Bike_Sharing_Master6[[#This Row],[Hr]]&lt;21,"Evening Peak","Night"))))</f>
        <v>Evening Peak</v>
      </c>
      <c r="S920" s="1" t="str">
        <f>IF(Bike_Sharing_Master6[[#This Row],[Holiday]]=1,"Holiday","Non-Holiday")</f>
        <v>Non-Holiday</v>
      </c>
      <c r="T920" s="1" t="str">
        <f>IF(Bike_Sharing_Master6[[#This Row],[Cnt]]&lt;80,"Low",IF(Bike_Sharing_Master6[[#This Row],[Cnt]]&lt;160,"Medium","High"))</f>
        <v>Medium</v>
      </c>
      <c r="U920" s="1" t="str">
        <f>VLOOKUP(Bike_Sharing_Master6[[#This Row],[Weathersit]],[1]Lookup_Weather!A:B,2,FALSE)</f>
        <v>Clear</v>
      </c>
    </row>
    <row r="921" spans="1:21" x14ac:dyDescent="0.3">
      <c r="A921">
        <v>920</v>
      </c>
      <c r="B921" s="3">
        <v>40584</v>
      </c>
      <c r="C921" s="1">
        <v>1</v>
      </c>
      <c r="D921" s="1">
        <v>0</v>
      </c>
      <c r="E921" s="1">
        <v>2</v>
      </c>
      <c r="F921" s="1">
        <v>20</v>
      </c>
      <c r="G921" t="b">
        <v>0</v>
      </c>
      <c r="H921" s="1">
        <v>4</v>
      </c>
      <c r="I921" s="1">
        <v>1</v>
      </c>
      <c r="J921" s="2">
        <v>0.14000000000000001</v>
      </c>
      <c r="K921" s="2">
        <v>0.18179999999999999</v>
      </c>
      <c r="L921" s="2">
        <v>0.31</v>
      </c>
      <c r="M921" s="2">
        <v>8.9599999999999999E-2</v>
      </c>
      <c r="N921" s="1">
        <v>4</v>
      </c>
      <c r="O921" s="1">
        <v>93</v>
      </c>
      <c r="P921" s="1">
        <v>97</v>
      </c>
      <c r="Q921" s="1" t="str">
        <f>IF(WEEKDAY(Bike_Sharing_Master6[[#This Row],[Dteday]],2)&gt;=6,"Weekend","Weekday")</f>
        <v>Weekday</v>
      </c>
      <c r="R921" s="1" t="str">
        <f xml:space="preserve"> IF(Bike_Sharing_Master6[[#This Row],[Hr]]&lt;6,"Late Night", IF(Bike_Sharing_Master6[[#This Row],[Hr]]&lt;10,"Morning Peak", IF(Bike_Sharing_Master6[[#This Row],[Hr]]&lt;17,"Daytime", IF(Bike_Sharing_Master6[[#This Row],[Hr]]&lt;21,"Evening Peak","Night"))))</f>
        <v>Evening Peak</v>
      </c>
      <c r="S921" s="1" t="str">
        <f>IF(Bike_Sharing_Master6[[#This Row],[Holiday]]=1,"Holiday","Non-Holiday")</f>
        <v>Non-Holiday</v>
      </c>
      <c r="T921" s="1" t="str">
        <f>IF(Bike_Sharing_Master6[[#This Row],[Cnt]]&lt;80,"Low",IF(Bike_Sharing_Master6[[#This Row],[Cnt]]&lt;160,"Medium","High"))</f>
        <v>Medium</v>
      </c>
      <c r="U921" s="1" t="str">
        <f>VLOOKUP(Bike_Sharing_Master6[[#This Row],[Weathersit]],[1]Lookup_Weather!A:B,2,FALSE)</f>
        <v>Clear</v>
      </c>
    </row>
    <row r="922" spans="1:21" x14ac:dyDescent="0.3">
      <c r="A922">
        <v>921</v>
      </c>
      <c r="B922" s="3">
        <v>40584</v>
      </c>
      <c r="C922" s="1">
        <v>1</v>
      </c>
      <c r="D922" s="1">
        <v>0</v>
      </c>
      <c r="E922" s="1">
        <v>2</v>
      </c>
      <c r="F922" s="1">
        <v>21</v>
      </c>
      <c r="G922" t="b">
        <v>0</v>
      </c>
      <c r="H922" s="1">
        <v>4</v>
      </c>
      <c r="I922" s="1">
        <v>1</v>
      </c>
      <c r="J922" s="2">
        <v>0.14000000000000001</v>
      </c>
      <c r="K922" s="2">
        <v>0.21210000000000001</v>
      </c>
      <c r="L922" s="2">
        <v>0.39</v>
      </c>
      <c r="M922" s="2">
        <v>0</v>
      </c>
      <c r="N922" s="1">
        <v>2</v>
      </c>
      <c r="O922" s="1">
        <v>70</v>
      </c>
      <c r="P922" s="1">
        <v>72</v>
      </c>
      <c r="Q922" s="1" t="str">
        <f>IF(WEEKDAY(Bike_Sharing_Master6[[#This Row],[Dteday]],2)&gt;=6,"Weekend","Weekday")</f>
        <v>Weekday</v>
      </c>
      <c r="R922" s="1" t="str">
        <f xml:space="preserve"> IF(Bike_Sharing_Master6[[#This Row],[Hr]]&lt;6,"Late Night", IF(Bike_Sharing_Master6[[#This Row],[Hr]]&lt;10,"Morning Peak", IF(Bike_Sharing_Master6[[#This Row],[Hr]]&lt;17,"Daytime", IF(Bike_Sharing_Master6[[#This Row],[Hr]]&lt;21,"Evening Peak","Night"))))</f>
        <v>Night</v>
      </c>
      <c r="S922" s="1" t="str">
        <f>IF(Bike_Sharing_Master6[[#This Row],[Holiday]]=1,"Holiday","Non-Holiday")</f>
        <v>Non-Holiday</v>
      </c>
      <c r="T922" s="1" t="str">
        <f>IF(Bike_Sharing_Master6[[#This Row],[Cnt]]&lt;80,"Low",IF(Bike_Sharing_Master6[[#This Row],[Cnt]]&lt;160,"Medium","High"))</f>
        <v>Low</v>
      </c>
      <c r="U922" s="1" t="str">
        <f>VLOOKUP(Bike_Sharing_Master6[[#This Row],[Weathersit]],[1]Lookup_Weather!A:B,2,FALSE)</f>
        <v>Clear</v>
      </c>
    </row>
    <row r="923" spans="1:21" x14ac:dyDescent="0.3">
      <c r="A923">
        <v>922</v>
      </c>
      <c r="B923" s="3">
        <v>40584</v>
      </c>
      <c r="C923" s="1">
        <v>1</v>
      </c>
      <c r="D923" s="1">
        <v>0</v>
      </c>
      <c r="E923" s="1">
        <v>2</v>
      </c>
      <c r="F923" s="1">
        <v>22</v>
      </c>
      <c r="G923" t="b">
        <v>0</v>
      </c>
      <c r="H923" s="1">
        <v>4</v>
      </c>
      <c r="I923" s="1">
        <v>1</v>
      </c>
      <c r="J923" s="2">
        <v>0.12</v>
      </c>
      <c r="K923" s="2">
        <v>0.19700000000000001</v>
      </c>
      <c r="L923" s="2">
        <v>0.39</v>
      </c>
      <c r="M923" s="2">
        <v>0</v>
      </c>
      <c r="N923" s="1">
        <v>4</v>
      </c>
      <c r="O923" s="1">
        <v>47</v>
      </c>
      <c r="P923" s="1">
        <v>51</v>
      </c>
      <c r="Q923" s="1" t="str">
        <f>IF(WEEKDAY(Bike_Sharing_Master6[[#This Row],[Dteday]],2)&gt;=6,"Weekend","Weekday")</f>
        <v>Weekday</v>
      </c>
      <c r="R923" s="1" t="str">
        <f xml:space="preserve"> IF(Bike_Sharing_Master6[[#This Row],[Hr]]&lt;6,"Late Night", IF(Bike_Sharing_Master6[[#This Row],[Hr]]&lt;10,"Morning Peak", IF(Bike_Sharing_Master6[[#This Row],[Hr]]&lt;17,"Daytime", IF(Bike_Sharing_Master6[[#This Row],[Hr]]&lt;21,"Evening Peak","Night"))))</f>
        <v>Night</v>
      </c>
      <c r="S923" s="1" t="str">
        <f>IF(Bike_Sharing_Master6[[#This Row],[Holiday]]=1,"Holiday","Non-Holiday")</f>
        <v>Non-Holiday</v>
      </c>
      <c r="T923" s="1" t="str">
        <f>IF(Bike_Sharing_Master6[[#This Row],[Cnt]]&lt;80,"Low",IF(Bike_Sharing_Master6[[#This Row],[Cnt]]&lt;160,"Medium","High"))</f>
        <v>Low</v>
      </c>
      <c r="U923" s="1" t="str">
        <f>VLOOKUP(Bike_Sharing_Master6[[#This Row],[Weathersit]],[1]Lookup_Weather!A:B,2,FALSE)</f>
        <v>Clear</v>
      </c>
    </row>
    <row r="924" spans="1:21" x14ac:dyDescent="0.3">
      <c r="A924">
        <v>923</v>
      </c>
      <c r="B924" s="3">
        <v>40584</v>
      </c>
      <c r="C924" s="1">
        <v>1</v>
      </c>
      <c r="D924" s="1">
        <v>0</v>
      </c>
      <c r="E924" s="1">
        <v>2</v>
      </c>
      <c r="F924" s="1">
        <v>23</v>
      </c>
      <c r="G924" t="b">
        <v>0</v>
      </c>
      <c r="H924" s="1">
        <v>4</v>
      </c>
      <c r="I924" s="1">
        <v>1</v>
      </c>
      <c r="J924" s="2">
        <v>0.12</v>
      </c>
      <c r="K924" s="2">
        <v>0.1515</v>
      </c>
      <c r="L924" s="2">
        <v>0.42</v>
      </c>
      <c r="M924" s="2">
        <v>0.1045</v>
      </c>
      <c r="N924" s="1">
        <v>1</v>
      </c>
      <c r="O924" s="1">
        <v>33</v>
      </c>
      <c r="P924" s="1">
        <v>34</v>
      </c>
      <c r="Q924" s="1" t="str">
        <f>IF(WEEKDAY(Bike_Sharing_Master6[[#This Row],[Dteday]],2)&gt;=6,"Weekend","Weekday")</f>
        <v>Weekday</v>
      </c>
      <c r="R924" s="1" t="str">
        <f xml:space="preserve"> IF(Bike_Sharing_Master6[[#This Row],[Hr]]&lt;6,"Late Night", IF(Bike_Sharing_Master6[[#This Row],[Hr]]&lt;10,"Morning Peak", IF(Bike_Sharing_Master6[[#This Row],[Hr]]&lt;17,"Daytime", IF(Bike_Sharing_Master6[[#This Row],[Hr]]&lt;21,"Evening Peak","Night"))))</f>
        <v>Night</v>
      </c>
      <c r="S924" s="1" t="str">
        <f>IF(Bike_Sharing_Master6[[#This Row],[Holiday]]=1,"Holiday","Non-Holiday")</f>
        <v>Non-Holiday</v>
      </c>
      <c r="T924" s="1" t="str">
        <f>IF(Bike_Sharing_Master6[[#This Row],[Cnt]]&lt;80,"Low",IF(Bike_Sharing_Master6[[#This Row],[Cnt]]&lt;160,"Medium","High"))</f>
        <v>Low</v>
      </c>
      <c r="U924" s="1" t="str">
        <f>VLOOKUP(Bike_Sharing_Master6[[#This Row],[Weathersit]],[1]Lookup_Weather!A:B,2,FALSE)</f>
        <v>Clear</v>
      </c>
    </row>
    <row r="925" spans="1:21" x14ac:dyDescent="0.3">
      <c r="A925">
        <v>924</v>
      </c>
      <c r="B925" s="3">
        <v>40585</v>
      </c>
      <c r="C925" s="1">
        <v>1</v>
      </c>
      <c r="D925" s="1">
        <v>0</v>
      </c>
      <c r="E925" s="1">
        <v>2</v>
      </c>
      <c r="F925" s="1">
        <v>0</v>
      </c>
      <c r="G925" t="b">
        <v>0</v>
      </c>
      <c r="H925" s="1">
        <v>5</v>
      </c>
      <c r="I925" s="1">
        <v>1</v>
      </c>
      <c r="J925" s="2">
        <v>0.1</v>
      </c>
      <c r="K925" s="2">
        <v>0.13639999999999999</v>
      </c>
      <c r="L925" s="2">
        <v>0.49</v>
      </c>
      <c r="M925" s="2">
        <v>0.1045</v>
      </c>
      <c r="N925" s="1">
        <v>2</v>
      </c>
      <c r="O925" s="1">
        <v>12</v>
      </c>
      <c r="P925" s="1">
        <v>14</v>
      </c>
      <c r="Q925" s="1" t="str">
        <f>IF(WEEKDAY(Bike_Sharing_Master6[[#This Row],[Dteday]],2)&gt;=6,"Weekend","Weekday")</f>
        <v>Weekday</v>
      </c>
      <c r="R925" s="1" t="str">
        <f xml:space="preserve"> IF(Bike_Sharing_Master6[[#This Row],[Hr]]&lt;6,"Late Night", IF(Bike_Sharing_Master6[[#This Row],[Hr]]&lt;10,"Morning Peak", IF(Bike_Sharing_Master6[[#This Row],[Hr]]&lt;17,"Daytime", IF(Bike_Sharing_Master6[[#This Row],[Hr]]&lt;21,"Evening Peak","Night"))))</f>
        <v>Late Night</v>
      </c>
      <c r="S925" s="1" t="str">
        <f>IF(Bike_Sharing_Master6[[#This Row],[Holiday]]=1,"Holiday","Non-Holiday")</f>
        <v>Non-Holiday</v>
      </c>
      <c r="T925" s="1" t="str">
        <f>IF(Bike_Sharing_Master6[[#This Row],[Cnt]]&lt;80,"Low",IF(Bike_Sharing_Master6[[#This Row],[Cnt]]&lt;160,"Medium","High"))</f>
        <v>Low</v>
      </c>
      <c r="U925" s="1" t="str">
        <f>VLOOKUP(Bike_Sharing_Master6[[#This Row],[Weathersit]],[1]Lookup_Weather!A:B,2,FALSE)</f>
        <v>Clear</v>
      </c>
    </row>
    <row r="926" spans="1:21" x14ac:dyDescent="0.3">
      <c r="A926">
        <v>925</v>
      </c>
      <c r="B926" s="3">
        <v>40585</v>
      </c>
      <c r="C926" s="1">
        <v>1</v>
      </c>
      <c r="D926" s="1">
        <v>0</v>
      </c>
      <c r="E926" s="1">
        <v>2</v>
      </c>
      <c r="F926" s="1">
        <v>1</v>
      </c>
      <c r="G926" t="b">
        <v>0</v>
      </c>
      <c r="H926" s="1">
        <v>5</v>
      </c>
      <c r="I926" s="1">
        <v>1</v>
      </c>
      <c r="J926" s="2">
        <v>0.1</v>
      </c>
      <c r="K926" s="2">
        <v>0.13639999999999999</v>
      </c>
      <c r="L926" s="2">
        <v>0.54</v>
      </c>
      <c r="M926" s="2">
        <v>8.9599999999999999E-2</v>
      </c>
      <c r="N926" s="1">
        <v>1</v>
      </c>
      <c r="O926" s="1">
        <v>6</v>
      </c>
      <c r="P926" s="1">
        <v>7</v>
      </c>
      <c r="Q926" s="1" t="str">
        <f>IF(WEEKDAY(Bike_Sharing_Master6[[#This Row],[Dteday]],2)&gt;=6,"Weekend","Weekday")</f>
        <v>Weekday</v>
      </c>
      <c r="R926" s="1" t="str">
        <f xml:space="preserve"> IF(Bike_Sharing_Master6[[#This Row],[Hr]]&lt;6,"Late Night", IF(Bike_Sharing_Master6[[#This Row],[Hr]]&lt;10,"Morning Peak", IF(Bike_Sharing_Master6[[#This Row],[Hr]]&lt;17,"Daytime", IF(Bike_Sharing_Master6[[#This Row],[Hr]]&lt;21,"Evening Peak","Night"))))</f>
        <v>Late Night</v>
      </c>
      <c r="S926" s="1" t="str">
        <f>IF(Bike_Sharing_Master6[[#This Row],[Holiday]]=1,"Holiday","Non-Holiday")</f>
        <v>Non-Holiday</v>
      </c>
      <c r="T926" s="1" t="str">
        <f>IF(Bike_Sharing_Master6[[#This Row],[Cnt]]&lt;80,"Low",IF(Bike_Sharing_Master6[[#This Row],[Cnt]]&lt;160,"Medium","High"))</f>
        <v>Low</v>
      </c>
      <c r="U926" s="1" t="str">
        <f>VLOOKUP(Bike_Sharing_Master6[[#This Row],[Weathersit]],[1]Lookup_Weather!A:B,2,FALSE)</f>
        <v>Clear</v>
      </c>
    </row>
    <row r="927" spans="1:21" x14ac:dyDescent="0.3">
      <c r="A927">
        <v>926</v>
      </c>
      <c r="B927" s="3">
        <v>40585</v>
      </c>
      <c r="C927" s="1">
        <v>1</v>
      </c>
      <c r="D927" s="1">
        <v>0</v>
      </c>
      <c r="E927" s="1">
        <v>2</v>
      </c>
      <c r="F927" s="1">
        <v>2</v>
      </c>
      <c r="G927" t="b">
        <v>0</v>
      </c>
      <c r="H927" s="1">
        <v>5</v>
      </c>
      <c r="I927" s="1">
        <v>1</v>
      </c>
      <c r="J927" s="2">
        <v>0.1</v>
      </c>
      <c r="K927" s="2">
        <v>0.13639999999999999</v>
      </c>
      <c r="L927" s="2">
        <v>0.54</v>
      </c>
      <c r="M927" s="2">
        <v>8.9599999999999999E-2</v>
      </c>
      <c r="N927" s="1">
        <v>0</v>
      </c>
      <c r="O927" s="1">
        <v>3</v>
      </c>
      <c r="P927" s="1">
        <v>3</v>
      </c>
      <c r="Q927" s="1" t="str">
        <f>IF(WEEKDAY(Bike_Sharing_Master6[[#This Row],[Dteday]],2)&gt;=6,"Weekend","Weekday")</f>
        <v>Weekday</v>
      </c>
      <c r="R927" s="1" t="str">
        <f xml:space="preserve"> IF(Bike_Sharing_Master6[[#This Row],[Hr]]&lt;6,"Late Night", IF(Bike_Sharing_Master6[[#This Row],[Hr]]&lt;10,"Morning Peak", IF(Bike_Sharing_Master6[[#This Row],[Hr]]&lt;17,"Daytime", IF(Bike_Sharing_Master6[[#This Row],[Hr]]&lt;21,"Evening Peak","Night"))))</f>
        <v>Late Night</v>
      </c>
      <c r="S927" s="1" t="str">
        <f>IF(Bike_Sharing_Master6[[#This Row],[Holiday]]=1,"Holiday","Non-Holiday")</f>
        <v>Non-Holiday</v>
      </c>
      <c r="T927" s="1" t="str">
        <f>IF(Bike_Sharing_Master6[[#This Row],[Cnt]]&lt;80,"Low",IF(Bike_Sharing_Master6[[#This Row],[Cnt]]&lt;160,"Medium","High"))</f>
        <v>Low</v>
      </c>
      <c r="U927" s="1" t="str">
        <f>VLOOKUP(Bike_Sharing_Master6[[#This Row],[Weathersit]],[1]Lookup_Weather!A:B,2,FALSE)</f>
        <v>Clear</v>
      </c>
    </row>
    <row r="928" spans="1:21" x14ac:dyDescent="0.3">
      <c r="A928">
        <v>927</v>
      </c>
      <c r="B928" s="3">
        <v>40585</v>
      </c>
      <c r="C928" s="1">
        <v>1</v>
      </c>
      <c r="D928" s="1">
        <v>0</v>
      </c>
      <c r="E928" s="1">
        <v>2</v>
      </c>
      <c r="F928" s="1">
        <v>5</v>
      </c>
      <c r="G928" t="b">
        <v>0</v>
      </c>
      <c r="H928" s="1">
        <v>5</v>
      </c>
      <c r="I928" s="1">
        <v>1</v>
      </c>
      <c r="J928" s="2">
        <v>0.08</v>
      </c>
      <c r="K928" s="2">
        <v>0.1212</v>
      </c>
      <c r="L928" s="2">
        <v>0.63</v>
      </c>
      <c r="M928" s="2">
        <v>8.9599999999999999E-2</v>
      </c>
      <c r="N928" s="1">
        <v>0</v>
      </c>
      <c r="O928" s="1">
        <v>4</v>
      </c>
      <c r="P928" s="1">
        <v>4</v>
      </c>
      <c r="Q928" s="1" t="str">
        <f>IF(WEEKDAY(Bike_Sharing_Master6[[#This Row],[Dteday]],2)&gt;=6,"Weekend","Weekday")</f>
        <v>Weekday</v>
      </c>
      <c r="R928" s="1" t="str">
        <f xml:space="preserve"> IF(Bike_Sharing_Master6[[#This Row],[Hr]]&lt;6,"Late Night", IF(Bike_Sharing_Master6[[#This Row],[Hr]]&lt;10,"Morning Peak", IF(Bike_Sharing_Master6[[#This Row],[Hr]]&lt;17,"Daytime", IF(Bike_Sharing_Master6[[#This Row],[Hr]]&lt;21,"Evening Peak","Night"))))</f>
        <v>Late Night</v>
      </c>
      <c r="S928" s="1" t="str">
        <f>IF(Bike_Sharing_Master6[[#This Row],[Holiday]]=1,"Holiday","Non-Holiday")</f>
        <v>Non-Holiday</v>
      </c>
      <c r="T928" s="1" t="str">
        <f>IF(Bike_Sharing_Master6[[#This Row],[Cnt]]&lt;80,"Low",IF(Bike_Sharing_Master6[[#This Row],[Cnt]]&lt;160,"Medium","High"))</f>
        <v>Low</v>
      </c>
      <c r="U928" s="1" t="str">
        <f>VLOOKUP(Bike_Sharing_Master6[[#This Row],[Weathersit]],[1]Lookup_Weather!A:B,2,FALSE)</f>
        <v>Clear</v>
      </c>
    </row>
    <row r="929" spans="1:21" x14ac:dyDescent="0.3">
      <c r="A929">
        <v>928</v>
      </c>
      <c r="B929" s="3">
        <v>40585</v>
      </c>
      <c r="C929" s="1">
        <v>1</v>
      </c>
      <c r="D929" s="1">
        <v>0</v>
      </c>
      <c r="E929" s="1">
        <v>2</v>
      </c>
      <c r="F929" s="1">
        <v>6</v>
      </c>
      <c r="G929" t="b">
        <v>0</v>
      </c>
      <c r="H929" s="1">
        <v>5</v>
      </c>
      <c r="I929" s="1">
        <v>1</v>
      </c>
      <c r="J929" s="2">
        <v>0.1</v>
      </c>
      <c r="K929" s="2">
        <v>0.18179999999999999</v>
      </c>
      <c r="L929" s="2">
        <v>0.68</v>
      </c>
      <c r="M929" s="2">
        <v>0</v>
      </c>
      <c r="N929" s="1">
        <v>1</v>
      </c>
      <c r="O929" s="1">
        <v>23</v>
      </c>
      <c r="P929" s="1">
        <v>24</v>
      </c>
      <c r="Q929" s="1" t="str">
        <f>IF(WEEKDAY(Bike_Sharing_Master6[[#This Row],[Dteday]],2)&gt;=6,"Weekend","Weekday")</f>
        <v>Weekday</v>
      </c>
      <c r="R929" s="1" t="str">
        <f xml:space="preserve"> IF(Bike_Sharing_Master6[[#This Row],[Hr]]&lt;6,"Late Night", IF(Bike_Sharing_Master6[[#This Row],[Hr]]&lt;10,"Morning Peak", IF(Bike_Sharing_Master6[[#This Row],[Hr]]&lt;17,"Daytime", IF(Bike_Sharing_Master6[[#This Row],[Hr]]&lt;21,"Evening Peak","Night"))))</f>
        <v>Morning Peak</v>
      </c>
      <c r="S929" s="1" t="str">
        <f>IF(Bike_Sharing_Master6[[#This Row],[Holiday]]=1,"Holiday","Non-Holiday")</f>
        <v>Non-Holiday</v>
      </c>
      <c r="T929" s="1" t="str">
        <f>IF(Bike_Sharing_Master6[[#This Row],[Cnt]]&lt;80,"Low",IF(Bike_Sharing_Master6[[#This Row],[Cnt]]&lt;160,"Medium","High"))</f>
        <v>Low</v>
      </c>
      <c r="U929" s="1" t="str">
        <f>VLOOKUP(Bike_Sharing_Master6[[#This Row],[Weathersit]],[1]Lookup_Weather!A:B,2,FALSE)</f>
        <v>Clear</v>
      </c>
    </row>
    <row r="930" spans="1:21" x14ac:dyDescent="0.3">
      <c r="A930">
        <v>929</v>
      </c>
      <c r="B930" s="3">
        <v>40585</v>
      </c>
      <c r="C930" s="1">
        <v>1</v>
      </c>
      <c r="D930" s="1">
        <v>0</v>
      </c>
      <c r="E930" s="1">
        <v>2</v>
      </c>
      <c r="F930" s="1">
        <v>7</v>
      </c>
      <c r="G930" t="b">
        <v>0</v>
      </c>
      <c r="H930" s="1">
        <v>5</v>
      </c>
      <c r="I930" s="1">
        <v>1</v>
      </c>
      <c r="J930" s="2">
        <v>0.08</v>
      </c>
      <c r="K930" s="2">
        <v>0.16669999999999999</v>
      </c>
      <c r="L930" s="2">
        <v>0.73</v>
      </c>
      <c r="M930" s="2">
        <v>0</v>
      </c>
      <c r="N930" s="1">
        <v>1</v>
      </c>
      <c r="O930" s="1">
        <v>73</v>
      </c>
      <c r="P930" s="1">
        <v>74</v>
      </c>
      <c r="Q930" s="1" t="str">
        <f>IF(WEEKDAY(Bike_Sharing_Master6[[#This Row],[Dteday]],2)&gt;=6,"Weekend","Weekday")</f>
        <v>Weekday</v>
      </c>
      <c r="R930" s="1" t="str">
        <f xml:space="preserve"> IF(Bike_Sharing_Master6[[#This Row],[Hr]]&lt;6,"Late Night", IF(Bike_Sharing_Master6[[#This Row],[Hr]]&lt;10,"Morning Peak", IF(Bike_Sharing_Master6[[#This Row],[Hr]]&lt;17,"Daytime", IF(Bike_Sharing_Master6[[#This Row],[Hr]]&lt;21,"Evening Peak","Night"))))</f>
        <v>Morning Peak</v>
      </c>
      <c r="S930" s="1" t="str">
        <f>IF(Bike_Sharing_Master6[[#This Row],[Holiday]]=1,"Holiday","Non-Holiday")</f>
        <v>Non-Holiday</v>
      </c>
      <c r="T930" s="1" t="str">
        <f>IF(Bike_Sharing_Master6[[#This Row],[Cnt]]&lt;80,"Low",IF(Bike_Sharing_Master6[[#This Row],[Cnt]]&lt;160,"Medium","High"))</f>
        <v>Low</v>
      </c>
      <c r="U930" s="1" t="str">
        <f>VLOOKUP(Bike_Sharing_Master6[[#This Row],[Weathersit]],[1]Lookup_Weather!A:B,2,FALSE)</f>
        <v>Clear</v>
      </c>
    </row>
    <row r="931" spans="1:21" x14ac:dyDescent="0.3">
      <c r="A931">
        <v>930</v>
      </c>
      <c r="B931" s="3">
        <v>40585</v>
      </c>
      <c r="C931" s="1">
        <v>1</v>
      </c>
      <c r="D931" s="1">
        <v>0</v>
      </c>
      <c r="E931" s="1">
        <v>2</v>
      </c>
      <c r="F931" s="1">
        <v>8</v>
      </c>
      <c r="G931" t="b">
        <v>0</v>
      </c>
      <c r="H931" s="1">
        <v>5</v>
      </c>
      <c r="I931" s="1">
        <v>1</v>
      </c>
      <c r="J931" s="2">
        <v>0.1</v>
      </c>
      <c r="K931" s="2">
        <v>0.1212</v>
      </c>
      <c r="L931" s="2">
        <v>0.74</v>
      </c>
      <c r="M931" s="2">
        <v>0.16420000000000001</v>
      </c>
      <c r="N931" s="1">
        <v>4</v>
      </c>
      <c r="O931" s="1">
        <v>212</v>
      </c>
      <c r="P931" s="1">
        <v>216</v>
      </c>
      <c r="Q931" s="1" t="str">
        <f>IF(WEEKDAY(Bike_Sharing_Master6[[#This Row],[Dteday]],2)&gt;=6,"Weekend","Weekday")</f>
        <v>Weekday</v>
      </c>
      <c r="R931" s="1" t="str">
        <f xml:space="preserve"> IF(Bike_Sharing_Master6[[#This Row],[Hr]]&lt;6,"Late Night", IF(Bike_Sharing_Master6[[#This Row],[Hr]]&lt;10,"Morning Peak", IF(Bike_Sharing_Master6[[#This Row],[Hr]]&lt;17,"Daytime", IF(Bike_Sharing_Master6[[#This Row],[Hr]]&lt;21,"Evening Peak","Night"))))</f>
        <v>Morning Peak</v>
      </c>
      <c r="S931" s="1" t="str">
        <f>IF(Bike_Sharing_Master6[[#This Row],[Holiday]]=1,"Holiday","Non-Holiday")</f>
        <v>Non-Holiday</v>
      </c>
      <c r="T931" s="1" t="str">
        <f>IF(Bike_Sharing_Master6[[#This Row],[Cnt]]&lt;80,"Low",IF(Bike_Sharing_Master6[[#This Row],[Cnt]]&lt;160,"Medium","High"))</f>
        <v>High</v>
      </c>
      <c r="U931" s="1" t="str">
        <f>VLOOKUP(Bike_Sharing_Master6[[#This Row],[Weathersit]],[1]Lookup_Weather!A:B,2,FALSE)</f>
        <v>Clear</v>
      </c>
    </row>
    <row r="932" spans="1:21" x14ac:dyDescent="0.3">
      <c r="A932">
        <v>931</v>
      </c>
      <c r="B932" s="3">
        <v>40585</v>
      </c>
      <c r="C932" s="1">
        <v>1</v>
      </c>
      <c r="D932" s="1">
        <v>0</v>
      </c>
      <c r="E932" s="1">
        <v>2</v>
      </c>
      <c r="F932" s="1">
        <v>9</v>
      </c>
      <c r="G932" t="b">
        <v>0</v>
      </c>
      <c r="H932" s="1">
        <v>5</v>
      </c>
      <c r="I932" s="1">
        <v>1</v>
      </c>
      <c r="J932" s="2">
        <v>0.12</v>
      </c>
      <c r="K932" s="2">
        <v>0.1212</v>
      </c>
      <c r="L932" s="2">
        <v>0.74</v>
      </c>
      <c r="M932" s="2">
        <v>0.22389999999999999</v>
      </c>
      <c r="N932" s="1">
        <v>8</v>
      </c>
      <c r="O932" s="1">
        <v>132</v>
      </c>
      <c r="P932" s="1">
        <v>140</v>
      </c>
      <c r="Q932" s="1" t="str">
        <f>IF(WEEKDAY(Bike_Sharing_Master6[[#This Row],[Dteday]],2)&gt;=6,"Weekend","Weekday")</f>
        <v>Weekday</v>
      </c>
      <c r="R932" s="1" t="str">
        <f xml:space="preserve"> IF(Bike_Sharing_Master6[[#This Row],[Hr]]&lt;6,"Late Night", IF(Bike_Sharing_Master6[[#This Row],[Hr]]&lt;10,"Morning Peak", IF(Bike_Sharing_Master6[[#This Row],[Hr]]&lt;17,"Daytime", IF(Bike_Sharing_Master6[[#This Row],[Hr]]&lt;21,"Evening Peak","Night"))))</f>
        <v>Morning Peak</v>
      </c>
      <c r="S932" s="1" t="str">
        <f>IF(Bike_Sharing_Master6[[#This Row],[Holiday]]=1,"Holiday","Non-Holiday")</f>
        <v>Non-Holiday</v>
      </c>
      <c r="T932" s="1" t="str">
        <f>IF(Bike_Sharing_Master6[[#This Row],[Cnt]]&lt;80,"Low",IF(Bike_Sharing_Master6[[#This Row],[Cnt]]&lt;160,"Medium","High"))</f>
        <v>Medium</v>
      </c>
      <c r="U932" s="1" t="str">
        <f>VLOOKUP(Bike_Sharing_Master6[[#This Row],[Weathersit]],[1]Lookup_Weather!A:B,2,FALSE)</f>
        <v>Clear</v>
      </c>
    </row>
    <row r="933" spans="1:21" x14ac:dyDescent="0.3">
      <c r="A933">
        <v>932</v>
      </c>
      <c r="B933" s="3">
        <v>40585</v>
      </c>
      <c r="C933" s="1">
        <v>1</v>
      </c>
      <c r="D933" s="1">
        <v>0</v>
      </c>
      <c r="E933" s="1">
        <v>2</v>
      </c>
      <c r="F933" s="1">
        <v>10</v>
      </c>
      <c r="G933" t="b">
        <v>0</v>
      </c>
      <c r="H933" s="1">
        <v>5</v>
      </c>
      <c r="I933" s="1">
        <v>1</v>
      </c>
      <c r="J933" s="2">
        <v>0.14000000000000001</v>
      </c>
      <c r="K933" s="2">
        <v>0.13639999999999999</v>
      </c>
      <c r="L933" s="2">
        <v>0.69</v>
      </c>
      <c r="M933" s="2">
        <v>0.19400000000000001</v>
      </c>
      <c r="N933" s="1">
        <v>5</v>
      </c>
      <c r="O933" s="1">
        <v>39</v>
      </c>
      <c r="P933" s="1">
        <v>44</v>
      </c>
      <c r="Q933" s="1" t="str">
        <f>IF(WEEKDAY(Bike_Sharing_Master6[[#This Row],[Dteday]],2)&gt;=6,"Weekend","Weekday")</f>
        <v>Weekday</v>
      </c>
      <c r="R933" s="1" t="str">
        <f xml:space="preserve"> IF(Bike_Sharing_Master6[[#This Row],[Hr]]&lt;6,"Late Night", IF(Bike_Sharing_Master6[[#This Row],[Hr]]&lt;10,"Morning Peak", IF(Bike_Sharing_Master6[[#This Row],[Hr]]&lt;17,"Daytime", IF(Bike_Sharing_Master6[[#This Row],[Hr]]&lt;21,"Evening Peak","Night"))))</f>
        <v>Daytime</v>
      </c>
      <c r="S933" s="1" t="str">
        <f>IF(Bike_Sharing_Master6[[#This Row],[Holiday]]=1,"Holiday","Non-Holiday")</f>
        <v>Non-Holiday</v>
      </c>
      <c r="T933" s="1" t="str">
        <f>IF(Bike_Sharing_Master6[[#This Row],[Cnt]]&lt;80,"Low",IF(Bike_Sharing_Master6[[#This Row],[Cnt]]&lt;160,"Medium","High"))</f>
        <v>Low</v>
      </c>
      <c r="U933" s="1" t="str">
        <f>VLOOKUP(Bike_Sharing_Master6[[#This Row],[Weathersit]],[1]Lookup_Weather!A:B,2,FALSE)</f>
        <v>Clear</v>
      </c>
    </row>
    <row r="934" spans="1:21" x14ac:dyDescent="0.3">
      <c r="A934">
        <v>933</v>
      </c>
      <c r="B934" s="3">
        <v>40585</v>
      </c>
      <c r="C934" s="1">
        <v>1</v>
      </c>
      <c r="D934" s="1">
        <v>0</v>
      </c>
      <c r="E934" s="1">
        <v>2</v>
      </c>
      <c r="F934" s="1">
        <v>11</v>
      </c>
      <c r="G934" t="b">
        <v>0</v>
      </c>
      <c r="H934" s="1">
        <v>5</v>
      </c>
      <c r="I934" s="1">
        <v>1</v>
      </c>
      <c r="J934" s="2">
        <v>0.22</v>
      </c>
      <c r="K934" s="2">
        <v>0.2273</v>
      </c>
      <c r="L934" s="2">
        <v>0.47</v>
      </c>
      <c r="M934" s="2">
        <v>0.1343</v>
      </c>
      <c r="N934" s="1">
        <v>12</v>
      </c>
      <c r="O934" s="1">
        <v>52</v>
      </c>
      <c r="P934" s="1">
        <v>64</v>
      </c>
      <c r="Q934" s="1" t="str">
        <f>IF(WEEKDAY(Bike_Sharing_Master6[[#This Row],[Dteday]],2)&gt;=6,"Weekend","Weekday")</f>
        <v>Weekday</v>
      </c>
      <c r="R934" s="1" t="str">
        <f xml:space="preserve"> IF(Bike_Sharing_Master6[[#This Row],[Hr]]&lt;6,"Late Night", IF(Bike_Sharing_Master6[[#This Row],[Hr]]&lt;10,"Morning Peak", IF(Bike_Sharing_Master6[[#This Row],[Hr]]&lt;17,"Daytime", IF(Bike_Sharing_Master6[[#This Row],[Hr]]&lt;21,"Evening Peak","Night"))))</f>
        <v>Daytime</v>
      </c>
      <c r="S934" s="1" t="str">
        <f>IF(Bike_Sharing_Master6[[#This Row],[Holiday]]=1,"Holiday","Non-Holiday")</f>
        <v>Non-Holiday</v>
      </c>
      <c r="T934" s="1" t="str">
        <f>IF(Bike_Sharing_Master6[[#This Row],[Cnt]]&lt;80,"Low",IF(Bike_Sharing_Master6[[#This Row],[Cnt]]&lt;160,"Medium","High"))</f>
        <v>Low</v>
      </c>
      <c r="U934" s="1" t="str">
        <f>VLOOKUP(Bike_Sharing_Master6[[#This Row],[Weathersit]],[1]Lookup_Weather!A:B,2,FALSE)</f>
        <v>Clear</v>
      </c>
    </row>
    <row r="935" spans="1:21" x14ac:dyDescent="0.3">
      <c r="A935">
        <v>934</v>
      </c>
      <c r="B935" s="3">
        <v>40585</v>
      </c>
      <c r="C935" s="1">
        <v>1</v>
      </c>
      <c r="D935" s="1">
        <v>0</v>
      </c>
      <c r="E935" s="1">
        <v>2</v>
      </c>
      <c r="F935" s="1">
        <v>12</v>
      </c>
      <c r="G935" t="b">
        <v>0</v>
      </c>
      <c r="H935" s="1">
        <v>5</v>
      </c>
      <c r="I935" s="1">
        <v>1</v>
      </c>
      <c r="J935" s="2">
        <v>0.22</v>
      </c>
      <c r="K935" s="2">
        <v>0.2273</v>
      </c>
      <c r="L935" s="2">
        <v>0.47</v>
      </c>
      <c r="M935" s="2">
        <v>0.1343</v>
      </c>
      <c r="N935" s="1">
        <v>7</v>
      </c>
      <c r="O935" s="1">
        <v>64</v>
      </c>
      <c r="P935" s="1">
        <v>71</v>
      </c>
      <c r="Q935" s="1" t="str">
        <f>IF(WEEKDAY(Bike_Sharing_Master6[[#This Row],[Dteday]],2)&gt;=6,"Weekend","Weekday")</f>
        <v>Weekday</v>
      </c>
      <c r="R935" s="1" t="str">
        <f xml:space="preserve"> IF(Bike_Sharing_Master6[[#This Row],[Hr]]&lt;6,"Late Night", IF(Bike_Sharing_Master6[[#This Row],[Hr]]&lt;10,"Morning Peak", IF(Bike_Sharing_Master6[[#This Row],[Hr]]&lt;17,"Daytime", IF(Bike_Sharing_Master6[[#This Row],[Hr]]&lt;21,"Evening Peak","Night"))))</f>
        <v>Daytime</v>
      </c>
      <c r="S935" s="1" t="str">
        <f>IF(Bike_Sharing_Master6[[#This Row],[Holiday]]=1,"Holiday","Non-Holiday")</f>
        <v>Non-Holiday</v>
      </c>
      <c r="T935" s="1" t="str">
        <f>IF(Bike_Sharing_Master6[[#This Row],[Cnt]]&lt;80,"Low",IF(Bike_Sharing_Master6[[#This Row],[Cnt]]&lt;160,"Medium","High"))</f>
        <v>Low</v>
      </c>
      <c r="U935" s="1" t="str">
        <f>VLOOKUP(Bike_Sharing_Master6[[#This Row],[Weathersit]],[1]Lookup_Weather!A:B,2,FALSE)</f>
        <v>Clear</v>
      </c>
    </row>
    <row r="936" spans="1:21" x14ac:dyDescent="0.3">
      <c r="A936">
        <v>935</v>
      </c>
      <c r="B936" s="3">
        <v>40585</v>
      </c>
      <c r="C936" s="1">
        <v>1</v>
      </c>
      <c r="D936" s="1">
        <v>0</v>
      </c>
      <c r="E936" s="1">
        <v>2</v>
      </c>
      <c r="F936" s="1">
        <v>13</v>
      </c>
      <c r="G936" t="b">
        <v>0</v>
      </c>
      <c r="H936" s="1">
        <v>5</v>
      </c>
      <c r="I936" s="1">
        <v>1</v>
      </c>
      <c r="J936" s="2">
        <v>0.24</v>
      </c>
      <c r="K936" s="2">
        <v>0.2273</v>
      </c>
      <c r="L936" s="2">
        <v>0.35</v>
      </c>
      <c r="M936" s="2">
        <v>0.19400000000000001</v>
      </c>
      <c r="N936" s="1">
        <v>21</v>
      </c>
      <c r="O936" s="1">
        <v>89</v>
      </c>
      <c r="P936" s="1">
        <v>110</v>
      </c>
      <c r="Q936" s="1" t="str">
        <f>IF(WEEKDAY(Bike_Sharing_Master6[[#This Row],[Dteday]],2)&gt;=6,"Weekend","Weekday")</f>
        <v>Weekday</v>
      </c>
      <c r="R936" s="1" t="str">
        <f xml:space="preserve"> IF(Bike_Sharing_Master6[[#This Row],[Hr]]&lt;6,"Late Night", IF(Bike_Sharing_Master6[[#This Row],[Hr]]&lt;10,"Morning Peak", IF(Bike_Sharing_Master6[[#This Row],[Hr]]&lt;17,"Daytime", IF(Bike_Sharing_Master6[[#This Row],[Hr]]&lt;21,"Evening Peak","Night"))))</f>
        <v>Daytime</v>
      </c>
      <c r="S936" s="1" t="str">
        <f>IF(Bike_Sharing_Master6[[#This Row],[Holiday]]=1,"Holiday","Non-Holiday")</f>
        <v>Non-Holiday</v>
      </c>
      <c r="T936" s="1" t="str">
        <f>IF(Bike_Sharing_Master6[[#This Row],[Cnt]]&lt;80,"Low",IF(Bike_Sharing_Master6[[#This Row],[Cnt]]&lt;160,"Medium","High"))</f>
        <v>Medium</v>
      </c>
      <c r="U936" s="1" t="str">
        <f>VLOOKUP(Bike_Sharing_Master6[[#This Row],[Weathersit]],[1]Lookup_Weather!A:B,2,FALSE)</f>
        <v>Clear</v>
      </c>
    </row>
    <row r="937" spans="1:21" x14ac:dyDescent="0.3">
      <c r="A937">
        <v>936</v>
      </c>
      <c r="B937" s="3">
        <v>40585</v>
      </c>
      <c r="C937" s="1">
        <v>1</v>
      </c>
      <c r="D937" s="1">
        <v>0</v>
      </c>
      <c r="E937" s="1">
        <v>2</v>
      </c>
      <c r="F937" s="1">
        <v>14</v>
      </c>
      <c r="G937" t="b">
        <v>0</v>
      </c>
      <c r="H937" s="1">
        <v>5</v>
      </c>
      <c r="I937" s="1">
        <v>1</v>
      </c>
      <c r="J937" s="2">
        <v>0.3</v>
      </c>
      <c r="K937" s="2">
        <v>0.28789999999999999</v>
      </c>
      <c r="L937" s="2">
        <v>0.26</v>
      </c>
      <c r="M937" s="2">
        <v>0.25369999999999998</v>
      </c>
      <c r="N937" s="1">
        <v>17</v>
      </c>
      <c r="O937" s="1">
        <v>67</v>
      </c>
      <c r="P937" s="1">
        <v>84</v>
      </c>
      <c r="Q937" s="1" t="str">
        <f>IF(WEEKDAY(Bike_Sharing_Master6[[#This Row],[Dteday]],2)&gt;=6,"Weekend","Weekday")</f>
        <v>Weekday</v>
      </c>
      <c r="R937" s="1" t="str">
        <f xml:space="preserve"> IF(Bike_Sharing_Master6[[#This Row],[Hr]]&lt;6,"Late Night", IF(Bike_Sharing_Master6[[#This Row],[Hr]]&lt;10,"Morning Peak", IF(Bike_Sharing_Master6[[#This Row],[Hr]]&lt;17,"Daytime", IF(Bike_Sharing_Master6[[#This Row],[Hr]]&lt;21,"Evening Peak","Night"))))</f>
        <v>Daytime</v>
      </c>
      <c r="S937" s="1" t="str">
        <f>IF(Bike_Sharing_Master6[[#This Row],[Holiday]]=1,"Holiday","Non-Holiday")</f>
        <v>Non-Holiday</v>
      </c>
      <c r="T937" s="1" t="str">
        <f>IF(Bike_Sharing_Master6[[#This Row],[Cnt]]&lt;80,"Low",IF(Bike_Sharing_Master6[[#This Row],[Cnt]]&lt;160,"Medium","High"))</f>
        <v>Medium</v>
      </c>
      <c r="U937" s="1" t="str">
        <f>VLOOKUP(Bike_Sharing_Master6[[#This Row],[Weathersit]],[1]Lookup_Weather!A:B,2,FALSE)</f>
        <v>Clear</v>
      </c>
    </row>
    <row r="938" spans="1:21" x14ac:dyDescent="0.3">
      <c r="A938">
        <v>937</v>
      </c>
      <c r="B938" s="3">
        <v>40585</v>
      </c>
      <c r="C938" s="1">
        <v>1</v>
      </c>
      <c r="D938" s="1">
        <v>0</v>
      </c>
      <c r="E938" s="1">
        <v>2</v>
      </c>
      <c r="F938" s="1">
        <v>15</v>
      </c>
      <c r="G938" t="b">
        <v>0</v>
      </c>
      <c r="H938" s="1">
        <v>5</v>
      </c>
      <c r="I938" s="1">
        <v>1</v>
      </c>
      <c r="J938" s="2">
        <v>0.32</v>
      </c>
      <c r="K938" s="2">
        <v>0.31819999999999998</v>
      </c>
      <c r="L938" s="2">
        <v>0.21</v>
      </c>
      <c r="M938" s="2">
        <v>0.16420000000000001</v>
      </c>
      <c r="N938" s="1">
        <v>12</v>
      </c>
      <c r="O938" s="1">
        <v>62</v>
      </c>
      <c r="P938" s="1">
        <v>74</v>
      </c>
      <c r="Q938" s="1" t="str">
        <f>IF(WEEKDAY(Bike_Sharing_Master6[[#This Row],[Dteday]],2)&gt;=6,"Weekend","Weekday")</f>
        <v>Weekday</v>
      </c>
      <c r="R938" s="1" t="str">
        <f xml:space="preserve"> IF(Bike_Sharing_Master6[[#This Row],[Hr]]&lt;6,"Late Night", IF(Bike_Sharing_Master6[[#This Row],[Hr]]&lt;10,"Morning Peak", IF(Bike_Sharing_Master6[[#This Row],[Hr]]&lt;17,"Daytime", IF(Bike_Sharing_Master6[[#This Row],[Hr]]&lt;21,"Evening Peak","Night"))))</f>
        <v>Daytime</v>
      </c>
      <c r="S938" s="1" t="str">
        <f>IF(Bike_Sharing_Master6[[#This Row],[Holiday]]=1,"Holiday","Non-Holiday")</f>
        <v>Non-Holiday</v>
      </c>
      <c r="T938" s="1" t="str">
        <f>IF(Bike_Sharing_Master6[[#This Row],[Cnt]]&lt;80,"Low",IF(Bike_Sharing_Master6[[#This Row],[Cnt]]&lt;160,"Medium","High"))</f>
        <v>Low</v>
      </c>
      <c r="U938" s="1" t="str">
        <f>VLOOKUP(Bike_Sharing_Master6[[#This Row],[Weathersit]],[1]Lookup_Weather!A:B,2,FALSE)</f>
        <v>Clear</v>
      </c>
    </row>
    <row r="939" spans="1:21" x14ac:dyDescent="0.3">
      <c r="A939">
        <v>938</v>
      </c>
      <c r="B939" s="3">
        <v>40585</v>
      </c>
      <c r="C939" s="1">
        <v>1</v>
      </c>
      <c r="D939" s="1">
        <v>0</v>
      </c>
      <c r="E939" s="1">
        <v>2</v>
      </c>
      <c r="F939" s="1">
        <v>16</v>
      </c>
      <c r="G939" t="b">
        <v>0</v>
      </c>
      <c r="H939" s="1">
        <v>5</v>
      </c>
      <c r="I939" s="1">
        <v>1</v>
      </c>
      <c r="J939" s="2">
        <v>0.3</v>
      </c>
      <c r="K939" s="2">
        <v>0.28789999999999999</v>
      </c>
      <c r="L939" s="2">
        <v>0.28000000000000003</v>
      </c>
      <c r="M939" s="2">
        <v>0.19400000000000001</v>
      </c>
      <c r="N939" s="1">
        <v>14</v>
      </c>
      <c r="O939" s="1">
        <v>111</v>
      </c>
      <c r="P939" s="1">
        <v>125</v>
      </c>
      <c r="Q939" s="1" t="str">
        <f>IF(WEEKDAY(Bike_Sharing_Master6[[#This Row],[Dteday]],2)&gt;=6,"Weekend","Weekday")</f>
        <v>Weekday</v>
      </c>
      <c r="R939" s="1" t="str">
        <f xml:space="preserve"> IF(Bike_Sharing_Master6[[#This Row],[Hr]]&lt;6,"Late Night", IF(Bike_Sharing_Master6[[#This Row],[Hr]]&lt;10,"Morning Peak", IF(Bike_Sharing_Master6[[#This Row],[Hr]]&lt;17,"Daytime", IF(Bike_Sharing_Master6[[#This Row],[Hr]]&lt;21,"Evening Peak","Night"))))</f>
        <v>Daytime</v>
      </c>
      <c r="S939" s="1" t="str">
        <f>IF(Bike_Sharing_Master6[[#This Row],[Holiday]]=1,"Holiday","Non-Holiday")</f>
        <v>Non-Holiday</v>
      </c>
      <c r="T939" s="1" t="str">
        <f>IF(Bike_Sharing_Master6[[#This Row],[Cnt]]&lt;80,"Low",IF(Bike_Sharing_Master6[[#This Row],[Cnt]]&lt;160,"Medium","High"))</f>
        <v>Medium</v>
      </c>
      <c r="U939" s="1" t="str">
        <f>VLOOKUP(Bike_Sharing_Master6[[#This Row],[Weathersit]],[1]Lookup_Weather!A:B,2,FALSE)</f>
        <v>Clear</v>
      </c>
    </row>
    <row r="940" spans="1:21" x14ac:dyDescent="0.3">
      <c r="A940">
        <v>939</v>
      </c>
      <c r="B940" s="3">
        <v>40585</v>
      </c>
      <c r="C940" s="1">
        <v>1</v>
      </c>
      <c r="D940" s="1">
        <v>0</v>
      </c>
      <c r="E940" s="1">
        <v>2</v>
      </c>
      <c r="F940" s="1">
        <v>17</v>
      </c>
      <c r="G940" t="b">
        <v>0</v>
      </c>
      <c r="H940" s="1">
        <v>5</v>
      </c>
      <c r="I940" s="1">
        <v>1</v>
      </c>
      <c r="J940" s="2">
        <v>0.3</v>
      </c>
      <c r="K940" s="2">
        <v>0.33329999999999999</v>
      </c>
      <c r="L940" s="2">
        <v>0.24</v>
      </c>
      <c r="M940" s="2">
        <v>0</v>
      </c>
      <c r="N940" s="1">
        <v>18</v>
      </c>
      <c r="O940" s="1">
        <v>193</v>
      </c>
      <c r="P940" s="1">
        <v>211</v>
      </c>
      <c r="Q940" s="1" t="str">
        <f>IF(WEEKDAY(Bike_Sharing_Master6[[#This Row],[Dteday]],2)&gt;=6,"Weekend","Weekday")</f>
        <v>Weekday</v>
      </c>
      <c r="R940" s="1" t="str">
        <f xml:space="preserve"> IF(Bike_Sharing_Master6[[#This Row],[Hr]]&lt;6,"Late Night", IF(Bike_Sharing_Master6[[#This Row],[Hr]]&lt;10,"Morning Peak", IF(Bike_Sharing_Master6[[#This Row],[Hr]]&lt;17,"Daytime", IF(Bike_Sharing_Master6[[#This Row],[Hr]]&lt;21,"Evening Peak","Night"))))</f>
        <v>Evening Peak</v>
      </c>
      <c r="S940" s="1" t="str">
        <f>IF(Bike_Sharing_Master6[[#This Row],[Holiday]]=1,"Holiday","Non-Holiday")</f>
        <v>Non-Holiday</v>
      </c>
      <c r="T940" s="1" t="str">
        <f>IF(Bike_Sharing_Master6[[#This Row],[Cnt]]&lt;80,"Low",IF(Bike_Sharing_Master6[[#This Row],[Cnt]]&lt;160,"Medium","High"))</f>
        <v>High</v>
      </c>
      <c r="U940" s="1" t="str">
        <f>VLOOKUP(Bike_Sharing_Master6[[#This Row],[Weathersit]],[1]Lookup_Weather!A:B,2,FALSE)</f>
        <v>Clear</v>
      </c>
    </row>
    <row r="941" spans="1:21" x14ac:dyDescent="0.3">
      <c r="A941">
        <v>940</v>
      </c>
      <c r="B941" s="3">
        <v>40585</v>
      </c>
      <c r="C941" s="1">
        <v>1</v>
      </c>
      <c r="D941" s="1">
        <v>0</v>
      </c>
      <c r="E941" s="1">
        <v>2</v>
      </c>
      <c r="F941" s="1">
        <v>18</v>
      </c>
      <c r="G941" t="b">
        <v>0</v>
      </c>
      <c r="H941" s="1">
        <v>5</v>
      </c>
      <c r="I941" s="1">
        <v>1</v>
      </c>
      <c r="J941" s="2">
        <v>0.28000000000000003</v>
      </c>
      <c r="K941" s="2">
        <v>0.31819999999999998</v>
      </c>
      <c r="L941" s="2">
        <v>0.28000000000000003</v>
      </c>
      <c r="M941" s="2">
        <v>0</v>
      </c>
      <c r="N941" s="1">
        <v>9</v>
      </c>
      <c r="O941" s="1">
        <v>165</v>
      </c>
      <c r="P941" s="1">
        <v>174</v>
      </c>
      <c r="Q941" s="1" t="str">
        <f>IF(WEEKDAY(Bike_Sharing_Master6[[#This Row],[Dteday]],2)&gt;=6,"Weekend","Weekday")</f>
        <v>Weekday</v>
      </c>
      <c r="R941" s="1" t="str">
        <f xml:space="preserve"> IF(Bike_Sharing_Master6[[#This Row],[Hr]]&lt;6,"Late Night", IF(Bike_Sharing_Master6[[#This Row],[Hr]]&lt;10,"Morning Peak", IF(Bike_Sharing_Master6[[#This Row],[Hr]]&lt;17,"Daytime", IF(Bike_Sharing_Master6[[#This Row],[Hr]]&lt;21,"Evening Peak","Night"))))</f>
        <v>Evening Peak</v>
      </c>
      <c r="S941" s="1" t="str">
        <f>IF(Bike_Sharing_Master6[[#This Row],[Holiday]]=1,"Holiday","Non-Holiday")</f>
        <v>Non-Holiday</v>
      </c>
      <c r="T941" s="1" t="str">
        <f>IF(Bike_Sharing_Master6[[#This Row],[Cnt]]&lt;80,"Low",IF(Bike_Sharing_Master6[[#This Row],[Cnt]]&lt;160,"Medium","High"))</f>
        <v>High</v>
      </c>
      <c r="U941" s="1" t="str">
        <f>VLOOKUP(Bike_Sharing_Master6[[#This Row],[Weathersit]],[1]Lookup_Weather!A:B,2,FALSE)</f>
        <v>Clear</v>
      </c>
    </row>
    <row r="942" spans="1:21" x14ac:dyDescent="0.3">
      <c r="A942">
        <v>941</v>
      </c>
      <c r="B942" s="3">
        <v>40585</v>
      </c>
      <c r="C942" s="1">
        <v>1</v>
      </c>
      <c r="D942" s="1">
        <v>0</v>
      </c>
      <c r="E942" s="1">
        <v>2</v>
      </c>
      <c r="F942" s="1">
        <v>19</v>
      </c>
      <c r="G942" t="b">
        <v>0</v>
      </c>
      <c r="H942" s="1">
        <v>5</v>
      </c>
      <c r="I942" s="1">
        <v>1</v>
      </c>
      <c r="J942" s="2">
        <v>0.26</v>
      </c>
      <c r="K942" s="2">
        <v>0.30299999999999999</v>
      </c>
      <c r="L942" s="2">
        <v>0.33</v>
      </c>
      <c r="M942" s="2">
        <v>0</v>
      </c>
      <c r="N942" s="1">
        <v>7</v>
      </c>
      <c r="O942" s="1">
        <v>94</v>
      </c>
      <c r="P942" s="1">
        <v>101</v>
      </c>
      <c r="Q942" s="1" t="str">
        <f>IF(WEEKDAY(Bike_Sharing_Master6[[#This Row],[Dteday]],2)&gt;=6,"Weekend","Weekday")</f>
        <v>Weekday</v>
      </c>
      <c r="R942" s="1" t="str">
        <f xml:space="preserve"> IF(Bike_Sharing_Master6[[#This Row],[Hr]]&lt;6,"Late Night", IF(Bike_Sharing_Master6[[#This Row],[Hr]]&lt;10,"Morning Peak", IF(Bike_Sharing_Master6[[#This Row],[Hr]]&lt;17,"Daytime", IF(Bike_Sharing_Master6[[#This Row],[Hr]]&lt;21,"Evening Peak","Night"))))</f>
        <v>Evening Peak</v>
      </c>
      <c r="S942" s="1" t="str">
        <f>IF(Bike_Sharing_Master6[[#This Row],[Holiday]]=1,"Holiday","Non-Holiday")</f>
        <v>Non-Holiday</v>
      </c>
      <c r="T942" s="1" t="str">
        <f>IF(Bike_Sharing_Master6[[#This Row],[Cnt]]&lt;80,"Low",IF(Bike_Sharing_Master6[[#This Row],[Cnt]]&lt;160,"Medium","High"))</f>
        <v>Medium</v>
      </c>
      <c r="U942" s="1" t="str">
        <f>VLOOKUP(Bike_Sharing_Master6[[#This Row],[Weathersit]],[1]Lookup_Weather!A:B,2,FALSE)</f>
        <v>Clear</v>
      </c>
    </row>
    <row r="943" spans="1:21" x14ac:dyDescent="0.3">
      <c r="A943">
        <v>942</v>
      </c>
      <c r="B943" s="3">
        <v>40585</v>
      </c>
      <c r="C943" s="1">
        <v>1</v>
      </c>
      <c r="D943" s="1">
        <v>0</v>
      </c>
      <c r="E943" s="1">
        <v>2</v>
      </c>
      <c r="F943" s="1">
        <v>20</v>
      </c>
      <c r="G943" t="b">
        <v>0</v>
      </c>
      <c r="H943" s="1">
        <v>5</v>
      </c>
      <c r="I943" s="1">
        <v>1</v>
      </c>
      <c r="J943" s="2">
        <v>0.22</v>
      </c>
      <c r="K943" s="2">
        <v>0.2273</v>
      </c>
      <c r="L943" s="2">
        <v>0.55000000000000004</v>
      </c>
      <c r="M943" s="2">
        <v>0.1343</v>
      </c>
      <c r="N943" s="1">
        <v>2</v>
      </c>
      <c r="O943" s="1">
        <v>61</v>
      </c>
      <c r="P943" s="1">
        <v>63</v>
      </c>
      <c r="Q943" s="1" t="str">
        <f>IF(WEEKDAY(Bike_Sharing_Master6[[#This Row],[Dteday]],2)&gt;=6,"Weekend","Weekday")</f>
        <v>Weekday</v>
      </c>
      <c r="R943" s="1" t="str">
        <f xml:space="preserve"> IF(Bike_Sharing_Master6[[#This Row],[Hr]]&lt;6,"Late Night", IF(Bike_Sharing_Master6[[#This Row],[Hr]]&lt;10,"Morning Peak", IF(Bike_Sharing_Master6[[#This Row],[Hr]]&lt;17,"Daytime", IF(Bike_Sharing_Master6[[#This Row],[Hr]]&lt;21,"Evening Peak","Night"))))</f>
        <v>Evening Peak</v>
      </c>
      <c r="S943" s="1" t="str">
        <f>IF(Bike_Sharing_Master6[[#This Row],[Holiday]]=1,"Holiday","Non-Holiday")</f>
        <v>Non-Holiday</v>
      </c>
      <c r="T943" s="1" t="str">
        <f>IF(Bike_Sharing_Master6[[#This Row],[Cnt]]&lt;80,"Low",IF(Bike_Sharing_Master6[[#This Row],[Cnt]]&lt;160,"Medium","High"))</f>
        <v>Low</v>
      </c>
      <c r="U943" s="1" t="str">
        <f>VLOOKUP(Bike_Sharing_Master6[[#This Row],[Weathersit]],[1]Lookup_Weather!A:B,2,FALSE)</f>
        <v>Clear</v>
      </c>
    </row>
    <row r="944" spans="1:21" x14ac:dyDescent="0.3">
      <c r="A944">
        <v>943</v>
      </c>
      <c r="B944" s="3">
        <v>40585</v>
      </c>
      <c r="C944" s="1">
        <v>1</v>
      </c>
      <c r="D944" s="1">
        <v>0</v>
      </c>
      <c r="E944" s="1">
        <v>2</v>
      </c>
      <c r="F944" s="1">
        <v>21</v>
      </c>
      <c r="G944" t="b">
        <v>0</v>
      </c>
      <c r="H944" s="1">
        <v>5</v>
      </c>
      <c r="I944" s="1">
        <v>1</v>
      </c>
      <c r="J944" s="2">
        <v>0.2</v>
      </c>
      <c r="K944" s="2">
        <v>0.21210000000000001</v>
      </c>
      <c r="L944" s="2">
        <v>0.59</v>
      </c>
      <c r="M944" s="2">
        <v>0.1343</v>
      </c>
      <c r="N944" s="1">
        <v>1</v>
      </c>
      <c r="O944" s="1">
        <v>46</v>
      </c>
      <c r="P944" s="1">
        <v>47</v>
      </c>
      <c r="Q944" s="1" t="str">
        <f>IF(WEEKDAY(Bike_Sharing_Master6[[#This Row],[Dteday]],2)&gt;=6,"Weekend","Weekday")</f>
        <v>Weekday</v>
      </c>
      <c r="R944" s="1" t="str">
        <f xml:space="preserve"> IF(Bike_Sharing_Master6[[#This Row],[Hr]]&lt;6,"Late Night", IF(Bike_Sharing_Master6[[#This Row],[Hr]]&lt;10,"Morning Peak", IF(Bike_Sharing_Master6[[#This Row],[Hr]]&lt;17,"Daytime", IF(Bike_Sharing_Master6[[#This Row],[Hr]]&lt;21,"Evening Peak","Night"))))</f>
        <v>Night</v>
      </c>
      <c r="S944" s="1" t="str">
        <f>IF(Bike_Sharing_Master6[[#This Row],[Holiday]]=1,"Holiday","Non-Holiday")</f>
        <v>Non-Holiday</v>
      </c>
      <c r="T944" s="1" t="str">
        <f>IF(Bike_Sharing_Master6[[#This Row],[Cnt]]&lt;80,"Low",IF(Bike_Sharing_Master6[[#This Row],[Cnt]]&lt;160,"Medium","High"))</f>
        <v>Low</v>
      </c>
      <c r="U944" s="1" t="str">
        <f>VLOOKUP(Bike_Sharing_Master6[[#This Row],[Weathersit]],[1]Lookup_Weather!A:B,2,FALSE)</f>
        <v>Clear</v>
      </c>
    </row>
    <row r="945" spans="1:21" x14ac:dyDescent="0.3">
      <c r="A945">
        <v>944</v>
      </c>
      <c r="B945" s="3">
        <v>40585</v>
      </c>
      <c r="C945" s="1">
        <v>1</v>
      </c>
      <c r="D945" s="1">
        <v>0</v>
      </c>
      <c r="E945" s="1">
        <v>2</v>
      </c>
      <c r="F945" s="1">
        <v>22</v>
      </c>
      <c r="G945" t="b">
        <v>0</v>
      </c>
      <c r="H945" s="1">
        <v>5</v>
      </c>
      <c r="I945" s="1">
        <v>1</v>
      </c>
      <c r="J945" s="2">
        <v>0.2</v>
      </c>
      <c r="K945" s="2">
        <v>0.2273</v>
      </c>
      <c r="L945" s="2">
        <v>0.64</v>
      </c>
      <c r="M945" s="2">
        <v>8.9599999999999999E-2</v>
      </c>
      <c r="N945" s="1">
        <v>2</v>
      </c>
      <c r="O945" s="1">
        <v>41</v>
      </c>
      <c r="P945" s="1">
        <v>43</v>
      </c>
      <c r="Q945" s="1" t="str">
        <f>IF(WEEKDAY(Bike_Sharing_Master6[[#This Row],[Dteday]],2)&gt;=6,"Weekend","Weekday")</f>
        <v>Weekday</v>
      </c>
      <c r="R945" s="1" t="str">
        <f xml:space="preserve"> IF(Bike_Sharing_Master6[[#This Row],[Hr]]&lt;6,"Late Night", IF(Bike_Sharing_Master6[[#This Row],[Hr]]&lt;10,"Morning Peak", IF(Bike_Sharing_Master6[[#This Row],[Hr]]&lt;17,"Daytime", IF(Bike_Sharing_Master6[[#This Row],[Hr]]&lt;21,"Evening Peak","Night"))))</f>
        <v>Night</v>
      </c>
      <c r="S945" s="1" t="str">
        <f>IF(Bike_Sharing_Master6[[#This Row],[Holiday]]=1,"Holiday","Non-Holiday")</f>
        <v>Non-Holiday</v>
      </c>
      <c r="T945" s="1" t="str">
        <f>IF(Bike_Sharing_Master6[[#This Row],[Cnt]]&lt;80,"Low",IF(Bike_Sharing_Master6[[#This Row],[Cnt]]&lt;160,"Medium","High"))</f>
        <v>Low</v>
      </c>
      <c r="U945" s="1" t="str">
        <f>VLOOKUP(Bike_Sharing_Master6[[#This Row],[Weathersit]],[1]Lookup_Weather!A:B,2,FALSE)</f>
        <v>Clear</v>
      </c>
    </row>
    <row r="946" spans="1:21" x14ac:dyDescent="0.3">
      <c r="A946">
        <v>945</v>
      </c>
      <c r="B946" s="3">
        <v>40585</v>
      </c>
      <c r="C946" s="1">
        <v>1</v>
      </c>
      <c r="D946" s="1">
        <v>0</v>
      </c>
      <c r="E946" s="1">
        <v>2</v>
      </c>
      <c r="F946" s="1">
        <v>23</v>
      </c>
      <c r="G946" t="b">
        <v>0</v>
      </c>
      <c r="H946" s="1">
        <v>5</v>
      </c>
      <c r="I946" s="1">
        <v>1</v>
      </c>
      <c r="J946" s="2">
        <v>0.18</v>
      </c>
      <c r="K946" s="2">
        <v>0.2424</v>
      </c>
      <c r="L946" s="2">
        <v>0.69</v>
      </c>
      <c r="M946" s="2">
        <v>0</v>
      </c>
      <c r="N946" s="1">
        <v>5</v>
      </c>
      <c r="O946" s="1">
        <v>48</v>
      </c>
      <c r="P946" s="1">
        <v>53</v>
      </c>
      <c r="Q946" s="1" t="str">
        <f>IF(WEEKDAY(Bike_Sharing_Master6[[#This Row],[Dteday]],2)&gt;=6,"Weekend","Weekday")</f>
        <v>Weekday</v>
      </c>
      <c r="R946" s="1" t="str">
        <f xml:space="preserve"> IF(Bike_Sharing_Master6[[#This Row],[Hr]]&lt;6,"Late Night", IF(Bike_Sharing_Master6[[#This Row],[Hr]]&lt;10,"Morning Peak", IF(Bike_Sharing_Master6[[#This Row],[Hr]]&lt;17,"Daytime", IF(Bike_Sharing_Master6[[#This Row],[Hr]]&lt;21,"Evening Peak","Night"))))</f>
        <v>Night</v>
      </c>
      <c r="S946" s="1" t="str">
        <f>IF(Bike_Sharing_Master6[[#This Row],[Holiday]]=1,"Holiday","Non-Holiday")</f>
        <v>Non-Holiday</v>
      </c>
      <c r="T946" s="1" t="str">
        <f>IF(Bike_Sharing_Master6[[#This Row],[Cnt]]&lt;80,"Low",IF(Bike_Sharing_Master6[[#This Row],[Cnt]]&lt;160,"Medium","High"))</f>
        <v>Low</v>
      </c>
      <c r="U946" s="1" t="str">
        <f>VLOOKUP(Bike_Sharing_Master6[[#This Row],[Weathersit]],[1]Lookup_Weather!A:B,2,FALSE)</f>
        <v>Clear</v>
      </c>
    </row>
    <row r="947" spans="1:21" x14ac:dyDescent="0.3">
      <c r="A947">
        <v>946</v>
      </c>
      <c r="B947" s="3">
        <v>40586</v>
      </c>
      <c r="C947" s="1">
        <v>1</v>
      </c>
      <c r="D947" s="1">
        <v>0</v>
      </c>
      <c r="E947" s="1">
        <v>2</v>
      </c>
      <c r="F947" s="1">
        <v>0</v>
      </c>
      <c r="G947" t="b">
        <v>0</v>
      </c>
      <c r="H947" s="1">
        <v>6</v>
      </c>
      <c r="I947" s="1">
        <v>1</v>
      </c>
      <c r="J947" s="2">
        <v>0.16</v>
      </c>
      <c r="K947" s="2">
        <v>0.19700000000000001</v>
      </c>
      <c r="L947" s="2">
        <v>0.69</v>
      </c>
      <c r="M947" s="2">
        <v>8.9599999999999999E-2</v>
      </c>
      <c r="N947" s="1">
        <v>3</v>
      </c>
      <c r="O947" s="1">
        <v>27</v>
      </c>
      <c r="P947" s="1">
        <v>30</v>
      </c>
      <c r="Q947" s="1" t="str">
        <f>IF(WEEKDAY(Bike_Sharing_Master6[[#This Row],[Dteday]],2)&gt;=6,"Weekend","Weekday")</f>
        <v>Weekend</v>
      </c>
      <c r="R947" s="1" t="str">
        <f xml:space="preserve"> IF(Bike_Sharing_Master6[[#This Row],[Hr]]&lt;6,"Late Night", IF(Bike_Sharing_Master6[[#This Row],[Hr]]&lt;10,"Morning Peak", IF(Bike_Sharing_Master6[[#This Row],[Hr]]&lt;17,"Daytime", IF(Bike_Sharing_Master6[[#This Row],[Hr]]&lt;21,"Evening Peak","Night"))))</f>
        <v>Late Night</v>
      </c>
      <c r="S947" s="1" t="str">
        <f>IF(Bike_Sharing_Master6[[#This Row],[Holiday]]=1,"Holiday","Non-Holiday")</f>
        <v>Non-Holiday</v>
      </c>
      <c r="T947" s="1" t="str">
        <f>IF(Bike_Sharing_Master6[[#This Row],[Cnt]]&lt;80,"Low",IF(Bike_Sharing_Master6[[#This Row],[Cnt]]&lt;160,"Medium","High"))</f>
        <v>Low</v>
      </c>
      <c r="U947" s="1" t="str">
        <f>VLOOKUP(Bike_Sharing_Master6[[#This Row],[Weathersit]],[1]Lookup_Weather!A:B,2,FALSE)</f>
        <v>Clear</v>
      </c>
    </row>
    <row r="948" spans="1:21" x14ac:dyDescent="0.3">
      <c r="A948">
        <v>947</v>
      </c>
      <c r="B948" s="3">
        <v>40586</v>
      </c>
      <c r="C948" s="1">
        <v>1</v>
      </c>
      <c r="D948" s="1">
        <v>0</v>
      </c>
      <c r="E948" s="1">
        <v>2</v>
      </c>
      <c r="F948" s="1">
        <v>1</v>
      </c>
      <c r="G948" t="b">
        <v>0</v>
      </c>
      <c r="H948" s="1">
        <v>6</v>
      </c>
      <c r="I948" s="1">
        <v>1</v>
      </c>
      <c r="J948" s="2">
        <v>0.14000000000000001</v>
      </c>
      <c r="K948" s="2">
        <v>0.21210000000000001</v>
      </c>
      <c r="L948" s="2">
        <v>0.86</v>
      </c>
      <c r="M948" s="2">
        <v>0</v>
      </c>
      <c r="N948" s="1">
        <v>2</v>
      </c>
      <c r="O948" s="1">
        <v>22</v>
      </c>
      <c r="P948" s="1">
        <v>24</v>
      </c>
      <c r="Q948" s="1" t="str">
        <f>IF(WEEKDAY(Bike_Sharing_Master6[[#This Row],[Dteday]],2)&gt;=6,"Weekend","Weekday")</f>
        <v>Weekend</v>
      </c>
      <c r="R948" s="1" t="str">
        <f xml:space="preserve"> IF(Bike_Sharing_Master6[[#This Row],[Hr]]&lt;6,"Late Night", IF(Bike_Sharing_Master6[[#This Row],[Hr]]&lt;10,"Morning Peak", IF(Bike_Sharing_Master6[[#This Row],[Hr]]&lt;17,"Daytime", IF(Bike_Sharing_Master6[[#This Row],[Hr]]&lt;21,"Evening Peak","Night"))))</f>
        <v>Late Night</v>
      </c>
      <c r="S948" s="1" t="str">
        <f>IF(Bike_Sharing_Master6[[#This Row],[Holiday]]=1,"Holiday","Non-Holiday")</f>
        <v>Non-Holiday</v>
      </c>
      <c r="T948" s="1" t="str">
        <f>IF(Bike_Sharing_Master6[[#This Row],[Cnt]]&lt;80,"Low",IF(Bike_Sharing_Master6[[#This Row],[Cnt]]&lt;160,"Medium","High"))</f>
        <v>Low</v>
      </c>
      <c r="U948" s="1" t="str">
        <f>VLOOKUP(Bike_Sharing_Master6[[#This Row],[Weathersit]],[1]Lookup_Weather!A:B,2,FALSE)</f>
        <v>Clear</v>
      </c>
    </row>
    <row r="949" spans="1:21" x14ac:dyDescent="0.3">
      <c r="A949">
        <v>948</v>
      </c>
      <c r="B949" s="3">
        <v>40586</v>
      </c>
      <c r="C949" s="1">
        <v>1</v>
      </c>
      <c r="D949" s="1">
        <v>0</v>
      </c>
      <c r="E949" s="1">
        <v>2</v>
      </c>
      <c r="F949" s="1">
        <v>2</v>
      </c>
      <c r="G949" t="b">
        <v>0</v>
      </c>
      <c r="H949" s="1">
        <v>6</v>
      </c>
      <c r="I949" s="1">
        <v>1</v>
      </c>
      <c r="J949" s="2">
        <v>0.14000000000000001</v>
      </c>
      <c r="K949" s="2">
        <v>0.21210000000000001</v>
      </c>
      <c r="L949" s="2">
        <v>0.8</v>
      </c>
      <c r="M949" s="2">
        <v>0</v>
      </c>
      <c r="N949" s="1">
        <v>2</v>
      </c>
      <c r="O949" s="1">
        <v>13</v>
      </c>
      <c r="P949" s="1">
        <v>15</v>
      </c>
      <c r="Q949" s="1" t="str">
        <f>IF(WEEKDAY(Bike_Sharing_Master6[[#This Row],[Dteday]],2)&gt;=6,"Weekend","Weekday")</f>
        <v>Weekend</v>
      </c>
      <c r="R949" s="1" t="str">
        <f xml:space="preserve"> IF(Bike_Sharing_Master6[[#This Row],[Hr]]&lt;6,"Late Night", IF(Bike_Sharing_Master6[[#This Row],[Hr]]&lt;10,"Morning Peak", IF(Bike_Sharing_Master6[[#This Row],[Hr]]&lt;17,"Daytime", IF(Bike_Sharing_Master6[[#This Row],[Hr]]&lt;21,"Evening Peak","Night"))))</f>
        <v>Late Night</v>
      </c>
      <c r="S949" s="1" t="str">
        <f>IF(Bike_Sharing_Master6[[#This Row],[Holiday]]=1,"Holiday","Non-Holiday")</f>
        <v>Non-Holiday</v>
      </c>
      <c r="T949" s="1" t="str">
        <f>IF(Bike_Sharing_Master6[[#This Row],[Cnt]]&lt;80,"Low",IF(Bike_Sharing_Master6[[#This Row],[Cnt]]&lt;160,"Medium","High"))</f>
        <v>Low</v>
      </c>
      <c r="U949" s="1" t="str">
        <f>VLOOKUP(Bike_Sharing_Master6[[#This Row],[Weathersit]],[1]Lookup_Weather!A:B,2,FALSE)</f>
        <v>Clear</v>
      </c>
    </row>
    <row r="950" spans="1:21" x14ac:dyDescent="0.3">
      <c r="A950">
        <v>949</v>
      </c>
      <c r="B950" s="3">
        <v>40586</v>
      </c>
      <c r="C950" s="1">
        <v>1</v>
      </c>
      <c r="D950" s="1">
        <v>0</v>
      </c>
      <c r="E950" s="1">
        <v>2</v>
      </c>
      <c r="F950" s="1">
        <v>3</v>
      </c>
      <c r="G950" t="b">
        <v>0</v>
      </c>
      <c r="H950" s="1">
        <v>6</v>
      </c>
      <c r="I950" s="1">
        <v>1</v>
      </c>
      <c r="J950" s="2">
        <v>0.12</v>
      </c>
      <c r="K950" s="2">
        <v>0.19700000000000001</v>
      </c>
      <c r="L950" s="2">
        <v>0.8</v>
      </c>
      <c r="M950" s="2">
        <v>0</v>
      </c>
      <c r="N950" s="1">
        <v>3</v>
      </c>
      <c r="O950" s="1">
        <v>7</v>
      </c>
      <c r="P950" s="1">
        <v>10</v>
      </c>
      <c r="Q950" s="1" t="str">
        <f>IF(WEEKDAY(Bike_Sharing_Master6[[#This Row],[Dteday]],2)&gt;=6,"Weekend","Weekday")</f>
        <v>Weekend</v>
      </c>
      <c r="R950" s="1" t="str">
        <f xml:space="preserve"> IF(Bike_Sharing_Master6[[#This Row],[Hr]]&lt;6,"Late Night", IF(Bike_Sharing_Master6[[#This Row],[Hr]]&lt;10,"Morning Peak", IF(Bike_Sharing_Master6[[#This Row],[Hr]]&lt;17,"Daytime", IF(Bike_Sharing_Master6[[#This Row],[Hr]]&lt;21,"Evening Peak","Night"))))</f>
        <v>Late Night</v>
      </c>
      <c r="S950" s="1" t="str">
        <f>IF(Bike_Sharing_Master6[[#This Row],[Holiday]]=1,"Holiday","Non-Holiday")</f>
        <v>Non-Holiday</v>
      </c>
      <c r="T950" s="1" t="str">
        <f>IF(Bike_Sharing_Master6[[#This Row],[Cnt]]&lt;80,"Low",IF(Bike_Sharing_Master6[[#This Row],[Cnt]]&lt;160,"Medium","High"))</f>
        <v>Low</v>
      </c>
      <c r="U950" s="1" t="str">
        <f>VLOOKUP(Bike_Sharing_Master6[[#This Row],[Weathersit]],[1]Lookup_Weather!A:B,2,FALSE)</f>
        <v>Clear</v>
      </c>
    </row>
    <row r="951" spans="1:21" x14ac:dyDescent="0.3">
      <c r="A951">
        <v>950</v>
      </c>
      <c r="B951" s="3">
        <v>40586</v>
      </c>
      <c r="C951" s="1">
        <v>1</v>
      </c>
      <c r="D951" s="1">
        <v>0</v>
      </c>
      <c r="E951" s="1">
        <v>2</v>
      </c>
      <c r="F951" s="1">
        <v>4</v>
      </c>
      <c r="G951" t="b">
        <v>0</v>
      </c>
      <c r="H951" s="1">
        <v>6</v>
      </c>
      <c r="I951" s="1">
        <v>1</v>
      </c>
      <c r="J951" s="2">
        <v>0.12</v>
      </c>
      <c r="K951" s="2">
        <v>0.16669999999999999</v>
      </c>
      <c r="L951" s="2">
        <v>0.74</v>
      </c>
      <c r="M951" s="2">
        <v>8.9599999999999999E-2</v>
      </c>
      <c r="N951" s="1">
        <v>0</v>
      </c>
      <c r="O951" s="1">
        <v>4</v>
      </c>
      <c r="P951" s="1">
        <v>4</v>
      </c>
      <c r="Q951" s="1" t="str">
        <f>IF(WEEKDAY(Bike_Sharing_Master6[[#This Row],[Dteday]],2)&gt;=6,"Weekend","Weekday")</f>
        <v>Weekend</v>
      </c>
      <c r="R951" s="1" t="str">
        <f xml:space="preserve"> IF(Bike_Sharing_Master6[[#This Row],[Hr]]&lt;6,"Late Night", IF(Bike_Sharing_Master6[[#This Row],[Hr]]&lt;10,"Morning Peak", IF(Bike_Sharing_Master6[[#This Row],[Hr]]&lt;17,"Daytime", IF(Bike_Sharing_Master6[[#This Row],[Hr]]&lt;21,"Evening Peak","Night"))))</f>
        <v>Late Night</v>
      </c>
      <c r="S951" s="1" t="str">
        <f>IF(Bike_Sharing_Master6[[#This Row],[Holiday]]=1,"Holiday","Non-Holiday")</f>
        <v>Non-Holiday</v>
      </c>
      <c r="T951" s="1" t="str">
        <f>IF(Bike_Sharing_Master6[[#This Row],[Cnt]]&lt;80,"Low",IF(Bike_Sharing_Master6[[#This Row],[Cnt]]&lt;160,"Medium","High"))</f>
        <v>Low</v>
      </c>
      <c r="U951" s="1" t="str">
        <f>VLOOKUP(Bike_Sharing_Master6[[#This Row],[Weathersit]],[1]Lookup_Weather!A:B,2,FALSE)</f>
        <v>Clear</v>
      </c>
    </row>
    <row r="952" spans="1:21" x14ac:dyDescent="0.3">
      <c r="A952">
        <v>951</v>
      </c>
      <c r="B952" s="3">
        <v>40586</v>
      </c>
      <c r="C952" s="1">
        <v>1</v>
      </c>
      <c r="D952" s="1">
        <v>0</v>
      </c>
      <c r="E952" s="1">
        <v>2</v>
      </c>
      <c r="F952" s="1">
        <v>5</v>
      </c>
      <c r="G952" t="b">
        <v>0</v>
      </c>
      <c r="H952" s="1">
        <v>6</v>
      </c>
      <c r="I952" s="1">
        <v>1</v>
      </c>
      <c r="J952" s="2">
        <v>0.12</v>
      </c>
      <c r="K952" s="2">
        <v>0.16669999999999999</v>
      </c>
      <c r="L952" s="2">
        <v>0.74</v>
      </c>
      <c r="M952" s="2">
        <v>8.9599999999999999E-2</v>
      </c>
      <c r="N952" s="1">
        <v>0</v>
      </c>
      <c r="O952" s="1">
        <v>1</v>
      </c>
      <c r="P952" s="1">
        <v>1</v>
      </c>
      <c r="Q952" s="1" t="str">
        <f>IF(WEEKDAY(Bike_Sharing_Master6[[#This Row],[Dteday]],2)&gt;=6,"Weekend","Weekday")</f>
        <v>Weekend</v>
      </c>
      <c r="R952" s="1" t="str">
        <f xml:space="preserve"> IF(Bike_Sharing_Master6[[#This Row],[Hr]]&lt;6,"Late Night", IF(Bike_Sharing_Master6[[#This Row],[Hr]]&lt;10,"Morning Peak", IF(Bike_Sharing_Master6[[#This Row],[Hr]]&lt;17,"Daytime", IF(Bike_Sharing_Master6[[#This Row],[Hr]]&lt;21,"Evening Peak","Night"))))</f>
        <v>Late Night</v>
      </c>
      <c r="S952" s="1" t="str">
        <f>IF(Bike_Sharing_Master6[[#This Row],[Holiday]]=1,"Holiday","Non-Holiday")</f>
        <v>Non-Holiday</v>
      </c>
      <c r="T952" s="1" t="str">
        <f>IF(Bike_Sharing_Master6[[#This Row],[Cnt]]&lt;80,"Low",IF(Bike_Sharing_Master6[[#This Row],[Cnt]]&lt;160,"Medium","High"))</f>
        <v>Low</v>
      </c>
      <c r="U952" s="1" t="str">
        <f>VLOOKUP(Bike_Sharing_Master6[[#This Row],[Weathersit]],[1]Lookup_Weather!A:B,2,FALSE)</f>
        <v>Clear</v>
      </c>
    </row>
    <row r="953" spans="1:21" x14ac:dyDescent="0.3">
      <c r="A953">
        <v>952</v>
      </c>
      <c r="B953" s="3">
        <v>40586</v>
      </c>
      <c r="C953" s="1">
        <v>1</v>
      </c>
      <c r="D953" s="1">
        <v>0</v>
      </c>
      <c r="E953" s="1">
        <v>2</v>
      </c>
      <c r="F953" s="1">
        <v>6</v>
      </c>
      <c r="G953" t="b">
        <v>0</v>
      </c>
      <c r="H953" s="1">
        <v>6</v>
      </c>
      <c r="I953" s="1">
        <v>1</v>
      </c>
      <c r="J953" s="2">
        <v>0.12</v>
      </c>
      <c r="K953" s="2">
        <v>0.13639999999999999</v>
      </c>
      <c r="L953" s="2">
        <v>0.93</v>
      </c>
      <c r="M953" s="2">
        <v>0.19400000000000001</v>
      </c>
      <c r="N953" s="1">
        <v>1</v>
      </c>
      <c r="O953" s="1">
        <v>1</v>
      </c>
      <c r="P953" s="1">
        <v>2</v>
      </c>
      <c r="Q953" s="1" t="str">
        <f>IF(WEEKDAY(Bike_Sharing_Master6[[#This Row],[Dteday]],2)&gt;=6,"Weekend","Weekday")</f>
        <v>Weekend</v>
      </c>
      <c r="R953" s="1" t="str">
        <f xml:space="preserve"> IF(Bike_Sharing_Master6[[#This Row],[Hr]]&lt;6,"Late Night", IF(Bike_Sharing_Master6[[#This Row],[Hr]]&lt;10,"Morning Peak", IF(Bike_Sharing_Master6[[#This Row],[Hr]]&lt;17,"Daytime", IF(Bike_Sharing_Master6[[#This Row],[Hr]]&lt;21,"Evening Peak","Night"))))</f>
        <v>Morning Peak</v>
      </c>
      <c r="S953" s="1" t="str">
        <f>IF(Bike_Sharing_Master6[[#This Row],[Holiday]]=1,"Holiday","Non-Holiday")</f>
        <v>Non-Holiday</v>
      </c>
      <c r="T953" s="1" t="str">
        <f>IF(Bike_Sharing_Master6[[#This Row],[Cnt]]&lt;80,"Low",IF(Bike_Sharing_Master6[[#This Row],[Cnt]]&lt;160,"Medium","High"))</f>
        <v>Low</v>
      </c>
      <c r="U953" s="1" t="str">
        <f>VLOOKUP(Bike_Sharing_Master6[[#This Row],[Weathersit]],[1]Lookup_Weather!A:B,2,FALSE)</f>
        <v>Clear</v>
      </c>
    </row>
    <row r="954" spans="1:21" x14ac:dyDescent="0.3">
      <c r="A954">
        <v>953</v>
      </c>
      <c r="B954" s="3">
        <v>40586</v>
      </c>
      <c r="C954" s="1">
        <v>1</v>
      </c>
      <c r="D954" s="1">
        <v>0</v>
      </c>
      <c r="E954" s="1">
        <v>2</v>
      </c>
      <c r="F954" s="1">
        <v>7</v>
      </c>
      <c r="G954" t="b">
        <v>0</v>
      </c>
      <c r="H954" s="1">
        <v>6</v>
      </c>
      <c r="I954" s="1">
        <v>1</v>
      </c>
      <c r="J954" s="2">
        <v>0.12</v>
      </c>
      <c r="K954" s="2">
        <v>0.1515</v>
      </c>
      <c r="L954" s="2">
        <v>0.8</v>
      </c>
      <c r="M954" s="2">
        <v>0.1045</v>
      </c>
      <c r="N954" s="1">
        <v>2</v>
      </c>
      <c r="O954" s="1">
        <v>9</v>
      </c>
      <c r="P954" s="1">
        <v>11</v>
      </c>
      <c r="Q954" s="1" t="str">
        <f>IF(WEEKDAY(Bike_Sharing_Master6[[#This Row],[Dteday]],2)&gt;=6,"Weekend","Weekday")</f>
        <v>Weekend</v>
      </c>
      <c r="R954" s="1" t="str">
        <f xml:space="preserve"> IF(Bike_Sharing_Master6[[#This Row],[Hr]]&lt;6,"Late Night", IF(Bike_Sharing_Master6[[#This Row],[Hr]]&lt;10,"Morning Peak", IF(Bike_Sharing_Master6[[#This Row],[Hr]]&lt;17,"Daytime", IF(Bike_Sharing_Master6[[#This Row],[Hr]]&lt;21,"Evening Peak","Night"))))</f>
        <v>Morning Peak</v>
      </c>
      <c r="S954" s="1" t="str">
        <f>IF(Bike_Sharing_Master6[[#This Row],[Holiday]]=1,"Holiday","Non-Holiday")</f>
        <v>Non-Holiday</v>
      </c>
      <c r="T954" s="1" t="str">
        <f>IF(Bike_Sharing_Master6[[#This Row],[Cnt]]&lt;80,"Low",IF(Bike_Sharing_Master6[[#This Row],[Cnt]]&lt;160,"Medium","High"))</f>
        <v>Low</v>
      </c>
      <c r="U954" s="1" t="str">
        <f>VLOOKUP(Bike_Sharing_Master6[[#This Row],[Weathersit]],[1]Lookup_Weather!A:B,2,FALSE)</f>
        <v>Clear</v>
      </c>
    </row>
    <row r="955" spans="1:21" x14ac:dyDescent="0.3">
      <c r="A955">
        <v>954</v>
      </c>
      <c r="B955" s="3">
        <v>40586</v>
      </c>
      <c r="C955" s="1">
        <v>1</v>
      </c>
      <c r="D955" s="1">
        <v>0</v>
      </c>
      <c r="E955" s="1">
        <v>2</v>
      </c>
      <c r="F955" s="1">
        <v>8</v>
      </c>
      <c r="G955" t="b">
        <v>0</v>
      </c>
      <c r="H955" s="1">
        <v>6</v>
      </c>
      <c r="I955" s="1">
        <v>1</v>
      </c>
      <c r="J955" s="2">
        <v>0.14000000000000001</v>
      </c>
      <c r="K955" s="2">
        <v>0.1515</v>
      </c>
      <c r="L955" s="2">
        <v>0.86</v>
      </c>
      <c r="M955" s="2">
        <v>0.1343</v>
      </c>
      <c r="N955" s="1">
        <v>2</v>
      </c>
      <c r="O955" s="1">
        <v>28</v>
      </c>
      <c r="P955" s="1">
        <v>30</v>
      </c>
      <c r="Q955" s="1" t="str">
        <f>IF(WEEKDAY(Bike_Sharing_Master6[[#This Row],[Dteday]],2)&gt;=6,"Weekend","Weekday")</f>
        <v>Weekend</v>
      </c>
      <c r="R955" s="1" t="str">
        <f xml:space="preserve"> IF(Bike_Sharing_Master6[[#This Row],[Hr]]&lt;6,"Late Night", IF(Bike_Sharing_Master6[[#This Row],[Hr]]&lt;10,"Morning Peak", IF(Bike_Sharing_Master6[[#This Row],[Hr]]&lt;17,"Daytime", IF(Bike_Sharing_Master6[[#This Row],[Hr]]&lt;21,"Evening Peak","Night"))))</f>
        <v>Morning Peak</v>
      </c>
      <c r="S955" s="1" t="str">
        <f>IF(Bike_Sharing_Master6[[#This Row],[Holiday]]=1,"Holiday","Non-Holiday")</f>
        <v>Non-Holiday</v>
      </c>
      <c r="T955" s="1" t="str">
        <f>IF(Bike_Sharing_Master6[[#This Row],[Cnt]]&lt;80,"Low",IF(Bike_Sharing_Master6[[#This Row],[Cnt]]&lt;160,"Medium","High"))</f>
        <v>Low</v>
      </c>
      <c r="U955" s="1" t="str">
        <f>VLOOKUP(Bike_Sharing_Master6[[#This Row],[Weathersit]],[1]Lookup_Weather!A:B,2,FALSE)</f>
        <v>Clear</v>
      </c>
    </row>
    <row r="956" spans="1:21" x14ac:dyDescent="0.3">
      <c r="A956">
        <v>955</v>
      </c>
      <c r="B956" s="3">
        <v>40586</v>
      </c>
      <c r="C956" s="1">
        <v>1</v>
      </c>
      <c r="D956" s="1">
        <v>0</v>
      </c>
      <c r="E956" s="1">
        <v>2</v>
      </c>
      <c r="F956" s="1">
        <v>9</v>
      </c>
      <c r="G956" t="b">
        <v>0</v>
      </c>
      <c r="H956" s="1">
        <v>6</v>
      </c>
      <c r="I956" s="1">
        <v>1</v>
      </c>
      <c r="J956" s="2">
        <v>0.16</v>
      </c>
      <c r="K956" s="2">
        <v>0.18179999999999999</v>
      </c>
      <c r="L956" s="2">
        <v>0.64</v>
      </c>
      <c r="M956" s="2">
        <v>0.1343</v>
      </c>
      <c r="N956" s="1">
        <v>5</v>
      </c>
      <c r="O956" s="1">
        <v>38</v>
      </c>
      <c r="P956" s="1">
        <v>43</v>
      </c>
      <c r="Q956" s="1" t="str">
        <f>IF(WEEKDAY(Bike_Sharing_Master6[[#This Row],[Dteday]],2)&gt;=6,"Weekend","Weekday")</f>
        <v>Weekend</v>
      </c>
      <c r="R956" s="1" t="str">
        <f xml:space="preserve"> IF(Bike_Sharing_Master6[[#This Row],[Hr]]&lt;6,"Late Night", IF(Bike_Sharing_Master6[[#This Row],[Hr]]&lt;10,"Morning Peak", IF(Bike_Sharing_Master6[[#This Row],[Hr]]&lt;17,"Daytime", IF(Bike_Sharing_Master6[[#This Row],[Hr]]&lt;21,"Evening Peak","Night"))))</f>
        <v>Morning Peak</v>
      </c>
      <c r="S956" s="1" t="str">
        <f>IF(Bike_Sharing_Master6[[#This Row],[Holiday]]=1,"Holiday","Non-Holiday")</f>
        <v>Non-Holiday</v>
      </c>
      <c r="T956" s="1" t="str">
        <f>IF(Bike_Sharing_Master6[[#This Row],[Cnt]]&lt;80,"Low",IF(Bike_Sharing_Master6[[#This Row],[Cnt]]&lt;160,"Medium","High"))</f>
        <v>Low</v>
      </c>
      <c r="U956" s="1" t="str">
        <f>VLOOKUP(Bike_Sharing_Master6[[#This Row],[Weathersit]],[1]Lookup_Weather!A:B,2,FALSE)</f>
        <v>Clear</v>
      </c>
    </row>
    <row r="957" spans="1:21" x14ac:dyDescent="0.3">
      <c r="A957">
        <v>956</v>
      </c>
      <c r="B957" s="3">
        <v>40586</v>
      </c>
      <c r="C957" s="1">
        <v>1</v>
      </c>
      <c r="D957" s="1">
        <v>0</v>
      </c>
      <c r="E957" s="1">
        <v>2</v>
      </c>
      <c r="F957" s="1">
        <v>10</v>
      </c>
      <c r="G957" t="b">
        <v>0</v>
      </c>
      <c r="H957" s="1">
        <v>6</v>
      </c>
      <c r="I957" s="1">
        <v>1</v>
      </c>
      <c r="J957" s="2">
        <v>0.22</v>
      </c>
      <c r="K957" s="2">
        <v>0.21210000000000001</v>
      </c>
      <c r="L957" s="2">
        <v>0.41</v>
      </c>
      <c r="M957" s="2">
        <v>0.25369999999999998</v>
      </c>
      <c r="N957" s="1">
        <v>13</v>
      </c>
      <c r="O957" s="1">
        <v>71</v>
      </c>
      <c r="P957" s="1">
        <v>84</v>
      </c>
      <c r="Q957" s="1" t="str">
        <f>IF(WEEKDAY(Bike_Sharing_Master6[[#This Row],[Dteday]],2)&gt;=6,"Weekend","Weekday")</f>
        <v>Weekend</v>
      </c>
      <c r="R957" s="1" t="str">
        <f xml:space="preserve"> IF(Bike_Sharing_Master6[[#This Row],[Hr]]&lt;6,"Late Night", IF(Bike_Sharing_Master6[[#This Row],[Hr]]&lt;10,"Morning Peak", IF(Bike_Sharing_Master6[[#This Row],[Hr]]&lt;17,"Daytime", IF(Bike_Sharing_Master6[[#This Row],[Hr]]&lt;21,"Evening Peak","Night"))))</f>
        <v>Daytime</v>
      </c>
      <c r="S957" s="1" t="str">
        <f>IF(Bike_Sharing_Master6[[#This Row],[Holiday]]=1,"Holiday","Non-Holiday")</f>
        <v>Non-Holiday</v>
      </c>
      <c r="T957" s="1" t="str">
        <f>IF(Bike_Sharing_Master6[[#This Row],[Cnt]]&lt;80,"Low",IF(Bike_Sharing_Master6[[#This Row],[Cnt]]&lt;160,"Medium","High"))</f>
        <v>Medium</v>
      </c>
      <c r="U957" s="1" t="str">
        <f>VLOOKUP(Bike_Sharing_Master6[[#This Row],[Weathersit]],[1]Lookup_Weather!A:B,2,FALSE)</f>
        <v>Clear</v>
      </c>
    </row>
    <row r="958" spans="1:21" x14ac:dyDescent="0.3">
      <c r="A958">
        <v>957</v>
      </c>
      <c r="B958" s="3">
        <v>40586</v>
      </c>
      <c r="C958" s="1">
        <v>1</v>
      </c>
      <c r="D958" s="1">
        <v>0</v>
      </c>
      <c r="E958" s="1">
        <v>2</v>
      </c>
      <c r="F958" s="1">
        <v>11</v>
      </c>
      <c r="G958" t="b">
        <v>0</v>
      </c>
      <c r="H958" s="1">
        <v>6</v>
      </c>
      <c r="I958" s="1">
        <v>1</v>
      </c>
      <c r="J958" s="2">
        <v>0.3</v>
      </c>
      <c r="K958" s="2">
        <v>0.2727</v>
      </c>
      <c r="L958" s="2">
        <v>0.28000000000000003</v>
      </c>
      <c r="M958" s="2">
        <v>0.32840000000000003</v>
      </c>
      <c r="N958" s="1">
        <v>30</v>
      </c>
      <c r="O958" s="1">
        <v>84</v>
      </c>
      <c r="P958" s="1">
        <v>114</v>
      </c>
      <c r="Q958" s="1" t="str">
        <f>IF(WEEKDAY(Bike_Sharing_Master6[[#This Row],[Dteday]],2)&gt;=6,"Weekend","Weekday")</f>
        <v>Weekend</v>
      </c>
      <c r="R958" s="1" t="str">
        <f xml:space="preserve"> IF(Bike_Sharing_Master6[[#This Row],[Hr]]&lt;6,"Late Night", IF(Bike_Sharing_Master6[[#This Row],[Hr]]&lt;10,"Morning Peak", IF(Bike_Sharing_Master6[[#This Row],[Hr]]&lt;17,"Daytime", IF(Bike_Sharing_Master6[[#This Row],[Hr]]&lt;21,"Evening Peak","Night"))))</f>
        <v>Daytime</v>
      </c>
      <c r="S958" s="1" t="str">
        <f>IF(Bike_Sharing_Master6[[#This Row],[Holiday]]=1,"Holiday","Non-Holiday")</f>
        <v>Non-Holiday</v>
      </c>
      <c r="T958" s="1" t="str">
        <f>IF(Bike_Sharing_Master6[[#This Row],[Cnt]]&lt;80,"Low",IF(Bike_Sharing_Master6[[#This Row],[Cnt]]&lt;160,"Medium","High"))</f>
        <v>Medium</v>
      </c>
      <c r="U958" s="1" t="str">
        <f>VLOOKUP(Bike_Sharing_Master6[[#This Row],[Weathersit]],[1]Lookup_Weather!A:B,2,FALSE)</f>
        <v>Clear</v>
      </c>
    </row>
    <row r="959" spans="1:21" x14ac:dyDescent="0.3">
      <c r="A959">
        <v>958</v>
      </c>
      <c r="B959" s="3">
        <v>40586</v>
      </c>
      <c r="C959" s="1">
        <v>1</v>
      </c>
      <c r="D959" s="1">
        <v>0</v>
      </c>
      <c r="E959" s="1">
        <v>2</v>
      </c>
      <c r="F959" s="1">
        <v>12</v>
      </c>
      <c r="G959" t="b">
        <v>0</v>
      </c>
      <c r="H959" s="1">
        <v>6</v>
      </c>
      <c r="I959" s="1">
        <v>1</v>
      </c>
      <c r="J959" s="2">
        <v>0.3</v>
      </c>
      <c r="K959" s="2">
        <v>0.2727</v>
      </c>
      <c r="L959" s="2">
        <v>0.39</v>
      </c>
      <c r="M959" s="2">
        <v>0.4627</v>
      </c>
      <c r="N959" s="1">
        <v>27</v>
      </c>
      <c r="O959" s="1">
        <v>93</v>
      </c>
      <c r="P959" s="1">
        <v>120</v>
      </c>
      <c r="Q959" s="1" t="str">
        <f>IF(WEEKDAY(Bike_Sharing_Master6[[#This Row],[Dteday]],2)&gt;=6,"Weekend","Weekday")</f>
        <v>Weekend</v>
      </c>
      <c r="R959" s="1" t="str">
        <f xml:space="preserve"> IF(Bike_Sharing_Master6[[#This Row],[Hr]]&lt;6,"Late Night", IF(Bike_Sharing_Master6[[#This Row],[Hr]]&lt;10,"Morning Peak", IF(Bike_Sharing_Master6[[#This Row],[Hr]]&lt;17,"Daytime", IF(Bike_Sharing_Master6[[#This Row],[Hr]]&lt;21,"Evening Peak","Night"))))</f>
        <v>Daytime</v>
      </c>
      <c r="S959" s="1" t="str">
        <f>IF(Bike_Sharing_Master6[[#This Row],[Holiday]]=1,"Holiday","Non-Holiday")</f>
        <v>Non-Holiday</v>
      </c>
      <c r="T959" s="1" t="str">
        <f>IF(Bike_Sharing_Master6[[#This Row],[Cnt]]&lt;80,"Low",IF(Bike_Sharing_Master6[[#This Row],[Cnt]]&lt;160,"Medium","High"))</f>
        <v>Medium</v>
      </c>
      <c r="U959" s="1" t="str">
        <f>VLOOKUP(Bike_Sharing_Master6[[#This Row],[Weathersit]],[1]Lookup_Weather!A:B,2,FALSE)</f>
        <v>Clear</v>
      </c>
    </row>
    <row r="960" spans="1:21" x14ac:dyDescent="0.3">
      <c r="A960">
        <v>959</v>
      </c>
      <c r="B960" s="3">
        <v>40586</v>
      </c>
      <c r="C960" s="1">
        <v>1</v>
      </c>
      <c r="D960" s="1">
        <v>0</v>
      </c>
      <c r="E960" s="1">
        <v>2</v>
      </c>
      <c r="F960" s="1">
        <v>13</v>
      </c>
      <c r="G960" t="b">
        <v>0</v>
      </c>
      <c r="H960" s="1">
        <v>6</v>
      </c>
      <c r="I960" s="1">
        <v>1</v>
      </c>
      <c r="J960" s="2">
        <v>0.3</v>
      </c>
      <c r="K960" s="2">
        <v>0.2727</v>
      </c>
      <c r="L960" s="2">
        <v>0.39</v>
      </c>
      <c r="M960" s="2">
        <v>0.41789999999999999</v>
      </c>
      <c r="N960" s="1">
        <v>32</v>
      </c>
      <c r="O960" s="1">
        <v>103</v>
      </c>
      <c r="P960" s="1">
        <v>135</v>
      </c>
      <c r="Q960" s="1" t="str">
        <f>IF(WEEKDAY(Bike_Sharing_Master6[[#This Row],[Dteday]],2)&gt;=6,"Weekend","Weekday")</f>
        <v>Weekend</v>
      </c>
      <c r="R960" s="1" t="str">
        <f xml:space="preserve"> IF(Bike_Sharing_Master6[[#This Row],[Hr]]&lt;6,"Late Night", IF(Bike_Sharing_Master6[[#This Row],[Hr]]&lt;10,"Morning Peak", IF(Bike_Sharing_Master6[[#This Row],[Hr]]&lt;17,"Daytime", IF(Bike_Sharing_Master6[[#This Row],[Hr]]&lt;21,"Evening Peak","Night"))))</f>
        <v>Daytime</v>
      </c>
      <c r="S960" s="1" t="str">
        <f>IF(Bike_Sharing_Master6[[#This Row],[Holiday]]=1,"Holiday","Non-Holiday")</f>
        <v>Non-Holiday</v>
      </c>
      <c r="T960" s="1" t="str">
        <f>IF(Bike_Sharing_Master6[[#This Row],[Cnt]]&lt;80,"Low",IF(Bike_Sharing_Master6[[#This Row],[Cnt]]&lt;160,"Medium","High"))</f>
        <v>Medium</v>
      </c>
      <c r="U960" s="1" t="str">
        <f>VLOOKUP(Bike_Sharing_Master6[[#This Row],[Weathersit]],[1]Lookup_Weather!A:B,2,FALSE)</f>
        <v>Clear</v>
      </c>
    </row>
    <row r="961" spans="1:21" x14ac:dyDescent="0.3">
      <c r="A961">
        <v>960</v>
      </c>
      <c r="B961" s="3">
        <v>40586</v>
      </c>
      <c r="C961" s="1">
        <v>1</v>
      </c>
      <c r="D961" s="1">
        <v>0</v>
      </c>
      <c r="E961" s="1">
        <v>2</v>
      </c>
      <c r="F961" s="1">
        <v>14</v>
      </c>
      <c r="G961" t="b">
        <v>0</v>
      </c>
      <c r="H961" s="1">
        <v>6</v>
      </c>
      <c r="I961" s="1">
        <v>1</v>
      </c>
      <c r="J961" s="2">
        <v>0.34</v>
      </c>
      <c r="K961" s="2">
        <v>0.31819999999999998</v>
      </c>
      <c r="L961" s="2">
        <v>0.31</v>
      </c>
      <c r="M961" s="2">
        <v>0.28360000000000002</v>
      </c>
      <c r="N961" s="1">
        <v>30</v>
      </c>
      <c r="O961" s="1">
        <v>90</v>
      </c>
      <c r="P961" s="1">
        <v>120</v>
      </c>
      <c r="Q961" s="1" t="str">
        <f>IF(WEEKDAY(Bike_Sharing_Master6[[#This Row],[Dteday]],2)&gt;=6,"Weekend","Weekday")</f>
        <v>Weekend</v>
      </c>
      <c r="R961" s="1" t="str">
        <f xml:space="preserve"> IF(Bike_Sharing_Master6[[#This Row],[Hr]]&lt;6,"Late Night", IF(Bike_Sharing_Master6[[#This Row],[Hr]]&lt;10,"Morning Peak", IF(Bike_Sharing_Master6[[#This Row],[Hr]]&lt;17,"Daytime", IF(Bike_Sharing_Master6[[#This Row],[Hr]]&lt;21,"Evening Peak","Night"))))</f>
        <v>Daytime</v>
      </c>
      <c r="S961" s="1" t="str">
        <f>IF(Bike_Sharing_Master6[[#This Row],[Holiday]]=1,"Holiday","Non-Holiday")</f>
        <v>Non-Holiday</v>
      </c>
      <c r="T961" s="1" t="str">
        <f>IF(Bike_Sharing_Master6[[#This Row],[Cnt]]&lt;80,"Low",IF(Bike_Sharing_Master6[[#This Row],[Cnt]]&lt;160,"Medium","High"))</f>
        <v>Medium</v>
      </c>
      <c r="U961" s="1" t="str">
        <f>VLOOKUP(Bike_Sharing_Master6[[#This Row],[Weathersit]],[1]Lookup_Weather!A:B,2,FALSE)</f>
        <v>Clear</v>
      </c>
    </row>
    <row r="962" spans="1:21" x14ac:dyDescent="0.3">
      <c r="A962">
        <v>961</v>
      </c>
      <c r="B962" s="3">
        <v>40586</v>
      </c>
      <c r="C962" s="1">
        <v>1</v>
      </c>
      <c r="D962" s="1">
        <v>0</v>
      </c>
      <c r="E962" s="1">
        <v>2</v>
      </c>
      <c r="F962" s="1">
        <v>15</v>
      </c>
      <c r="G962" t="b">
        <v>0</v>
      </c>
      <c r="H962" s="1">
        <v>6</v>
      </c>
      <c r="I962" s="1">
        <v>1</v>
      </c>
      <c r="J962" s="2">
        <v>0.34</v>
      </c>
      <c r="K962" s="2">
        <v>0.30299999999999999</v>
      </c>
      <c r="L962" s="2">
        <v>0.28999999999999998</v>
      </c>
      <c r="M962" s="2">
        <v>0.41789999999999999</v>
      </c>
      <c r="N962" s="1">
        <v>47</v>
      </c>
      <c r="O962" s="1">
        <v>127</v>
      </c>
      <c r="P962" s="1">
        <v>174</v>
      </c>
      <c r="Q962" s="1" t="str">
        <f>IF(WEEKDAY(Bike_Sharing_Master6[[#This Row],[Dteday]],2)&gt;=6,"Weekend","Weekday")</f>
        <v>Weekend</v>
      </c>
      <c r="R962" s="1" t="str">
        <f xml:space="preserve"> IF(Bike_Sharing_Master6[[#This Row],[Hr]]&lt;6,"Late Night", IF(Bike_Sharing_Master6[[#This Row],[Hr]]&lt;10,"Morning Peak", IF(Bike_Sharing_Master6[[#This Row],[Hr]]&lt;17,"Daytime", IF(Bike_Sharing_Master6[[#This Row],[Hr]]&lt;21,"Evening Peak","Night"))))</f>
        <v>Daytime</v>
      </c>
      <c r="S962" s="1" t="str">
        <f>IF(Bike_Sharing_Master6[[#This Row],[Holiday]]=1,"Holiday","Non-Holiday")</f>
        <v>Non-Holiday</v>
      </c>
      <c r="T962" s="1" t="str">
        <f>IF(Bike_Sharing_Master6[[#This Row],[Cnt]]&lt;80,"Low",IF(Bike_Sharing_Master6[[#This Row],[Cnt]]&lt;160,"Medium","High"))</f>
        <v>High</v>
      </c>
      <c r="U962" s="1" t="str">
        <f>VLOOKUP(Bike_Sharing_Master6[[#This Row],[Weathersit]],[1]Lookup_Weather!A:B,2,FALSE)</f>
        <v>Clear</v>
      </c>
    </row>
    <row r="963" spans="1:21" x14ac:dyDescent="0.3">
      <c r="A963">
        <v>962</v>
      </c>
      <c r="B963" s="3">
        <v>40586</v>
      </c>
      <c r="C963" s="1">
        <v>1</v>
      </c>
      <c r="D963" s="1">
        <v>0</v>
      </c>
      <c r="E963" s="1">
        <v>2</v>
      </c>
      <c r="F963" s="1">
        <v>16</v>
      </c>
      <c r="G963" t="b">
        <v>0</v>
      </c>
      <c r="H963" s="1">
        <v>6</v>
      </c>
      <c r="I963" s="1">
        <v>1</v>
      </c>
      <c r="J963" s="2">
        <v>0.34</v>
      </c>
      <c r="K963" s="2">
        <v>0.30299999999999999</v>
      </c>
      <c r="L963" s="2">
        <v>0.28999999999999998</v>
      </c>
      <c r="M963" s="2">
        <v>0.41789999999999999</v>
      </c>
      <c r="N963" s="1">
        <v>42</v>
      </c>
      <c r="O963" s="1">
        <v>103</v>
      </c>
      <c r="P963" s="1">
        <v>145</v>
      </c>
      <c r="Q963" s="1" t="str">
        <f>IF(WEEKDAY(Bike_Sharing_Master6[[#This Row],[Dteday]],2)&gt;=6,"Weekend","Weekday")</f>
        <v>Weekend</v>
      </c>
      <c r="R963" s="1" t="str">
        <f xml:space="preserve"> IF(Bike_Sharing_Master6[[#This Row],[Hr]]&lt;6,"Late Night", IF(Bike_Sharing_Master6[[#This Row],[Hr]]&lt;10,"Morning Peak", IF(Bike_Sharing_Master6[[#This Row],[Hr]]&lt;17,"Daytime", IF(Bike_Sharing_Master6[[#This Row],[Hr]]&lt;21,"Evening Peak","Night"))))</f>
        <v>Daytime</v>
      </c>
      <c r="S963" s="1" t="str">
        <f>IF(Bike_Sharing_Master6[[#This Row],[Holiday]]=1,"Holiday","Non-Holiday")</f>
        <v>Non-Holiday</v>
      </c>
      <c r="T963" s="1" t="str">
        <f>IF(Bike_Sharing_Master6[[#This Row],[Cnt]]&lt;80,"Low",IF(Bike_Sharing_Master6[[#This Row],[Cnt]]&lt;160,"Medium","High"))</f>
        <v>Medium</v>
      </c>
      <c r="U963" s="1" t="str">
        <f>VLOOKUP(Bike_Sharing_Master6[[#This Row],[Weathersit]],[1]Lookup_Weather!A:B,2,FALSE)</f>
        <v>Clear</v>
      </c>
    </row>
    <row r="964" spans="1:21" x14ac:dyDescent="0.3">
      <c r="A964">
        <v>963</v>
      </c>
      <c r="B964" s="3">
        <v>40586</v>
      </c>
      <c r="C964" s="1">
        <v>1</v>
      </c>
      <c r="D964" s="1">
        <v>0</v>
      </c>
      <c r="E964" s="1">
        <v>2</v>
      </c>
      <c r="F964" s="1">
        <v>17</v>
      </c>
      <c r="G964" t="b">
        <v>0</v>
      </c>
      <c r="H964" s="1">
        <v>6</v>
      </c>
      <c r="I964" s="1">
        <v>1</v>
      </c>
      <c r="J964" s="2">
        <v>0.32</v>
      </c>
      <c r="K964" s="2">
        <v>0.28789999999999999</v>
      </c>
      <c r="L964" s="2">
        <v>0.31</v>
      </c>
      <c r="M964" s="2">
        <v>0.52239999999999998</v>
      </c>
      <c r="N964" s="1">
        <v>24</v>
      </c>
      <c r="O964" s="1">
        <v>113</v>
      </c>
      <c r="P964" s="1">
        <v>137</v>
      </c>
      <c r="Q964" s="1" t="str">
        <f>IF(WEEKDAY(Bike_Sharing_Master6[[#This Row],[Dteday]],2)&gt;=6,"Weekend","Weekday")</f>
        <v>Weekend</v>
      </c>
      <c r="R964" s="1" t="str">
        <f xml:space="preserve"> IF(Bike_Sharing_Master6[[#This Row],[Hr]]&lt;6,"Late Night", IF(Bike_Sharing_Master6[[#This Row],[Hr]]&lt;10,"Morning Peak", IF(Bike_Sharing_Master6[[#This Row],[Hr]]&lt;17,"Daytime", IF(Bike_Sharing_Master6[[#This Row],[Hr]]&lt;21,"Evening Peak","Night"))))</f>
        <v>Evening Peak</v>
      </c>
      <c r="S964" s="1" t="str">
        <f>IF(Bike_Sharing_Master6[[#This Row],[Holiday]]=1,"Holiday","Non-Holiday")</f>
        <v>Non-Holiday</v>
      </c>
      <c r="T964" s="1" t="str">
        <f>IF(Bike_Sharing_Master6[[#This Row],[Cnt]]&lt;80,"Low",IF(Bike_Sharing_Master6[[#This Row],[Cnt]]&lt;160,"Medium","High"))</f>
        <v>Medium</v>
      </c>
      <c r="U964" s="1" t="str">
        <f>VLOOKUP(Bike_Sharing_Master6[[#This Row],[Weathersit]],[1]Lookup_Weather!A:B,2,FALSE)</f>
        <v>Clear</v>
      </c>
    </row>
    <row r="965" spans="1:21" x14ac:dyDescent="0.3">
      <c r="A965">
        <v>964</v>
      </c>
      <c r="B965" s="3">
        <v>40586</v>
      </c>
      <c r="C965" s="1">
        <v>1</v>
      </c>
      <c r="D965" s="1">
        <v>0</v>
      </c>
      <c r="E965" s="1">
        <v>2</v>
      </c>
      <c r="F965" s="1">
        <v>18</v>
      </c>
      <c r="G965" t="b">
        <v>0</v>
      </c>
      <c r="H965" s="1">
        <v>6</v>
      </c>
      <c r="I965" s="1">
        <v>1</v>
      </c>
      <c r="J965" s="2">
        <v>0.28000000000000003</v>
      </c>
      <c r="K965" s="2">
        <v>0.2576</v>
      </c>
      <c r="L965" s="2">
        <v>0.38</v>
      </c>
      <c r="M965" s="2">
        <v>0.32840000000000003</v>
      </c>
      <c r="N965" s="1">
        <v>4</v>
      </c>
      <c r="O965" s="1">
        <v>60</v>
      </c>
      <c r="P965" s="1">
        <v>64</v>
      </c>
      <c r="Q965" s="1" t="str">
        <f>IF(WEEKDAY(Bike_Sharing_Master6[[#This Row],[Dteday]],2)&gt;=6,"Weekend","Weekday")</f>
        <v>Weekend</v>
      </c>
      <c r="R965" s="1" t="str">
        <f xml:space="preserve"> IF(Bike_Sharing_Master6[[#This Row],[Hr]]&lt;6,"Late Night", IF(Bike_Sharing_Master6[[#This Row],[Hr]]&lt;10,"Morning Peak", IF(Bike_Sharing_Master6[[#This Row],[Hr]]&lt;17,"Daytime", IF(Bike_Sharing_Master6[[#This Row],[Hr]]&lt;21,"Evening Peak","Night"))))</f>
        <v>Evening Peak</v>
      </c>
      <c r="S965" s="1" t="str">
        <f>IF(Bike_Sharing_Master6[[#This Row],[Holiday]]=1,"Holiday","Non-Holiday")</f>
        <v>Non-Holiday</v>
      </c>
      <c r="T965" s="1" t="str">
        <f>IF(Bike_Sharing_Master6[[#This Row],[Cnt]]&lt;80,"Low",IF(Bike_Sharing_Master6[[#This Row],[Cnt]]&lt;160,"Medium","High"))</f>
        <v>Low</v>
      </c>
      <c r="U965" s="1" t="str">
        <f>VLOOKUP(Bike_Sharing_Master6[[#This Row],[Weathersit]],[1]Lookup_Weather!A:B,2,FALSE)</f>
        <v>Clear</v>
      </c>
    </row>
    <row r="966" spans="1:21" x14ac:dyDescent="0.3">
      <c r="A966">
        <v>965</v>
      </c>
      <c r="B966" s="3">
        <v>40586</v>
      </c>
      <c r="C966" s="1">
        <v>1</v>
      </c>
      <c r="D966" s="1">
        <v>0</v>
      </c>
      <c r="E966" s="1">
        <v>2</v>
      </c>
      <c r="F966" s="1">
        <v>19</v>
      </c>
      <c r="G966" t="b">
        <v>0</v>
      </c>
      <c r="H966" s="1">
        <v>6</v>
      </c>
      <c r="I966" s="1">
        <v>1</v>
      </c>
      <c r="J966" s="2">
        <v>0.28000000000000003</v>
      </c>
      <c r="K966" s="2">
        <v>0.2727</v>
      </c>
      <c r="L966" s="2">
        <v>0.38</v>
      </c>
      <c r="M966" s="2">
        <v>0.16420000000000001</v>
      </c>
      <c r="N966" s="1">
        <v>2</v>
      </c>
      <c r="O966" s="1">
        <v>39</v>
      </c>
      <c r="P966" s="1">
        <v>41</v>
      </c>
      <c r="Q966" s="1" t="str">
        <f>IF(WEEKDAY(Bike_Sharing_Master6[[#This Row],[Dteday]],2)&gt;=6,"Weekend","Weekday")</f>
        <v>Weekend</v>
      </c>
      <c r="R966" s="1" t="str">
        <f xml:space="preserve"> IF(Bike_Sharing_Master6[[#This Row],[Hr]]&lt;6,"Late Night", IF(Bike_Sharing_Master6[[#This Row],[Hr]]&lt;10,"Morning Peak", IF(Bike_Sharing_Master6[[#This Row],[Hr]]&lt;17,"Daytime", IF(Bike_Sharing_Master6[[#This Row],[Hr]]&lt;21,"Evening Peak","Night"))))</f>
        <v>Evening Peak</v>
      </c>
      <c r="S966" s="1" t="str">
        <f>IF(Bike_Sharing_Master6[[#This Row],[Holiday]]=1,"Holiday","Non-Holiday")</f>
        <v>Non-Holiday</v>
      </c>
      <c r="T966" s="1" t="str">
        <f>IF(Bike_Sharing_Master6[[#This Row],[Cnt]]&lt;80,"Low",IF(Bike_Sharing_Master6[[#This Row],[Cnt]]&lt;160,"Medium","High"))</f>
        <v>Low</v>
      </c>
      <c r="U966" s="1" t="str">
        <f>VLOOKUP(Bike_Sharing_Master6[[#This Row],[Weathersit]],[1]Lookup_Weather!A:B,2,FALSE)</f>
        <v>Clear</v>
      </c>
    </row>
    <row r="967" spans="1:21" x14ac:dyDescent="0.3">
      <c r="A967">
        <v>966</v>
      </c>
      <c r="B967" s="3">
        <v>40586</v>
      </c>
      <c r="C967" s="1">
        <v>1</v>
      </c>
      <c r="D967" s="1">
        <v>0</v>
      </c>
      <c r="E967" s="1">
        <v>2</v>
      </c>
      <c r="F967" s="1">
        <v>20</v>
      </c>
      <c r="G967" t="b">
        <v>0</v>
      </c>
      <c r="H967" s="1">
        <v>6</v>
      </c>
      <c r="I967" s="1">
        <v>1</v>
      </c>
      <c r="J967" s="2">
        <v>0.26</v>
      </c>
      <c r="K967" s="2">
        <v>0.2576</v>
      </c>
      <c r="L967" s="2">
        <v>0.41</v>
      </c>
      <c r="M967" s="2">
        <v>0.22389999999999999</v>
      </c>
      <c r="N967" s="1">
        <v>1</v>
      </c>
      <c r="O967" s="1">
        <v>39</v>
      </c>
      <c r="P967" s="1">
        <v>40</v>
      </c>
      <c r="Q967" s="1" t="str">
        <f>IF(WEEKDAY(Bike_Sharing_Master6[[#This Row],[Dteday]],2)&gt;=6,"Weekend","Weekday")</f>
        <v>Weekend</v>
      </c>
      <c r="R967" s="1" t="str">
        <f xml:space="preserve"> IF(Bike_Sharing_Master6[[#This Row],[Hr]]&lt;6,"Late Night", IF(Bike_Sharing_Master6[[#This Row],[Hr]]&lt;10,"Morning Peak", IF(Bike_Sharing_Master6[[#This Row],[Hr]]&lt;17,"Daytime", IF(Bike_Sharing_Master6[[#This Row],[Hr]]&lt;21,"Evening Peak","Night"))))</f>
        <v>Evening Peak</v>
      </c>
      <c r="S967" s="1" t="str">
        <f>IF(Bike_Sharing_Master6[[#This Row],[Holiday]]=1,"Holiday","Non-Holiday")</f>
        <v>Non-Holiday</v>
      </c>
      <c r="T967" s="1" t="str">
        <f>IF(Bike_Sharing_Master6[[#This Row],[Cnt]]&lt;80,"Low",IF(Bike_Sharing_Master6[[#This Row],[Cnt]]&lt;160,"Medium","High"))</f>
        <v>Low</v>
      </c>
      <c r="U967" s="1" t="str">
        <f>VLOOKUP(Bike_Sharing_Master6[[#This Row],[Weathersit]],[1]Lookup_Weather!A:B,2,FALSE)</f>
        <v>Clear</v>
      </c>
    </row>
    <row r="968" spans="1:21" x14ac:dyDescent="0.3">
      <c r="A968">
        <v>967</v>
      </c>
      <c r="B968" s="3">
        <v>40586</v>
      </c>
      <c r="C968" s="1">
        <v>1</v>
      </c>
      <c r="D968" s="1">
        <v>0</v>
      </c>
      <c r="E968" s="1">
        <v>2</v>
      </c>
      <c r="F968" s="1">
        <v>21</v>
      </c>
      <c r="G968" t="b">
        <v>0</v>
      </c>
      <c r="H968" s="1">
        <v>6</v>
      </c>
      <c r="I968" s="1">
        <v>1</v>
      </c>
      <c r="J968" s="2">
        <v>0.26</v>
      </c>
      <c r="K968" s="2">
        <v>0.30299999999999999</v>
      </c>
      <c r="L968" s="2">
        <v>0.41</v>
      </c>
      <c r="M968" s="2">
        <v>0</v>
      </c>
      <c r="N968" s="1">
        <v>9</v>
      </c>
      <c r="O968" s="1">
        <v>42</v>
      </c>
      <c r="P968" s="1">
        <v>51</v>
      </c>
      <c r="Q968" s="1" t="str">
        <f>IF(WEEKDAY(Bike_Sharing_Master6[[#This Row],[Dteday]],2)&gt;=6,"Weekend","Weekday")</f>
        <v>Weekend</v>
      </c>
      <c r="R968" s="1" t="str">
        <f xml:space="preserve"> IF(Bike_Sharing_Master6[[#This Row],[Hr]]&lt;6,"Late Night", IF(Bike_Sharing_Master6[[#This Row],[Hr]]&lt;10,"Morning Peak", IF(Bike_Sharing_Master6[[#This Row],[Hr]]&lt;17,"Daytime", IF(Bike_Sharing_Master6[[#This Row],[Hr]]&lt;21,"Evening Peak","Night"))))</f>
        <v>Night</v>
      </c>
      <c r="S968" s="1" t="str">
        <f>IF(Bike_Sharing_Master6[[#This Row],[Holiday]]=1,"Holiday","Non-Holiday")</f>
        <v>Non-Holiday</v>
      </c>
      <c r="T968" s="1" t="str">
        <f>IF(Bike_Sharing_Master6[[#This Row],[Cnt]]&lt;80,"Low",IF(Bike_Sharing_Master6[[#This Row],[Cnt]]&lt;160,"Medium","High"))</f>
        <v>Low</v>
      </c>
      <c r="U968" s="1" t="str">
        <f>VLOOKUP(Bike_Sharing_Master6[[#This Row],[Weathersit]],[1]Lookup_Weather!A:B,2,FALSE)</f>
        <v>Clear</v>
      </c>
    </row>
    <row r="969" spans="1:21" x14ac:dyDescent="0.3">
      <c r="A969">
        <v>968</v>
      </c>
      <c r="B969" s="3">
        <v>40586</v>
      </c>
      <c r="C969" s="1">
        <v>1</v>
      </c>
      <c r="D969" s="1">
        <v>0</v>
      </c>
      <c r="E969" s="1">
        <v>2</v>
      </c>
      <c r="F969" s="1">
        <v>22</v>
      </c>
      <c r="G969" t="b">
        <v>0</v>
      </c>
      <c r="H969" s="1">
        <v>6</v>
      </c>
      <c r="I969" s="1">
        <v>1</v>
      </c>
      <c r="J969" s="2">
        <v>0.24</v>
      </c>
      <c r="K969" s="2">
        <v>0.2576</v>
      </c>
      <c r="L969" s="2">
        <v>0.44</v>
      </c>
      <c r="M969" s="2">
        <v>8.9599999999999999E-2</v>
      </c>
      <c r="N969" s="1">
        <v>6</v>
      </c>
      <c r="O969" s="1">
        <v>39</v>
      </c>
      <c r="P969" s="1">
        <v>45</v>
      </c>
      <c r="Q969" s="1" t="str">
        <f>IF(WEEKDAY(Bike_Sharing_Master6[[#This Row],[Dteday]],2)&gt;=6,"Weekend","Weekday")</f>
        <v>Weekend</v>
      </c>
      <c r="R969" s="1" t="str">
        <f xml:space="preserve"> IF(Bike_Sharing_Master6[[#This Row],[Hr]]&lt;6,"Late Night", IF(Bike_Sharing_Master6[[#This Row],[Hr]]&lt;10,"Morning Peak", IF(Bike_Sharing_Master6[[#This Row],[Hr]]&lt;17,"Daytime", IF(Bike_Sharing_Master6[[#This Row],[Hr]]&lt;21,"Evening Peak","Night"))))</f>
        <v>Night</v>
      </c>
      <c r="S969" s="1" t="str">
        <f>IF(Bike_Sharing_Master6[[#This Row],[Holiday]]=1,"Holiday","Non-Holiday")</f>
        <v>Non-Holiday</v>
      </c>
      <c r="T969" s="1" t="str">
        <f>IF(Bike_Sharing_Master6[[#This Row],[Cnt]]&lt;80,"Low",IF(Bike_Sharing_Master6[[#This Row],[Cnt]]&lt;160,"Medium","High"))</f>
        <v>Low</v>
      </c>
      <c r="U969" s="1" t="str">
        <f>VLOOKUP(Bike_Sharing_Master6[[#This Row],[Weathersit]],[1]Lookup_Weather!A:B,2,FALSE)</f>
        <v>Clear</v>
      </c>
    </row>
    <row r="970" spans="1:21" x14ac:dyDescent="0.3">
      <c r="A970">
        <v>969</v>
      </c>
      <c r="B970" s="3">
        <v>40586</v>
      </c>
      <c r="C970" s="1">
        <v>1</v>
      </c>
      <c r="D970" s="1">
        <v>0</v>
      </c>
      <c r="E970" s="1">
        <v>2</v>
      </c>
      <c r="F970" s="1">
        <v>23</v>
      </c>
      <c r="G970" t="b">
        <v>0</v>
      </c>
      <c r="H970" s="1">
        <v>6</v>
      </c>
      <c r="I970" s="1">
        <v>1</v>
      </c>
      <c r="J970" s="2">
        <v>0.22</v>
      </c>
      <c r="K970" s="2">
        <v>0.2273</v>
      </c>
      <c r="L970" s="2">
        <v>0.51</v>
      </c>
      <c r="M970" s="2">
        <v>0.1343</v>
      </c>
      <c r="N970" s="1">
        <v>1</v>
      </c>
      <c r="O970" s="1">
        <v>31</v>
      </c>
      <c r="P970" s="1">
        <v>32</v>
      </c>
      <c r="Q970" s="1" t="str">
        <f>IF(WEEKDAY(Bike_Sharing_Master6[[#This Row],[Dteday]],2)&gt;=6,"Weekend","Weekday")</f>
        <v>Weekend</v>
      </c>
      <c r="R970" s="1" t="str">
        <f xml:space="preserve"> IF(Bike_Sharing_Master6[[#This Row],[Hr]]&lt;6,"Late Night", IF(Bike_Sharing_Master6[[#This Row],[Hr]]&lt;10,"Morning Peak", IF(Bike_Sharing_Master6[[#This Row],[Hr]]&lt;17,"Daytime", IF(Bike_Sharing_Master6[[#This Row],[Hr]]&lt;21,"Evening Peak","Night"))))</f>
        <v>Night</v>
      </c>
      <c r="S970" s="1" t="str">
        <f>IF(Bike_Sharing_Master6[[#This Row],[Holiday]]=1,"Holiday","Non-Holiday")</f>
        <v>Non-Holiday</v>
      </c>
      <c r="T970" s="1" t="str">
        <f>IF(Bike_Sharing_Master6[[#This Row],[Cnt]]&lt;80,"Low",IF(Bike_Sharing_Master6[[#This Row],[Cnt]]&lt;160,"Medium","High"))</f>
        <v>Low</v>
      </c>
      <c r="U970" s="1" t="str">
        <f>VLOOKUP(Bike_Sharing_Master6[[#This Row],[Weathersit]],[1]Lookup_Weather!A:B,2,FALSE)</f>
        <v>Clear</v>
      </c>
    </row>
    <row r="971" spans="1:21" x14ac:dyDescent="0.3">
      <c r="A971">
        <v>970</v>
      </c>
      <c r="B971" s="3">
        <v>40587</v>
      </c>
      <c r="C971" s="1">
        <v>1</v>
      </c>
      <c r="D971" s="1">
        <v>0</v>
      </c>
      <c r="E971" s="1">
        <v>2</v>
      </c>
      <c r="F971" s="1">
        <v>0</v>
      </c>
      <c r="G971" t="b">
        <v>0</v>
      </c>
      <c r="H971" s="1">
        <v>0</v>
      </c>
      <c r="I971" s="1">
        <v>1</v>
      </c>
      <c r="J971" s="2">
        <v>0.2</v>
      </c>
      <c r="K971" s="2">
        <v>0.2273</v>
      </c>
      <c r="L971" s="2">
        <v>0.64</v>
      </c>
      <c r="M971" s="2">
        <v>0.1045</v>
      </c>
      <c r="N971" s="1">
        <v>5</v>
      </c>
      <c r="O971" s="1">
        <v>34</v>
      </c>
      <c r="P971" s="1">
        <v>39</v>
      </c>
      <c r="Q971" s="1" t="str">
        <f>IF(WEEKDAY(Bike_Sharing_Master6[[#This Row],[Dteday]],2)&gt;=6,"Weekend","Weekday")</f>
        <v>Weekend</v>
      </c>
      <c r="R971" s="1" t="str">
        <f xml:space="preserve"> IF(Bike_Sharing_Master6[[#This Row],[Hr]]&lt;6,"Late Night", IF(Bike_Sharing_Master6[[#This Row],[Hr]]&lt;10,"Morning Peak", IF(Bike_Sharing_Master6[[#This Row],[Hr]]&lt;17,"Daytime", IF(Bike_Sharing_Master6[[#This Row],[Hr]]&lt;21,"Evening Peak","Night"))))</f>
        <v>Late Night</v>
      </c>
      <c r="S971" s="1" t="str">
        <f>IF(Bike_Sharing_Master6[[#This Row],[Holiday]]=1,"Holiday","Non-Holiday")</f>
        <v>Non-Holiday</v>
      </c>
      <c r="T971" s="1" t="str">
        <f>IF(Bike_Sharing_Master6[[#This Row],[Cnt]]&lt;80,"Low",IF(Bike_Sharing_Master6[[#This Row],[Cnt]]&lt;160,"Medium","High"))</f>
        <v>Low</v>
      </c>
      <c r="U971" s="1" t="str">
        <f>VLOOKUP(Bike_Sharing_Master6[[#This Row],[Weathersit]],[1]Lookup_Weather!A:B,2,FALSE)</f>
        <v>Clear</v>
      </c>
    </row>
    <row r="972" spans="1:21" x14ac:dyDescent="0.3">
      <c r="A972">
        <v>971</v>
      </c>
      <c r="B972" s="3">
        <v>40587</v>
      </c>
      <c r="C972" s="1">
        <v>1</v>
      </c>
      <c r="D972" s="1">
        <v>0</v>
      </c>
      <c r="E972" s="1">
        <v>2</v>
      </c>
      <c r="F972" s="1">
        <v>1</v>
      </c>
      <c r="G972" t="b">
        <v>0</v>
      </c>
      <c r="H972" s="1">
        <v>0</v>
      </c>
      <c r="I972" s="1">
        <v>1</v>
      </c>
      <c r="J972" s="2">
        <v>0.2</v>
      </c>
      <c r="K972" s="2">
        <v>0.2273</v>
      </c>
      <c r="L972" s="2">
        <v>0.59</v>
      </c>
      <c r="M972" s="2">
        <v>8.9599999999999999E-2</v>
      </c>
      <c r="N972" s="1">
        <v>1</v>
      </c>
      <c r="O972" s="1">
        <v>23</v>
      </c>
      <c r="P972" s="1">
        <v>24</v>
      </c>
      <c r="Q972" s="1" t="str">
        <f>IF(WEEKDAY(Bike_Sharing_Master6[[#This Row],[Dteday]],2)&gt;=6,"Weekend","Weekday")</f>
        <v>Weekend</v>
      </c>
      <c r="R972" s="1" t="str">
        <f xml:space="preserve"> IF(Bike_Sharing_Master6[[#This Row],[Hr]]&lt;6,"Late Night", IF(Bike_Sharing_Master6[[#This Row],[Hr]]&lt;10,"Morning Peak", IF(Bike_Sharing_Master6[[#This Row],[Hr]]&lt;17,"Daytime", IF(Bike_Sharing_Master6[[#This Row],[Hr]]&lt;21,"Evening Peak","Night"))))</f>
        <v>Late Night</v>
      </c>
      <c r="S972" s="1" t="str">
        <f>IF(Bike_Sharing_Master6[[#This Row],[Holiday]]=1,"Holiday","Non-Holiday")</f>
        <v>Non-Holiday</v>
      </c>
      <c r="T972" s="1" t="str">
        <f>IF(Bike_Sharing_Master6[[#This Row],[Cnt]]&lt;80,"Low",IF(Bike_Sharing_Master6[[#This Row],[Cnt]]&lt;160,"Medium","High"))</f>
        <v>Low</v>
      </c>
      <c r="U972" s="1" t="str">
        <f>VLOOKUP(Bike_Sharing_Master6[[#This Row],[Weathersit]],[1]Lookup_Weather!A:B,2,FALSE)</f>
        <v>Clear</v>
      </c>
    </row>
    <row r="973" spans="1:21" x14ac:dyDescent="0.3">
      <c r="A973">
        <v>972</v>
      </c>
      <c r="B973" s="3">
        <v>40587</v>
      </c>
      <c r="C973" s="1">
        <v>1</v>
      </c>
      <c r="D973" s="1">
        <v>0</v>
      </c>
      <c r="E973" s="1">
        <v>2</v>
      </c>
      <c r="F973" s="1">
        <v>2</v>
      </c>
      <c r="G973" t="b">
        <v>0</v>
      </c>
      <c r="H973" s="1">
        <v>0</v>
      </c>
      <c r="I973" s="1">
        <v>2</v>
      </c>
      <c r="J973" s="2">
        <v>0.2</v>
      </c>
      <c r="K973" s="2">
        <v>0.2273</v>
      </c>
      <c r="L973" s="2">
        <v>0.75</v>
      </c>
      <c r="M973" s="2">
        <v>8.9599999999999999E-2</v>
      </c>
      <c r="N973" s="1">
        <v>1</v>
      </c>
      <c r="O973" s="1">
        <v>19</v>
      </c>
      <c r="P973" s="1">
        <v>20</v>
      </c>
      <c r="Q973" s="1" t="str">
        <f>IF(WEEKDAY(Bike_Sharing_Master6[[#This Row],[Dteday]],2)&gt;=6,"Weekend","Weekday")</f>
        <v>Weekend</v>
      </c>
      <c r="R973" s="1" t="str">
        <f xml:space="preserve"> IF(Bike_Sharing_Master6[[#This Row],[Hr]]&lt;6,"Late Night", IF(Bike_Sharing_Master6[[#This Row],[Hr]]&lt;10,"Morning Peak", IF(Bike_Sharing_Master6[[#This Row],[Hr]]&lt;17,"Daytime", IF(Bike_Sharing_Master6[[#This Row],[Hr]]&lt;21,"Evening Peak","Night"))))</f>
        <v>Late Night</v>
      </c>
      <c r="S973" s="1" t="str">
        <f>IF(Bike_Sharing_Master6[[#This Row],[Holiday]]=1,"Holiday","Non-Holiday")</f>
        <v>Non-Holiday</v>
      </c>
      <c r="T973" s="1" t="str">
        <f>IF(Bike_Sharing_Master6[[#This Row],[Cnt]]&lt;80,"Low",IF(Bike_Sharing_Master6[[#This Row],[Cnt]]&lt;160,"Medium","High"))</f>
        <v>Low</v>
      </c>
      <c r="U973" s="1" t="str">
        <f>VLOOKUP(Bike_Sharing_Master6[[#This Row],[Weathersit]],[1]Lookup_Weather!A:B,2,FALSE)</f>
        <v>Mist</v>
      </c>
    </row>
    <row r="974" spans="1:21" x14ac:dyDescent="0.3">
      <c r="A974">
        <v>973</v>
      </c>
      <c r="B974" s="3">
        <v>40587</v>
      </c>
      <c r="C974" s="1">
        <v>1</v>
      </c>
      <c r="D974" s="1">
        <v>0</v>
      </c>
      <c r="E974" s="1">
        <v>2</v>
      </c>
      <c r="F974" s="1">
        <v>3</v>
      </c>
      <c r="G974" t="b">
        <v>0</v>
      </c>
      <c r="H974" s="1">
        <v>0</v>
      </c>
      <c r="I974" s="1">
        <v>2</v>
      </c>
      <c r="J974" s="2">
        <v>0.2</v>
      </c>
      <c r="K974" s="2">
        <v>0.2273</v>
      </c>
      <c r="L974" s="2">
        <v>0.69</v>
      </c>
      <c r="M974" s="2">
        <v>0.1045</v>
      </c>
      <c r="N974" s="1">
        <v>4</v>
      </c>
      <c r="O974" s="1">
        <v>8</v>
      </c>
      <c r="P974" s="1">
        <v>12</v>
      </c>
      <c r="Q974" s="1" t="str">
        <f>IF(WEEKDAY(Bike_Sharing_Master6[[#This Row],[Dteday]],2)&gt;=6,"Weekend","Weekday")</f>
        <v>Weekend</v>
      </c>
      <c r="R974" s="1" t="str">
        <f xml:space="preserve"> IF(Bike_Sharing_Master6[[#This Row],[Hr]]&lt;6,"Late Night", IF(Bike_Sharing_Master6[[#This Row],[Hr]]&lt;10,"Morning Peak", IF(Bike_Sharing_Master6[[#This Row],[Hr]]&lt;17,"Daytime", IF(Bike_Sharing_Master6[[#This Row],[Hr]]&lt;21,"Evening Peak","Night"))))</f>
        <v>Late Night</v>
      </c>
      <c r="S974" s="1" t="str">
        <f>IF(Bike_Sharing_Master6[[#This Row],[Holiday]]=1,"Holiday","Non-Holiday")</f>
        <v>Non-Holiday</v>
      </c>
      <c r="T974" s="1" t="str">
        <f>IF(Bike_Sharing_Master6[[#This Row],[Cnt]]&lt;80,"Low",IF(Bike_Sharing_Master6[[#This Row],[Cnt]]&lt;160,"Medium","High"))</f>
        <v>Low</v>
      </c>
      <c r="U974" s="1" t="str">
        <f>VLOOKUP(Bike_Sharing_Master6[[#This Row],[Weathersit]],[1]Lookup_Weather!A:B,2,FALSE)</f>
        <v>Mist</v>
      </c>
    </row>
    <row r="975" spans="1:21" x14ac:dyDescent="0.3">
      <c r="A975">
        <v>974</v>
      </c>
      <c r="B975" s="3">
        <v>40587</v>
      </c>
      <c r="C975" s="1">
        <v>1</v>
      </c>
      <c r="D975" s="1">
        <v>0</v>
      </c>
      <c r="E975" s="1">
        <v>2</v>
      </c>
      <c r="F975" s="1">
        <v>4</v>
      </c>
      <c r="G975" t="b">
        <v>0</v>
      </c>
      <c r="H975" s="1">
        <v>0</v>
      </c>
      <c r="I975" s="1">
        <v>2</v>
      </c>
      <c r="J975" s="2">
        <v>0.2</v>
      </c>
      <c r="K975" s="2">
        <v>0.21210000000000001</v>
      </c>
      <c r="L975" s="2">
        <v>0.69</v>
      </c>
      <c r="M975" s="2">
        <v>0.16420000000000001</v>
      </c>
      <c r="N975" s="1">
        <v>0</v>
      </c>
      <c r="O975" s="1">
        <v>2</v>
      </c>
      <c r="P975" s="1">
        <v>2</v>
      </c>
      <c r="Q975" s="1" t="str">
        <f>IF(WEEKDAY(Bike_Sharing_Master6[[#This Row],[Dteday]],2)&gt;=6,"Weekend","Weekday")</f>
        <v>Weekend</v>
      </c>
      <c r="R975" s="1" t="str">
        <f xml:space="preserve"> IF(Bike_Sharing_Master6[[#This Row],[Hr]]&lt;6,"Late Night", IF(Bike_Sharing_Master6[[#This Row],[Hr]]&lt;10,"Morning Peak", IF(Bike_Sharing_Master6[[#This Row],[Hr]]&lt;17,"Daytime", IF(Bike_Sharing_Master6[[#This Row],[Hr]]&lt;21,"Evening Peak","Night"))))</f>
        <v>Late Night</v>
      </c>
      <c r="S975" s="1" t="str">
        <f>IF(Bike_Sharing_Master6[[#This Row],[Holiday]]=1,"Holiday","Non-Holiday")</f>
        <v>Non-Holiday</v>
      </c>
      <c r="T975" s="1" t="str">
        <f>IF(Bike_Sharing_Master6[[#This Row],[Cnt]]&lt;80,"Low",IF(Bike_Sharing_Master6[[#This Row],[Cnt]]&lt;160,"Medium","High"))</f>
        <v>Low</v>
      </c>
      <c r="U975" s="1" t="str">
        <f>VLOOKUP(Bike_Sharing_Master6[[#This Row],[Weathersit]],[1]Lookup_Weather!A:B,2,FALSE)</f>
        <v>Mist</v>
      </c>
    </row>
    <row r="976" spans="1:21" x14ac:dyDescent="0.3">
      <c r="A976">
        <v>975</v>
      </c>
      <c r="B976" s="3">
        <v>40587</v>
      </c>
      <c r="C976" s="1">
        <v>1</v>
      </c>
      <c r="D976" s="1">
        <v>0</v>
      </c>
      <c r="E976" s="1">
        <v>2</v>
      </c>
      <c r="F976" s="1">
        <v>6</v>
      </c>
      <c r="G976" t="b">
        <v>0</v>
      </c>
      <c r="H976" s="1">
        <v>0</v>
      </c>
      <c r="I976" s="1">
        <v>2</v>
      </c>
      <c r="J976" s="2">
        <v>0.2</v>
      </c>
      <c r="K976" s="2">
        <v>0.21210000000000001</v>
      </c>
      <c r="L976" s="2">
        <v>0.69</v>
      </c>
      <c r="M976" s="2">
        <v>0.1343</v>
      </c>
      <c r="N976" s="1">
        <v>2</v>
      </c>
      <c r="O976" s="1">
        <v>3</v>
      </c>
      <c r="P976" s="1">
        <v>5</v>
      </c>
      <c r="Q976" s="1" t="str">
        <f>IF(WEEKDAY(Bike_Sharing_Master6[[#This Row],[Dteday]],2)&gt;=6,"Weekend","Weekday")</f>
        <v>Weekend</v>
      </c>
      <c r="R976" s="1" t="str">
        <f xml:space="preserve"> IF(Bike_Sharing_Master6[[#This Row],[Hr]]&lt;6,"Late Night", IF(Bike_Sharing_Master6[[#This Row],[Hr]]&lt;10,"Morning Peak", IF(Bike_Sharing_Master6[[#This Row],[Hr]]&lt;17,"Daytime", IF(Bike_Sharing_Master6[[#This Row],[Hr]]&lt;21,"Evening Peak","Night"))))</f>
        <v>Morning Peak</v>
      </c>
      <c r="S976" s="1" t="str">
        <f>IF(Bike_Sharing_Master6[[#This Row],[Holiday]]=1,"Holiday","Non-Holiday")</f>
        <v>Non-Holiday</v>
      </c>
      <c r="T976" s="1" t="str">
        <f>IF(Bike_Sharing_Master6[[#This Row],[Cnt]]&lt;80,"Low",IF(Bike_Sharing_Master6[[#This Row],[Cnt]]&lt;160,"Medium","High"))</f>
        <v>Low</v>
      </c>
      <c r="U976" s="1" t="str">
        <f>VLOOKUP(Bike_Sharing_Master6[[#This Row],[Weathersit]],[1]Lookup_Weather!A:B,2,FALSE)</f>
        <v>Mist</v>
      </c>
    </row>
    <row r="977" spans="1:21" x14ac:dyDescent="0.3">
      <c r="A977">
        <v>976</v>
      </c>
      <c r="B977" s="3">
        <v>40587</v>
      </c>
      <c r="C977" s="1">
        <v>1</v>
      </c>
      <c r="D977" s="1">
        <v>0</v>
      </c>
      <c r="E977" s="1">
        <v>2</v>
      </c>
      <c r="F977" s="1">
        <v>7</v>
      </c>
      <c r="G977" t="b">
        <v>0</v>
      </c>
      <c r="H977" s="1">
        <v>0</v>
      </c>
      <c r="I977" s="1">
        <v>2</v>
      </c>
      <c r="J977" s="2">
        <v>0.22</v>
      </c>
      <c r="K977" s="2">
        <v>0.2727</v>
      </c>
      <c r="L977" s="2">
        <v>0.55000000000000004</v>
      </c>
      <c r="M977" s="2">
        <v>0</v>
      </c>
      <c r="N977" s="1">
        <v>0</v>
      </c>
      <c r="O977" s="1">
        <v>3</v>
      </c>
      <c r="P977" s="1">
        <v>3</v>
      </c>
      <c r="Q977" s="1" t="str">
        <f>IF(WEEKDAY(Bike_Sharing_Master6[[#This Row],[Dteday]],2)&gt;=6,"Weekend","Weekday")</f>
        <v>Weekend</v>
      </c>
      <c r="R977" s="1" t="str">
        <f xml:space="preserve"> IF(Bike_Sharing_Master6[[#This Row],[Hr]]&lt;6,"Late Night", IF(Bike_Sharing_Master6[[#This Row],[Hr]]&lt;10,"Morning Peak", IF(Bike_Sharing_Master6[[#This Row],[Hr]]&lt;17,"Daytime", IF(Bike_Sharing_Master6[[#This Row],[Hr]]&lt;21,"Evening Peak","Night"))))</f>
        <v>Morning Peak</v>
      </c>
      <c r="S977" s="1" t="str">
        <f>IF(Bike_Sharing_Master6[[#This Row],[Holiday]]=1,"Holiday","Non-Holiday")</f>
        <v>Non-Holiday</v>
      </c>
      <c r="T977" s="1" t="str">
        <f>IF(Bike_Sharing_Master6[[#This Row],[Cnt]]&lt;80,"Low",IF(Bike_Sharing_Master6[[#This Row],[Cnt]]&lt;160,"Medium","High"))</f>
        <v>Low</v>
      </c>
      <c r="U977" s="1" t="str">
        <f>VLOOKUP(Bike_Sharing_Master6[[#This Row],[Weathersit]],[1]Lookup_Weather!A:B,2,FALSE)</f>
        <v>Mist</v>
      </c>
    </row>
    <row r="978" spans="1:21" x14ac:dyDescent="0.3">
      <c r="A978">
        <v>977</v>
      </c>
      <c r="B978" s="3">
        <v>40587</v>
      </c>
      <c r="C978" s="1">
        <v>1</v>
      </c>
      <c r="D978" s="1">
        <v>0</v>
      </c>
      <c r="E978" s="1">
        <v>2</v>
      </c>
      <c r="F978" s="1">
        <v>8</v>
      </c>
      <c r="G978" t="b">
        <v>0</v>
      </c>
      <c r="H978" s="1">
        <v>0</v>
      </c>
      <c r="I978" s="1">
        <v>2</v>
      </c>
      <c r="J978" s="2">
        <v>0.22</v>
      </c>
      <c r="K978" s="2">
        <v>0.2273</v>
      </c>
      <c r="L978" s="2">
        <v>0.64</v>
      </c>
      <c r="M978" s="2">
        <v>0.19400000000000001</v>
      </c>
      <c r="N978" s="1">
        <v>1</v>
      </c>
      <c r="O978" s="1">
        <v>11</v>
      </c>
      <c r="P978" s="1">
        <v>12</v>
      </c>
      <c r="Q978" s="1" t="str">
        <f>IF(WEEKDAY(Bike_Sharing_Master6[[#This Row],[Dteday]],2)&gt;=6,"Weekend","Weekday")</f>
        <v>Weekend</v>
      </c>
      <c r="R978" s="1" t="str">
        <f xml:space="preserve"> IF(Bike_Sharing_Master6[[#This Row],[Hr]]&lt;6,"Late Night", IF(Bike_Sharing_Master6[[#This Row],[Hr]]&lt;10,"Morning Peak", IF(Bike_Sharing_Master6[[#This Row],[Hr]]&lt;17,"Daytime", IF(Bike_Sharing_Master6[[#This Row],[Hr]]&lt;21,"Evening Peak","Night"))))</f>
        <v>Morning Peak</v>
      </c>
      <c r="S978" s="1" t="str">
        <f>IF(Bike_Sharing_Master6[[#This Row],[Holiday]]=1,"Holiday","Non-Holiday")</f>
        <v>Non-Holiday</v>
      </c>
      <c r="T978" s="1" t="str">
        <f>IF(Bike_Sharing_Master6[[#This Row],[Cnt]]&lt;80,"Low",IF(Bike_Sharing_Master6[[#This Row],[Cnt]]&lt;160,"Medium","High"))</f>
        <v>Low</v>
      </c>
      <c r="U978" s="1" t="str">
        <f>VLOOKUP(Bike_Sharing_Master6[[#This Row],[Weathersit]],[1]Lookup_Weather!A:B,2,FALSE)</f>
        <v>Mist</v>
      </c>
    </row>
    <row r="979" spans="1:21" x14ac:dyDescent="0.3">
      <c r="A979">
        <v>978</v>
      </c>
      <c r="B979" s="3">
        <v>40587</v>
      </c>
      <c r="C979" s="1">
        <v>1</v>
      </c>
      <c r="D979" s="1">
        <v>0</v>
      </c>
      <c r="E979" s="1">
        <v>2</v>
      </c>
      <c r="F979" s="1">
        <v>9</v>
      </c>
      <c r="G979" t="b">
        <v>0</v>
      </c>
      <c r="H979" s="1">
        <v>0</v>
      </c>
      <c r="I979" s="1">
        <v>2</v>
      </c>
      <c r="J979" s="2">
        <v>0.24</v>
      </c>
      <c r="K979" s="2">
        <v>0.2273</v>
      </c>
      <c r="L979" s="2">
        <v>0.6</v>
      </c>
      <c r="M979" s="2">
        <v>0.22389999999999999</v>
      </c>
      <c r="N979" s="1">
        <v>12</v>
      </c>
      <c r="O979" s="1">
        <v>35</v>
      </c>
      <c r="P979" s="1">
        <v>47</v>
      </c>
      <c r="Q979" s="1" t="str">
        <f>IF(WEEKDAY(Bike_Sharing_Master6[[#This Row],[Dteday]],2)&gt;=6,"Weekend","Weekday")</f>
        <v>Weekend</v>
      </c>
      <c r="R979" s="1" t="str">
        <f xml:space="preserve"> IF(Bike_Sharing_Master6[[#This Row],[Hr]]&lt;6,"Late Night", IF(Bike_Sharing_Master6[[#This Row],[Hr]]&lt;10,"Morning Peak", IF(Bike_Sharing_Master6[[#This Row],[Hr]]&lt;17,"Daytime", IF(Bike_Sharing_Master6[[#This Row],[Hr]]&lt;21,"Evening Peak","Night"))))</f>
        <v>Morning Peak</v>
      </c>
      <c r="S979" s="1" t="str">
        <f>IF(Bike_Sharing_Master6[[#This Row],[Holiday]]=1,"Holiday","Non-Holiday")</f>
        <v>Non-Holiday</v>
      </c>
      <c r="T979" s="1" t="str">
        <f>IF(Bike_Sharing_Master6[[#This Row],[Cnt]]&lt;80,"Low",IF(Bike_Sharing_Master6[[#This Row],[Cnt]]&lt;160,"Medium","High"))</f>
        <v>Low</v>
      </c>
      <c r="U979" s="1" t="str">
        <f>VLOOKUP(Bike_Sharing_Master6[[#This Row],[Weathersit]],[1]Lookup_Weather!A:B,2,FALSE)</f>
        <v>Mist</v>
      </c>
    </row>
    <row r="980" spans="1:21" x14ac:dyDescent="0.3">
      <c r="A980">
        <v>979</v>
      </c>
      <c r="B980" s="3">
        <v>40587</v>
      </c>
      <c r="C980" s="1">
        <v>1</v>
      </c>
      <c r="D980" s="1">
        <v>0</v>
      </c>
      <c r="E980" s="1">
        <v>2</v>
      </c>
      <c r="F980" s="1">
        <v>10</v>
      </c>
      <c r="G980" t="b">
        <v>0</v>
      </c>
      <c r="H980" s="1">
        <v>0</v>
      </c>
      <c r="I980" s="1">
        <v>1</v>
      </c>
      <c r="J980" s="2">
        <v>0.3</v>
      </c>
      <c r="K980" s="2">
        <v>0.2727</v>
      </c>
      <c r="L980" s="2">
        <v>0.45</v>
      </c>
      <c r="M980" s="2">
        <v>0.32840000000000003</v>
      </c>
      <c r="N980" s="1">
        <v>19</v>
      </c>
      <c r="O980" s="1">
        <v>86</v>
      </c>
      <c r="P980" s="1">
        <v>105</v>
      </c>
      <c r="Q980" s="1" t="str">
        <f>IF(WEEKDAY(Bike_Sharing_Master6[[#This Row],[Dteday]],2)&gt;=6,"Weekend","Weekday")</f>
        <v>Weekend</v>
      </c>
      <c r="R980" s="1" t="str">
        <f xml:space="preserve"> IF(Bike_Sharing_Master6[[#This Row],[Hr]]&lt;6,"Late Night", IF(Bike_Sharing_Master6[[#This Row],[Hr]]&lt;10,"Morning Peak", IF(Bike_Sharing_Master6[[#This Row],[Hr]]&lt;17,"Daytime", IF(Bike_Sharing_Master6[[#This Row],[Hr]]&lt;21,"Evening Peak","Night"))))</f>
        <v>Daytime</v>
      </c>
      <c r="S980" s="1" t="str">
        <f>IF(Bike_Sharing_Master6[[#This Row],[Holiday]]=1,"Holiday","Non-Holiday")</f>
        <v>Non-Holiday</v>
      </c>
      <c r="T980" s="1" t="str">
        <f>IF(Bike_Sharing_Master6[[#This Row],[Cnt]]&lt;80,"Low",IF(Bike_Sharing_Master6[[#This Row],[Cnt]]&lt;160,"Medium","High"))</f>
        <v>Medium</v>
      </c>
      <c r="U980" s="1" t="str">
        <f>VLOOKUP(Bike_Sharing_Master6[[#This Row],[Weathersit]],[1]Lookup_Weather!A:B,2,FALSE)</f>
        <v>Clear</v>
      </c>
    </row>
    <row r="981" spans="1:21" x14ac:dyDescent="0.3">
      <c r="A981">
        <v>980</v>
      </c>
      <c r="B981" s="3">
        <v>40587</v>
      </c>
      <c r="C981" s="1">
        <v>1</v>
      </c>
      <c r="D981" s="1">
        <v>0</v>
      </c>
      <c r="E981" s="1">
        <v>2</v>
      </c>
      <c r="F981" s="1">
        <v>11</v>
      </c>
      <c r="G981" t="b">
        <v>0</v>
      </c>
      <c r="H981" s="1">
        <v>0</v>
      </c>
      <c r="I981" s="1">
        <v>1</v>
      </c>
      <c r="J981" s="2">
        <v>0.32</v>
      </c>
      <c r="K981" s="2">
        <v>0.28789999999999999</v>
      </c>
      <c r="L981" s="2">
        <v>0.39</v>
      </c>
      <c r="M981" s="2">
        <v>0.44779999999999998</v>
      </c>
      <c r="N981" s="1">
        <v>26</v>
      </c>
      <c r="O981" s="1">
        <v>86</v>
      </c>
      <c r="P981" s="1">
        <v>112</v>
      </c>
      <c r="Q981" s="1" t="str">
        <f>IF(WEEKDAY(Bike_Sharing_Master6[[#This Row],[Dteday]],2)&gt;=6,"Weekend","Weekday")</f>
        <v>Weekend</v>
      </c>
      <c r="R981" s="1" t="str">
        <f xml:space="preserve"> IF(Bike_Sharing_Master6[[#This Row],[Hr]]&lt;6,"Late Night", IF(Bike_Sharing_Master6[[#This Row],[Hr]]&lt;10,"Morning Peak", IF(Bike_Sharing_Master6[[#This Row],[Hr]]&lt;17,"Daytime", IF(Bike_Sharing_Master6[[#This Row],[Hr]]&lt;21,"Evening Peak","Night"))))</f>
        <v>Daytime</v>
      </c>
      <c r="S981" s="1" t="str">
        <f>IF(Bike_Sharing_Master6[[#This Row],[Holiday]]=1,"Holiday","Non-Holiday")</f>
        <v>Non-Holiday</v>
      </c>
      <c r="T981" s="1" t="str">
        <f>IF(Bike_Sharing_Master6[[#This Row],[Cnt]]&lt;80,"Low",IF(Bike_Sharing_Master6[[#This Row],[Cnt]]&lt;160,"Medium","High"))</f>
        <v>Medium</v>
      </c>
      <c r="U981" s="1" t="str">
        <f>VLOOKUP(Bike_Sharing_Master6[[#This Row],[Weathersit]],[1]Lookup_Weather!A:B,2,FALSE)</f>
        <v>Clear</v>
      </c>
    </row>
    <row r="982" spans="1:21" x14ac:dyDescent="0.3">
      <c r="A982">
        <v>981</v>
      </c>
      <c r="B982" s="3">
        <v>40587</v>
      </c>
      <c r="C982" s="1">
        <v>1</v>
      </c>
      <c r="D982" s="1">
        <v>0</v>
      </c>
      <c r="E982" s="1">
        <v>2</v>
      </c>
      <c r="F982" s="1">
        <v>12</v>
      </c>
      <c r="G982" t="b">
        <v>0</v>
      </c>
      <c r="H982" s="1">
        <v>0</v>
      </c>
      <c r="I982" s="1">
        <v>1</v>
      </c>
      <c r="J982" s="2">
        <v>0.36</v>
      </c>
      <c r="K982" s="2">
        <v>0.31819999999999998</v>
      </c>
      <c r="L982" s="2">
        <v>0.32</v>
      </c>
      <c r="M982" s="2">
        <v>0.4627</v>
      </c>
      <c r="N982" s="1">
        <v>58</v>
      </c>
      <c r="O982" s="1">
        <v>94</v>
      </c>
      <c r="P982" s="1">
        <v>152</v>
      </c>
      <c r="Q982" s="1" t="str">
        <f>IF(WEEKDAY(Bike_Sharing_Master6[[#This Row],[Dteday]],2)&gt;=6,"Weekend","Weekday")</f>
        <v>Weekend</v>
      </c>
      <c r="R982" s="1" t="str">
        <f xml:space="preserve"> IF(Bike_Sharing_Master6[[#This Row],[Hr]]&lt;6,"Late Night", IF(Bike_Sharing_Master6[[#This Row],[Hr]]&lt;10,"Morning Peak", IF(Bike_Sharing_Master6[[#This Row],[Hr]]&lt;17,"Daytime", IF(Bike_Sharing_Master6[[#This Row],[Hr]]&lt;21,"Evening Peak","Night"))))</f>
        <v>Daytime</v>
      </c>
      <c r="S982" s="1" t="str">
        <f>IF(Bike_Sharing_Master6[[#This Row],[Holiday]]=1,"Holiday","Non-Holiday")</f>
        <v>Non-Holiday</v>
      </c>
      <c r="T982" s="1" t="str">
        <f>IF(Bike_Sharing_Master6[[#This Row],[Cnt]]&lt;80,"Low",IF(Bike_Sharing_Master6[[#This Row],[Cnt]]&lt;160,"Medium","High"))</f>
        <v>Medium</v>
      </c>
      <c r="U982" s="1" t="str">
        <f>VLOOKUP(Bike_Sharing_Master6[[#This Row],[Weathersit]],[1]Lookup_Weather!A:B,2,FALSE)</f>
        <v>Clear</v>
      </c>
    </row>
    <row r="983" spans="1:21" x14ac:dyDescent="0.3">
      <c r="A983">
        <v>982</v>
      </c>
      <c r="B983" s="3">
        <v>40587</v>
      </c>
      <c r="C983" s="1">
        <v>1</v>
      </c>
      <c r="D983" s="1">
        <v>0</v>
      </c>
      <c r="E983" s="1">
        <v>2</v>
      </c>
      <c r="F983" s="1">
        <v>13</v>
      </c>
      <c r="G983" t="b">
        <v>0</v>
      </c>
      <c r="H983" s="1">
        <v>0</v>
      </c>
      <c r="I983" s="1">
        <v>1</v>
      </c>
      <c r="J983" s="2">
        <v>0.38</v>
      </c>
      <c r="K983" s="2">
        <v>0.39389999999999997</v>
      </c>
      <c r="L983" s="2">
        <v>0.28999999999999998</v>
      </c>
      <c r="M983" s="2">
        <v>0.35820000000000002</v>
      </c>
      <c r="N983" s="1">
        <v>62</v>
      </c>
      <c r="O983" s="1">
        <v>92</v>
      </c>
      <c r="P983" s="1">
        <v>154</v>
      </c>
      <c r="Q983" s="1" t="str">
        <f>IF(WEEKDAY(Bike_Sharing_Master6[[#This Row],[Dteday]],2)&gt;=6,"Weekend","Weekday")</f>
        <v>Weekend</v>
      </c>
      <c r="R983" s="1" t="str">
        <f xml:space="preserve"> IF(Bike_Sharing_Master6[[#This Row],[Hr]]&lt;6,"Late Night", IF(Bike_Sharing_Master6[[#This Row],[Hr]]&lt;10,"Morning Peak", IF(Bike_Sharing_Master6[[#This Row],[Hr]]&lt;17,"Daytime", IF(Bike_Sharing_Master6[[#This Row],[Hr]]&lt;21,"Evening Peak","Night"))))</f>
        <v>Daytime</v>
      </c>
      <c r="S983" s="1" t="str">
        <f>IF(Bike_Sharing_Master6[[#This Row],[Holiday]]=1,"Holiday","Non-Holiday")</f>
        <v>Non-Holiday</v>
      </c>
      <c r="T983" s="1" t="str">
        <f>IF(Bike_Sharing_Master6[[#This Row],[Cnt]]&lt;80,"Low",IF(Bike_Sharing_Master6[[#This Row],[Cnt]]&lt;160,"Medium","High"))</f>
        <v>Medium</v>
      </c>
      <c r="U983" s="1" t="str">
        <f>VLOOKUP(Bike_Sharing_Master6[[#This Row],[Weathersit]],[1]Lookup_Weather!A:B,2,FALSE)</f>
        <v>Clear</v>
      </c>
    </row>
    <row r="984" spans="1:21" x14ac:dyDescent="0.3">
      <c r="A984">
        <v>983</v>
      </c>
      <c r="B984" s="3">
        <v>40587</v>
      </c>
      <c r="C984" s="1">
        <v>1</v>
      </c>
      <c r="D984" s="1">
        <v>0</v>
      </c>
      <c r="E984" s="1">
        <v>2</v>
      </c>
      <c r="F984" s="1">
        <v>14</v>
      </c>
      <c r="G984" t="b">
        <v>0</v>
      </c>
      <c r="H984" s="1">
        <v>0</v>
      </c>
      <c r="I984" s="1">
        <v>2</v>
      </c>
      <c r="J984" s="2">
        <v>0.4</v>
      </c>
      <c r="K984" s="2">
        <v>0.40910000000000002</v>
      </c>
      <c r="L984" s="2">
        <v>0.3</v>
      </c>
      <c r="M984" s="2">
        <v>0.41789999999999999</v>
      </c>
      <c r="N984" s="1">
        <v>51</v>
      </c>
      <c r="O984" s="1">
        <v>110</v>
      </c>
      <c r="P984" s="1">
        <v>161</v>
      </c>
      <c r="Q984" s="1" t="str">
        <f>IF(WEEKDAY(Bike_Sharing_Master6[[#This Row],[Dteday]],2)&gt;=6,"Weekend","Weekday")</f>
        <v>Weekend</v>
      </c>
      <c r="R984" s="1" t="str">
        <f xml:space="preserve"> IF(Bike_Sharing_Master6[[#This Row],[Hr]]&lt;6,"Late Night", IF(Bike_Sharing_Master6[[#This Row],[Hr]]&lt;10,"Morning Peak", IF(Bike_Sharing_Master6[[#This Row],[Hr]]&lt;17,"Daytime", IF(Bike_Sharing_Master6[[#This Row],[Hr]]&lt;21,"Evening Peak","Night"))))</f>
        <v>Daytime</v>
      </c>
      <c r="S984" s="1" t="str">
        <f>IF(Bike_Sharing_Master6[[#This Row],[Holiday]]=1,"Holiday","Non-Holiday")</f>
        <v>Non-Holiday</v>
      </c>
      <c r="T984" s="1" t="str">
        <f>IF(Bike_Sharing_Master6[[#This Row],[Cnt]]&lt;80,"Low",IF(Bike_Sharing_Master6[[#This Row],[Cnt]]&lt;160,"Medium","High"))</f>
        <v>High</v>
      </c>
      <c r="U984" s="1" t="str">
        <f>VLOOKUP(Bike_Sharing_Master6[[#This Row],[Weathersit]],[1]Lookup_Weather!A:B,2,FALSE)</f>
        <v>Mist</v>
      </c>
    </row>
    <row r="985" spans="1:21" x14ac:dyDescent="0.3">
      <c r="A985">
        <v>984</v>
      </c>
      <c r="B985" s="3">
        <v>40587</v>
      </c>
      <c r="C985" s="1">
        <v>1</v>
      </c>
      <c r="D985" s="1">
        <v>0</v>
      </c>
      <c r="E985" s="1">
        <v>2</v>
      </c>
      <c r="F985" s="1">
        <v>15</v>
      </c>
      <c r="G985" t="b">
        <v>0</v>
      </c>
      <c r="H985" s="1">
        <v>0</v>
      </c>
      <c r="I985" s="1">
        <v>2</v>
      </c>
      <c r="J985" s="2">
        <v>0.4</v>
      </c>
      <c r="K985" s="2">
        <v>0.40910000000000002</v>
      </c>
      <c r="L985" s="2">
        <v>0.3</v>
      </c>
      <c r="M985" s="2">
        <v>0.29849999999999999</v>
      </c>
      <c r="N985" s="1">
        <v>40</v>
      </c>
      <c r="O985" s="1">
        <v>122</v>
      </c>
      <c r="P985" s="1">
        <v>162</v>
      </c>
      <c r="Q985" s="1" t="str">
        <f>IF(WEEKDAY(Bike_Sharing_Master6[[#This Row],[Dteday]],2)&gt;=6,"Weekend","Weekday")</f>
        <v>Weekend</v>
      </c>
      <c r="R985" s="1" t="str">
        <f xml:space="preserve"> IF(Bike_Sharing_Master6[[#This Row],[Hr]]&lt;6,"Late Night", IF(Bike_Sharing_Master6[[#This Row],[Hr]]&lt;10,"Morning Peak", IF(Bike_Sharing_Master6[[#This Row],[Hr]]&lt;17,"Daytime", IF(Bike_Sharing_Master6[[#This Row],[Hr]]&lt;21,"Evening Peak","Night"))))</f>
        <v>Daytime</v>
      </c>
      <c r="S985" s="1" t="str">
        <f>IF(Bike_Sharing_Master6[[#This Row],[Holiday]]=1,"Holiday","Non-Holiday")</f>
        <v>Non-Holiday</v>
      </c>
      <c r="T985" s="1" t="str">
        <f>IF(Bike_Sharing_Master6[[#This Row],[Cnt]]&lt;80,"Low",IF(Bike_Sharing_Master6[[#This Row],[Cnt]]&lt;160,"Medium","High"))</f>
        <v>High</v>
      </c>
      <c r="U985" s="1" t="str">
        <f>VLOOKUP(Bike_Sharing_Master6[[#This Row],[Weathersit]],[1]Lookup_Weather!A:B,2,FALSE)</f>
        <v>Mist</v>
      </c>
    </row>
    <row r="986" spans="1:21" x14ac:dyDescent="0.3">
      <c r="A986">
        <v>985</v>
      </c>
      <c r="B986" s="3">
        <v>40587</v>
      </c>
      <c r="C986" s="1">
        <v>1</v>
      </c>
      <c r="D986" s="1">
        <v>0</v>
      </c>
      <c r="E986" s="1">
        <v>2</v>
      </c>
      <c r="F986" s="1">
        <v>16</v>
      </c>
      <c r="G986" t="b">
        <v>0</v>
      </c>
      <c r="H986" s="1">
        <v>0</v>
      </c>
      <c r="I986" s="1">
        <v>2</v>
      </c>
      <c r="J986" s="2">
        <v>0.42</v>
      </c>
      <c r="K986" s="2">
        <v>0.42420000000000002</v>
      </c>
      <c r="L986" s="2">
        <v>0.28000000000000003</v>
      </c>
      <c r="M986" s="2">
        <v>0.32840000000000003</v>
      </c>
      <c r="N986" s="1">
        <v>28</v>
      </c>
      <c r="O986" s="1">
        <v>106</v>
      </c>
      <c r="P986" s="1">
        <v>134</v>
      </c>
      <c r="Q986" s="1" t="str">
        <f>IF(WEEKDAY(Bike_Sharing_Master6[[#This Row],[Dteday]],2)&gt;=6,"Weekend","Weekday")</f>
        <v>Weekend</v>
      </c>
      <c r="R986" s="1" t="str">
        <f xml:space="preserve"> IF(Bike_Sharing_Master6[[#This Row],[Hr]]&lt;6,"Late Night", IF(Bike_Sharing_Master6[[#This Row],[Hr]]&lt;10,"Morning Peak", IF(Bike_Sharing_Master6[[#This Row],[Hr]]&lt;17,"Daytime", IF(Bike_Sharing_Master6[[#This Row],[Hr]]&lt;21,"Evening Peak","Night"))))</f>
        <v>Daytime</v>
      </c>
      <c r="S986" s="1" t="str">
        <f>IF(Bike_Sharing_Master6[[#This Row],[Holiday]]=1,"Holiday","Non-Holiday")</f>
        <v>Non-Holiday</v>
      </c>
      <c r="T986" s="1" t="str">
        <f>IF(Bike_Sharing_Master6[[#This Row],[Cnt]]&lt;80,"Low",IF(Bike_Sharing_Master6[[#This Row],[Cnt]]&lt;160,"Medium","High"))</f>
        <v>Medium</v>
      </c>
      <c r="U986" s="1" t="str">
        <f>VLOOKUP(Bike_Sharing_Master6[[#This Row],[Weathersit]],[1]Lookup_Weather!A:B,2,FALSE)</f>
        <v>Mist</v>
      </c>
    </row>
    <row r="987" spans="1:21" x14ac:dyDescent="0.3">
      <c r="A987">
        <v>986</v>
      </c>
      <c r="B987" s="3">
        <v>40587</v>
      </c>
      <c r="C987" s="1">
        <v>1</v>
      </c>
      <c r="D987" s="1">
        <v>0</v>
      </c>
      <c r="E987" s="1">
        <v>2</v>
      </c>
      <c r="F987" s="1">
        <v>17</v>
      </c>
      <c r="G987" t="b">
        <v>0</v>
      </c>
      <c r="H987" s="1">
        <v>0</v>
      </c>
      <c r="I987" s="1">
        <v>1</v>
      </c>
      <c r="J987" s="2">
        <v>0.42</v>
      </c>
      <c r="K987" s="2">
        <v>0.42420000000000002</v>
      </c>
      <c r="L987" s="2">
        <v>0.28000000000000003</v>
      </c>
      <c r="M987" s="2">
        <v>0.32840000000000003</v>
      </c>
      <c r="N987" s="1">
        <v>30</v>
      </c>
      <c r="O987" s="1">
        <v>95</v>
      </c>
      <c r="P987" s="1">
        <v>125</v>
      </c>
      <c r="Q987" s="1" t="str">
        <f>IF(WEEKDAY(Bike_Sharing_Master6[[#This Row],[Dteday]],2)&gt;=6,"Weekend","Weekday")</f>
        <v>Weekend</v>
      </c>
      <c r="R987" s="1" t="str">
        <f xml:space="preserve"> IF(Bike_Sharing_Master6[[#This Row],[Hr]]&lt;6,"Late Night", IF(Bike_Sharing_Master6[[#This Row],[Hr]]&lt;10,"Morning Peak", IF(Bike_Sharing_Master6[[#This Row],[Hr]]&lt;17,"Daytime", IF(Bike_Sharing_Master6[[#This Row],[Hr]]&lt;21,"Evening Peak","Night"))))</f>
        <v>Evening Peak</v>
      </c>
      <c r="S987" s="1" t="str">
        <f>IF(Bike_Sharing_Master6[[#This Row],[Holiday]]=1,"Holiday","Non-Holiday")</f>
        <v>Non-Holiday</v>
      </c>
      <c r="T987" s="1" t="str">
        <f>IF(Bike_Sharing_Master6[[#This Row],[Cnt]]&lt;80,"Low",IF(Bike_Sharing_Master6[[#This Row],[Cnt]]&lt;160,"Medium","High"))</f>
        <v>Medium</v>
      </c>
      <c r="U987" s="1" t="str">
        <f>VLOOKUP(Bike_Sharing_Master6[[#This Row],[Weathersit]],[1]Lookup_Weather!A:B,2,FALSE)</f>
        <v>Clear</v>
      </c>
    </row>
    <row r="988" spans="1:21" x14ac:dyDescent="0.3">
      <c r="A988">
        <v>987</v>
      </c>
      <c r="B988" s="3">
        <v>40587</v>
      </c>
      <c r="C988" s="1">
        <v>1</v>
      </c>
      <c r="D988" s="1">
        <v>0</v>
      </c>
      <c r="E988" s="1">
        <v>2</v>
      </c>
      <c r="F988" s="1">
        <v>18</v>
      </c>
      <c r="G988" t="b">
        <v>0</v>
      </c>
      <c r="H988" s="1">
        <v>0</v>
      </c>
      <c r="I988" s="1">
        <v>1</v>
      </c>
      <c r="J988" s="2">
        <v>0.4</v>
      </c>
      <c r="K988" s="2">
        <v>0.40910000000000002</v>
      </c>
      <c r="L988" s="2">
        <v>0.32</v>
      </c>
      <c r="M988" s="2">
        <v>0.29849999999999999</v>
      </c>
      <c r="N988" s="1">
        <v>17</v>
      </c>
      <c r="O988" s="1">
        <v>78</v>
      </c>
      <c r="P988" s="1">
        <v>95</v>
      </c>
      <c r="Q988" s="1" t="str">
        <f>IF(WEEKDAY(Bike_Sharing_Master6[[#This Row],[Dteday]],2)&gt;=6,"Weekend","Weekday")</f>
        <v>Weekend</v>
      </c>
      <c r="R988" s="1" t="str">
        <f xml:space="preserve"> IF(Bike_Sharing_Master6[[#This Row],[Hr]]&lt;6,"Late Night", IF(Bike_Sharing_Master6[[#This Row],[Hr]]&lt;10,"Morning Peak", IF(Bike_Sharing_Master6[[#This Row],[Hr]]&lt;17,"Daytime", IF(Bike_Sharing_Master6[[#This Row],[Hr]]&lt;21,"Evening Peak","Night"))))</f>
        <v>Evening Peak</v>
      </c>
      <c r="S988" s="1" t="str">
        <f>IF(Bike_Sharing_Master6[[#This Row],[Holiday]]=1,"Holiday","Non-Holiday")</f>
        <v>Non-Holiday</v>
      </c>
      <c r="T988" s="1" t="str">
        <f>IF(Bike_Sharing_Master6[[#This Row],[Cnt]]&lt;80,"Low",IF(Bike_Sharing_Master6[[#This Row],[Cnt]]&lt;160,"Medium","High"))</f>
        <v>Medium</v>
      </c>
      <c r="U988" s="1" t="str">
        <f>VLOOKUP(Bike_Sharing_Master6[[#This Row],[Weathersit]],[1]Lookup_Weather!A:B,2,FALSE)</f>
        <v>Clear</v>
      </c>
    </row>
    <row r="989" spans="1:21" x14ac:dyDescent="0.3">
      <c r="A989">
        <v>988</v>
      </c>
      <c r="B989" s="3">
        <v>40587</v>
      </c>
      <c r="C989" s="1">
        <v>1</v>
      </c>
      <c r="D989" s="1">
        <v>0</v>
      </c>
      <c r="E989" s="1">
        <v>2</v>
      </c>
      <c r="F989" s="1">
        <v>19</v>
      </c>
      <c r="G989" t="b">
        <v>0</v>
      </c>
      <c r="H989" s="1">
        <v>0</v>
      </c>
      <c r="I989" s="1">
        <v>1</v>
      </c>
      <c r="J989" s="2">
        <v>0.4</v>
      </c>
      <c r="K989" s="2">
        <v>0.40910000000000002</v>
      </c>
      <c r="L989" s="2">
        <v>0.35</v>
      </c>
      <c r="M989" s="2">
        <v>0.28360000000000002</v>
      </c>
      <c r="N989" s="1">
        <v>11</v>
      </c>
      <c r="O989" s="1">
        <v>50</v>
      </c>
      <c r="P989" s="1">
        <v>61</v>
      </c>
      <c r="Q989" s="1" t="str">
        <f>IF(WEEKDAY(Bike_Sharing_Master6[[#This Row],[Dteday]],2)&gt;=6,"Weekend","Weekday")</f>
        <v>Weekend</v>
      </c>
      <c r="R989" s="1" t="str">
        <f xml:space="preserve"> IF(Bike_Sharing_Master6[[#This Row],[Hr]]&lt;6,"Late Night", IF(Bike_Sharing_Master6[[#This Row],[Hr]]&lt;10,"Morning Peak", IF(Bike_Sharing_Master6[[#This Row],[Hr]]&lt;17,"Daytime", IF(Bike_Sharing_Master6[[#This Row],[Hr]]&lt;21,"Evening Peak","Night"))))</f>
        <v>Evening Peak</v>
      </c>
      <c r="S989" s="1" t="str">
        <f>IF(Bike_Sharing_Master6[[#This Row],[Holiday]]=1,"Holiday","Non-Holiday")</f>
        <v>Non-Holiday</v>
      </c>
      <c r="T989" s="1" t="str">
        <f>IF(Bike_Sharing_Master6[[#This Row],[Cnt]]&lt;80,"Low",IF(Bike_Sharing_Master6[[#This Row],[Cnt]]&lt;160,"Medium","High"))</f>
        <v>Low</v>
      </c>
      <c r="U989" s="1" t="str">
        <f>VLOOKUP(Bike_Sharing_Master6[[#This Row],[Weathersit]],[1]Lookup_Weather!A:B,2,FALSE)</f>
        <v>Clear</v>
      </c>
    </row>
    <row r="990" spans="1:21" x14ac:dyDescent="0.3">
      <c r="A990">
        <v>989</v>
      </c>
      <c r="B990" s="3">
        <v>40587</v>
      </c>
      <c r="C990" s="1">
        <v>1</v>
      </c>
      <c r="D990" s="1">
        <v>0</v>
      </c>
      <c r="E990" s="1">
        <v>2</v>
      </c>
      <c r="F990" s="1">
        <v>20</v>
      </c>
      <c r="G990" t="b">
        <v>0</v>
      </c>
      <c r="H990" s="1">
        <v>0</v>
      </c>
      <c r="I990" s="1">
        <v>1</v>
      </c>
      <c r="J990" s="2">
        <v>0.4</v>
      </c>
      <c r="K990" s="2">
        <v>0.40910000000000002</v>
      </c>
      <c r="L990" s="2">
        <v>0.35</v>
      </c>
      <c r="M990" s="2">
        <v>0.32840000000000003</v>
      </c>
      <c r="N990" s="1">
        <v>15</v>
      </c>
      <c r="O990" s="1">
        <v>32</v>
      </c>
      <c r="P990" s="1">
        <v>47</v>
      </c>
      <c r="Q990" s="1" t="str">
        <f>IF(WEEKDAY(Bike_Sharing_Master6[[#This Row],[Dteday]],2)&gt;=6,"Weekend","Weekday")</f>
        <v>Weekend</v>
      </c>
      <c r="R990" s="1" t="str">
        <f xml:space="preserve"> IF(Bike_Sharing_Master6[[#This Row],[Hr]]&lt;6,"Late Night", IF(Bike_Sharing_Master6[[#This Row],[Hr]]&lt;10,"Morning Peak", IF(Bike_Sharing_Master6[[#This Row],[Hr]]&lt;17,"Daytime", IF(Bike_Sharing_Master6[[#This Row],[Hr]]&lt;21,"Evening Peak","Night"))))</f>
        <v>Evening Peak</v>
      </c>
      <c r="S990" s="1" t="str">
        <f>IF(Bike_Sharing_Master6[[#This Row],[Holiday]]=1,"Holiday","Non-Holiday")</f>
        <v>Non-Holiday</v>
      </c>
      <c r="T990" s="1" t="str">
        <f>IF(Bike_Sharing_Master6[[#This Row],[Cnt]]&lt;80,"Low",IF(Bike_Sharing_Master6[[#This Row],[Cnt]]&lt;160,"Medium","High"))</f>
        <v>Low</v>
      </c>
      <c r="U990" s="1" t="str">
        <f>VLOOKUP(Bike_Sharing_Master6[[#This Row],[Weathersit]],[1]Lookup_Weather!A:B,2,FALSE)</f>
        <v>Clear</v>
      </c>
    </row>
    <row r="991" spans="1:21" x14ac:dyDescent="0.3">
      <c r="A991">
        <v>990</v>
      </c>
      <c r="B991" s="3">
        <v>40587</v>
      </c>
      <c r="C991" s="1">
        <v>1</v>
      </c>
      <c r="D991" s="1">
        <v>0</v>
      </c>
      <c r="E991" s="1">
        <v>2</v>
      </c>
      <c r="F991" s="1">
        <v>21</v>
      </c>
      <c r="G991" t="b">
        <v>0</v>
      </c>
      <c r="H991" s="1">
        <v>0</v>
      </c>
      <c r="I991" s="1">
        <v>1</v>
      </c>
      <c r="J991" s="2">
        <v>0.4</v>
      </c>
      <c r="K991" s="2">
        <v>0.40910000000000002</v>
      </c>
      <c r="L991" s="2">
        <v>0.35</v>
      </c>
      <c r="M991" s="2">
        <v>0.35820000000000002</v>
      </c>
      <c r="N991" s="1">
        <v>6</v>
      </c>
      <c r="O991" s="1">
        <v>45</v>
      </c>
      <c r="P991" s="1">
        <v>51</v>
      </c>
      <c r="Q991" s="1" t="str">
        <f>IF(WEEKDAY(Bike_Sharing_Master6[[#This Row],[Dteday]],2)&gt;=6,"Weekend","Weekday")</f>
        <v>Weekend</v>
      </c>
      <c r="R991" s="1" t="str">
        <f xml:space="preserve"> IF(Bike_Sharing_Master6[[#This Row],[Hr]]&lt;6,"Late Night", IF(Bike_Sharing_Master6[[#This Row],[Hr]]&lt;10,"Morning Peak", IF(Bike_Sharing_Master6[[#This Row],[Hr]]&lt;17,"Daytime", IF(Bike_Sharing_Master6[[#This Row],[Hr]]&lt;21,"Evening Peak","Night"))))</f>
        <v>Night</v>
      </c>
      <c r="S991" s="1" t="str">
        <f>IF(Bike_Sharing_Master6[[#This Row],[Holiday]]=1,"Holiday","Non-Holiday")</f>
        <v>Non-Holiday</v>
      </c>
      <c r="T991" s="1" t="str">
        <f>IF(Bike_Sharing_Master6[[#This Row],[Cnt]]&lt;80,"Low",IF(Bike_Sharing_Master6[[#This Row],[Cnt]]&lt;160,"Medium","High"))</f>
        <v>Low</v>
      </c>
      <c r="U991" s="1" t="str">
        <f>VLOOKUP(Bike_Sharing_Master6[[#This Row],[Weathersit]],[1]Lookup_Weather!A:B,2,FALSE)</f>
        <v>Clear</v>
      </c>
    </row>
    <row r="992" spans="1:21" x14ac:dyDescent="0.3">
      <c r="A992">
        <v>991</v>
      </c>
      <c r="B992" s="3">
        <v>40587</v>
      </c>
      <c r="C992" s="1">
        <v>1</v>
      </c>
      <c r="D992" s="1">
        <v>0</v>
      </c>
      <c r="E992" s="1">
        <v>2</v>
      </c>
      <c r="F992" s="1">
        <v>22</v>
      </c>
      <c r="G992" t="b">
        <v>0</v>
      </c>
      <c r="H992" s="1">
        <v>0</v>
      </c>
      <c r="I992" s="1">
        <v>1</v>
      </c>
      <c r="J992" s="2">
        <v>0.4</v>
      </c>
      <c r="K992" s="2">
        <v>0.40910000000000002</v>
      </c>
      <c r="L992" s="2">
        <v>0.35</v>
      </c>
      <c r="M992" s="2">
        <v>0.29849999999999999</v>
      </c>
      <c r="N992" s="1">
        <v>5</v>
      </c>
      <c r="O992" s="1">
        <v>31</v>
      </c>
      <c r="P992" s="1">
        <v>36</v>
      </c>
      <c r="Q992" s="1" t="str">
        <f>IF(WEEKDAY(Bike_Sharing_Master6[[#This Row],[Dteday]],2)&gt;=6,"Weekend","Weekday")</f>
        <v>Weekend</v>
      </c>
      <c r="R992" s="1" t="str">
        <f xml:space="preserve"> IF(Bike_Sharing_Master6[[#This Row],[Hr]]&lt;6,"Late Night", IF(Bike_Sharing_Master6[[#This Row],[Hr]]&lt;10,"Morning Peak", IF(Bike_Sharing_Master6[[#This Row],[Hr]]&lt;17,"Daytime", IF(Bike_Sharing_Master6[[#This Row],[Hr]]&lt;21,"Evening Peak","Night"))))</f>
        <v>Night</v>
      </c>
      <c r="S992" s="1" t="str">
        <f>IF(Bike_Sharing_Master6[[#This Row],[Holiday]]=1,"Holiday","Non-Holiday")</f>
        <v>Non-Holiday</v>
      </c>
      <c r="T992" s="1" t="str">
        <f>IF(Bike_Sharing_Master6[[#This Row],[Cnt]]&lt;80,"Low",IF(Bike_Sharing_Master6[[#This Row],[Cnt]]&lt;160,"Medium","High"))</f>
        <v>Low</v>
      </c>
      <c r="U992" s="1" t="str">
        <f>VLOOKUP(Bike_Sharing_Master6[[#This Row],[Weathersit]],[1]Lookup_Weather!A:B,2,FALSE)</f>
        <v>Clear</v>
      </c>
    </row>
    <row r="993" spans="1:21" x14ac:dyDescent="0.3">
      <c r="A993">
        <v>992</v>
      </c>
      <c r="B993" s="3">
        <v>40587</v>
      </c>
      <c r="C993" s="1">
        <v>1</v>
      </c>
      <c r="D993" s="1">
        <v>0</v>
      </c>
      <c r="E993" s="1">
        <v>2</v>
      </c>
      <c r="F993" s="1">
        <v>23</v>
      </c>
      <c r="G993" t="b">
        <v>0</v>
      </c>
      <c r="H993" s="1">
        <v>0</v>
      </c>
      <c r="I993" s="1">
        <v>1</v>
      </c>
      <c r="J993" s="2">
        <v>0.4</v>
      </c>
      <c r="K993" s="2">
        <v>0.40910000000000002</v>
      </c>
      <c r="L993" s="2">
        <v>0.35</v>
      </c>
      <c r="M993" s="2">
        <v>0.35820000000000002</v>
      </c>
      <c r="N993" s="1">
        <v>3</v>
      </c>
      <c r="O993" s="1">
        <v>27</v>
      </c>
      <c r="P993" s="1">
        <v>30</v>
      </c>
      <c r="Q993" s="1" t="str">
        <f>IF(WEEKDAY(Bike_Sharing_Master6[[#This Row],[Dteday]],2)&gt;=6,"Weekend","Weekday")</f>
        <v>Weekend</v>
      </c>
      <c r="R993" s="1" t="str">
        <f xml:space="preserve"> IF(Bike_Sharing_Master6[[#This Row],[Hr]]&lt;6,"Late Night", IF(Bike_Sharing_Master6[[#This Row],[Hr]]&lt;10,"Morning Peak", IF(Bike_Sharing_Master6[[#This Row],[Hr]]&lt;17,"Daytime", IF(Bike_Sharing_Master6[[#This Row],[Hr]]&lt;21,"Evening Peak","Night"))))</f>
        <v>Night</v>
      </c>
      <c r="S993" s="1" t="str">
        <f>IF(Bike_Sharing_Master6[[#This Row],[Holiday]]=1,"Holiday","Non-Holiday")</f>
        <v>Non-Holiday</v>
      </c>
      <c r="T993" s="1" t="str">
        <f>IF(Bike_Sharing_Master6[[#This Row],[Cnt]]&lt;80,"Low",IF(Bike_Sharing_Master6[[#This Row],[Cnt]]&lt;160,"Medium","High"))</f>
        <v>Low</v>
      </c>
      <c r="U993" s="1" t="str">
        <f>VLOOKUP(Bike_Sharing_Master6[[#This Row],[Weathersit]],[1]Lookup_Weather!A:B,2,FALSE)</f>
        <v>Clear</v>
      </c>
    </row>
    <row r="994" spans="1:21" x14ac:dyDescent="0.3">
      <c r="A994">
        <v>993</v>
      </c>
      <c r="B994" s="3">
        <v>40588</v>
      </c>
      <c r="C994" s="1">
        <v>1</v>
      </c>
      <c r="D994" s="1">
        <v>0</v>
      </c>
      <c r="E994" s="1">
        <v>2</v>
      </c>
      <c r="F994" s="1">
        <v>0</v>
      </c>
      <c r="G994" t="b">
        <v>0</v>
      </c>
      <c r="H994" s="1">
        <v>1</v>
      </c>
      <c r="I994" s="1">
        <v>1</v>
      </c>
      <c r="J994" s="2">
        <v>0.38</v>
      </c>
      <c r="K994" s="2">
        <v>0.39389999999999997</v>
      </c>
      <c r="L994" s="2">
        <v>0.37</v>
      </c>
      <c r="M994" s="2">
        <v>0.35820000000000002</v>
      </c>
      <c r="N994" s="1">
        <v>3</v>
      </c>
      <c r="O994" s="1">
        <v>8</v>
      </c>
      <c r="P994" s="1">
        <v>11</v>
      </c>
      <c r="Q994" s="1" t="str">
        <f>IF(WEEKDAY(Bike_Sharing_Master6[[#This Row],[Dteday]],2)&gt;=6,"Weekend","Weekday")</f>
        <v>Weekday</v>
      </c>
      <c r="R994" s="1" t="str">
        <f xml:space="preserve"> IF(Bike_Sharing_Master6[[#This Row],[Hr]]&lt;6,"Late Night", IF(Bike_Sharing_Master6[[#This Row],[Hr]]&lt;10,"Morning Peak", IF(Bike_Sharing_Master6[[#This Row],[Hr]]&lt;17,"Daytime", IF(Bike_Sharing_Master6[[#This Row],[Hr]]&lt;21,"Evening Peak","Night"))))</f>
        <v>Late Night</v>
      </c>
      <c r="S994" s="1" t="str">
        <f>IF(Bike_Sharing_Master6[[#This Row],[Holiday]]=1,"Holiday","Non-Holiday")</f>
        <v>Non-Holiday</v>
      </c>
      <c r="T994" s="1" t="str">
        <f>IF(Bike_Sharing_Master6[[#This Row],[Cnt]]&lt;80,"Low",IF(Bike_Sharing_Master6[[#This Row],[Cnt]]&lt;160,"Medium","High"))</f>
        <v>Low</v>
      </c>
      <c r="U994" s="1" t="str">
        <f>VLOOKUP(Bike_Sharing_Master6[[#This Row],[Weathersit]],[1]Lookup_Weather!A:B,2,FALSE)</f>
        <v>Clear</v>
      </c>
    </row>
    <row r="995" spans="1:21" x14ac:dyDescent="0.3">
      <c r="A995">
        <v>994</v>
      </c>
      <c r="B995" s="3">
        <v>40588</v>
      </c>
      <c r="C995" s="1">
        <v>1</v>
      </c>
      <c r="D995" s="1">
        <v>0</v>
      </c>
      <c r="E995" s="1">
        <v>2</v>
      </c>
      <c r="F995" s="1">
        <v>1</v>
      </c>
      <c r="G995" t="b">
        <v>0</v>
      </c>
      <c r="H995" s="1">
        <v>1</v>
      </c>
      <c r="I995" s="1">
        <v>1</v>
      </c>
      <c r="J995" s="2">
        <v>0.38</v>
      </c>
      <c r="K995" s="2">
        <v>0.39389999999999997</v>
      </c>
      <c r="L995" s="2">
        <v>0.37</v>
      </c>
      <c r="M995" s="2">
        <v>0.35820000000000002</v>
      </c>
      <c r="N995" s="1">
        <v>1</v>
      </c>
      <c r="O995" s="1">
        <v>6</v>
      </c>
      <c r="P995" s="1">
        <v>7</v>
      </c>
      <c r="Q995" s="1" t="str">
        <f>IF(WEEKDAY(Bike_Sharing_Master6[[#This Row],[Dteday]],2)&gt;=6,"Weekend","Weekday")</f>
        <v>Weekday</v>
      </c>
      <c r="R995" s="1" t="str">
        <f xml:space="preserve"> IF(Bike_Sharing_Master6[[#This Row],[Hr]]&lt;6,"Late Night", IF(Bike_Sharing_Master6[[#This Row],[Hr]]&lt;10,"Morning Peak", IF(Bike_Sharing_Master6[[#This Row],[Hr]]&lt;17,"Daytime", IF(Bike_Sharing_Master6[[#This Row],[Hr]]&lt;21,"Evening Peak","Night"))))</f>
        <v>Late Night</v>
      </c>
      <c r="S995" s="1" t="str">
        <f>IF(Bike_Sharing_Master6[[#This Row],[Holiday]]=1,"Holiday","Non-Holiday")</f>
        <v>Non-Holiday</v>
      </c>
      <c r="T995" s="1" t="str">
        <f>IF(Bike_Sharing_Master6[[#This Row],[Cnt]]&lt;80,"Low",IF(Bike_Sharing_Master6[[#This Row],[Cnt]]&lt;160,"Medium","High"))</f>
        <v>Low</v>
      </c>
      <c r="U995" s="1" t="str">
        <f>VLOOKUP(Bike_Sharing_Master6[[#This Row],[Weathersit]],[1]Lookup_Weather!A:B,2,FALSE)</f>
        <v>Clear</v>
      </c>
    </row>
    <row r="996" spans="1:21" x14ac:dyDescent="0.3">
      <c r="A996">
        <v>995</v>
      </c>
      <c r="B996" s="3">
        <v>40588</v>
      </c>
      <c r="C996" s="1">
        <v>1</v>
      </c>
      <c r="D996" s="1">
        <v>0</v>
      </c>
      <c r="E996" s="1">
        <v>2</v>
      </c>
      <c r="F996" s="1">
        <v>2</v>
      </c>
      <c r="G996" t="b">
        <v>0</v>
      </c>
      <c r="H996" s="1">
        <v>1</v>
      </c>
      <c r="I996" s="1">
        <v>1</v>
      </c>
      <c r="J996" s="2">
        <v>0.36</v>
      </c>
      <c r="K996" s="2">
        <v>0.33329999999999999</v>
      </c>
      <c r="L996" s="2">
        <v>0.4</v>
      </c>
      <c r="M996" s="2">
        <v>0.29849999999999999</v>
      </c>
      <c r="N996" s="1">
        <v>0</v>
      </c>
      <c r="O996" s="1">
        <v>2</v>
      </c>
      <c r="P996" s="1">
        <v>2</v>
      </c>
      <c r="Q996" s="1" t="str">
        <f>IF(WEEKDAY(Bike_Sharing_Master6[[#This Row],[Dteday]],2)&gt;=6,"Weekend","Weekday")</f>
        <v>Weekday</v>
      </c>
      <c r="R996" s="1" t="str">
        <f xml:space="preserve"> IF(Bike_Sharing_Master6[[#This Row],[Hr]]&lt;6,"Late Night", IF(Bike_Sharing_Master6[[#This Row],[Hr]]&lt;10,"Morning Peak", IF(Bike_Sharing_Master6[[#This Row],[Hr]]&lt;17,"Daytime", IF(Bike_Sharing_Master6[[#This Row],[Hr]]&lt;21,"Evening Peak","Night"))))</f>
        <v>Late Night</v>
      </c>
      <c r="S996" s="1" t="str">
        <f>IF(Bike_Sharing_Master6[[#This Row],[Holiday]]=1,"Holiday","Non-Holiday")</f>
        <v>Non-Holiday</v>
      </c>
      <c r="T996" s="1" t="str">
        <f>IF(Bike_Sharing_Master6[[#This Row],[Cnt]]&lt;80,"Low",IF(Bike_Sharing_Master6[[#This Row],[Cnt]]&lt;160,"Medium","High"))</f>
        <v>Low</v>
      </c>
      <c r="U996" s="1" t="str">
        <f>VLOOKUP(Bike_Sharing_Master6[[#This Row],[Weathersit]],[1]Lookup_Weather!A:B,2,FALSE)</f>
        <v>Clear</v>
      </c>
    </row>
    <row r="997" spans="1:21" x14ac:dyDescent="0.3">
      <c r="A997">
        <v>996</v>
      </c>
      <c r="B997" s="3">
        <v>40588</v>
      </c>
      <c r="C997" s="1">
        <v>1</v>
      </c>
      <c r="D997" s="1">
        <v>0</v>
      </c>
      <c r="E997" s="1">
        <v>2</v>
      </c>
      <c r="F997" s="1">
        <v>3</v>
      </c>
      <c r="G997" t="b">
        <v>0</v>
      </c>
      <c r="H997" s="1">
        <v>1</v>
      </c>
      <c r="I997" s="1">
        <v>1</v>
      </c>
      <c r="J997" s="2">
        <v>0.34</v>
      </c>
      <c r="K997" s="2">
        <v>0.31819999999999998</v>
      </c>
      <c r="L997" s="2">
        <v>0.46</v>
      </c>
      <c r="M997" s="2">
        <v>0.22389999999999999</v>
      </c>
      <c r="N997" s="1">
        <v>1</v>
      </c>
      <c r="O997" s="1">
        <v>1</v>
      </c>
      <c r="P997" s="1">
        <v>2</v>
      </c>
      <c r="Q997" s="1" t="str">
        <f>IF(WEEKDAY(Bike_Sharing_Master6[[#This Row],[Dteday]],2)&gt;=6,"Weekend","Weekday")</f>
        <v>Weekday</v>
      </c>
      <c r="R997" s="1" t="str">
        <f xml:space="preserve"> IF(Bike_Sharing_Master6[[#This Row],[Hr]]&lt;6,"Late Night", IF(Bike_Sharing_Master6[[#This Row],[Hr]]&lt;10,"Morning Peak", IF(Bike_Sharing_Master6[[#This Row],[Hr]]&lt;17,"Daytime", IF(Bike_Sharing_Master6[[#This Row],[Hr]]&lt;21,"Evening Peak","Night"))))</f>
        <v>Late Night</v>
      </c>
      <c r="S997" s="1" t="str">
        <f>IF(Bike_Sharing_Master6[[#This Row],[Holiday]]=1,"Holiday","Non-Holiday")</f>
        <v>Non-Holiday</v>
      </c>
      <c r="T997" s="1" t="str">
        <f>IF(Bike_Sharing_Master6[[#This Row],[Cnt]]&lt;80,"Low",IF(Bike_Sharing_Master6[[#This Row],[Cnt]]&lt;160,"Medium","High"))</f>
        <v>Low</v>
      </c>
      <c r="U997" s="1" t="str">
        <f>VLOOKUP(Bike_Sharing_Master6[[#This Row],[Weathersit]],[1]Lookup_Weather!A:B,2,FALSE)</f>
        <v>Clear</v>
      </c>
    </row>
    <row r="998" spans="1:21" x14ac:dyDescent="0.3">
      <c r="A998">
        <v>997</v>
      </c>
      <c r="B998" s="3">
        <v>40588</v>
      </c>
      <c r="C998" s="1">
        <v>1</v>
      </c>
      <c r="D998" s="1">
        <v>0</v>
      </c>
      <c r="E998" s="1">
        <v>2</v>
      </c>
      <c r="F998" s="1">
        <v>4</v>
      </c>
      <c r="G998" t="b">
        <v>0</v>
      </c>
      <c r="H998" s="1">
        <v>1</v>
      </c>
      <c r="I998" s="1">
        <v>1</v>
      </c>
      <c r="J998" s="2">
        <v>0.32</v>
      </c>
      <c r="K998" s="2">
        <v>0.30299999999999999</v>
      </c>
      <c r="L998" s="2">
        <v>0.53</v>
      </c>
      <c r="M998" s="2">
        <v>0.28360000000000002</v>
      </c>
      <c r="N998" s="1">
        <v>0</v>
      </c>
      <c r="O998" s="1">
        <v>2</v>
      </c>
      <c r="P998" s="1">
        <v>2</v>
      </c>
      <c r="Q998" s="1" t="str">
        <f>IF(WEEKDAY(Bike_Sharing_Master6[[#This Row],[Dteday]],2)&gt;=6,"Weekend","Weekday")</f>
        <v>Weekday</v>
      </c>
      <c r="R998" s="1" t="str">
        <f xml:space="preserve"> IF(Bike_Sharing_Master6[[#This Row],[Hr]]&lt;6,"Late Night", IF(Bike_Sharing_Master6[[#This Row],[Hr]]&lt;10,"Morning Peak", IF(Bike_Sharing_Master6[[#This Row],[Hr]]&lt;17,"Daytime", IF(Bike_Sharing_Master6[[#This Row],[Hr]]&lt;21,"Evening Peak","Night"))))</f>
        <v>Late Night</v>
      </c>
      <c r="S998" s="1" t="str">
        <f>IF(Bike_Sharing_Master6[[#This Row],[Holiday]]=1,"Holiday","Non-Holiday")</f>
        <v>Non-Holiday</v>
      </c>
      <c r="T998" s="1" t="str">
        <f>IF(Bike_Sharing_Master6[[#This Row],[Cnt]]&lt;80,"Low",IF(Bike_Sharing_Master6[[#This Row],[Cnt]]&lt;160,"Medium","High"))</f>
        <v>Low</v>
      </c>
      <c r="U998" s="1" t="str">
        <f>VLOOKUP(Bike_Sharing_Master6[[#This Row],[Weathersit]],[1]Lookup_Weather!A:B,2,FALSE)</f>
        <v>Clear</v>
      </c>
    </row>
    <row r="999" spans="1:21" x14ac:dyDescent="0.3">
      <c r="A999">
        <v>998</v>
      </c>
      <c r="B999" s="3">
        <v>40588</v>
      </c>
      <c r="C999" s="1">
        <v>1</v>
      </c>
      <c r="D999" s="1">
        <v>0</v>
      </c>
      <c r="E999" s="1">
        <v>2</v>
      </c>
      <c r="F999" s="1">
        <v>5</v>
      </c>
      <c r="G999" t="b">
        <v>0</v>
      </c>
      <c r="H999" s="1">
        <v>1</v>
      </c>
      <c r="I999" s="1">
        <v>1</v>
      </c>
      <c r="J999" s="2">
        <v>0.32</v>
      </c>
      <c r="K999" s="2">
        <v>0.30299999999999999</v>
      </c>
      <c r="L999" s="2">
        <v>0.53</v>
      </c>
      <c r="M999" s="2">
        <v>0.28360000000000002</v>
      </c>
      <c r="N999" s="1">
        <v>0</v>
      </c>
      <c r="O999" s="1">
        <v>3</v>
      </c>
      <c r="P999" s="1">
        <v>3</v>
      </c>
      <c r="Q999" s="1" t="str">
        <f>IF(WEEKDAY(Bike_Sharing_Master6[[#This Row],[Dteday]],2)&gt;=6,"Weekend","Weekday")</f>
        <v>Weekday</v>
      </c>
      <c r="R999" s="1" t="str">
        <f xml:space="preserve"> IF(Bike_Sharing_Master6[[#This Row],[Hr]]&lt;6,"Late Night", IF(Bike_Sharing_Master6[[#This Row],[Hr]]&lt;10,"Morning Peak", IF(Bike_Sharing_Master6[[#This Row],[Hr]]&lt;17,"Daytime", IF(Bike_Sharing_Master6[[#This Row],[Hr]]&lt;21,"Evening Peak","Night"))))</f>
        <v>Late Night</v>
      </c>
      <c r="S999" s="1" t="str">
        <f>IF(Bike_Sharing_Master6[[#This Row],[Holiday]]=1,"Holiday","Non-Holiday")</f>
        <v>Non-Holiday</v>
      </c>
      <c r="T999" s="1" t="str">
        <f>IF(Bike_Sharing_Master6[[#This Row],[Cnt]]&lt;80,"Low",IF(Bike_Sharing_Master6[[#This Row],[Cnt]]&lt;160,"Medium","High"))</f>
        <v>Low</v>
      </c>
      <c r="U999" s="1" t="str">
        <f>VLOOKUP(Bike_Sharing_Master6[[#This Row],[Weathersit]],[1]Lookup_Weather!A:B,2,FALSE)</f>
        <v>Clear</v>
      </c>
    </row>
    <row r="1000" spans="1:21" x14ac:dyDescent="0.3">
      <c r="A1000">
        <v>999</v>
      </c>
      <c r="B1000" s="3">
        <v>40588</v>
      </c>
      <c r="C1000" s="1">
        <v>1</v>
      </c>
      <c r="D1000" s="1">
        <v>0</v>
      </c>
      <c r="E1000" s="1">
        <v>2</v>
      </c>
      <c r="F1000" s="1">
        <v>6</v>
      </c>
      <c r="G1000" t="b">
        <v>0</v>
      </c>
      <c r="H1000" s="1">
        <v>1</v>
      </c>
      <c r="I1000" s="1">
        <v>1</v>
      </c>
      <c r="J1000" s="2">
        <v>0.34</v>
      </c>
      <c r="K1000" s="2">
        <v>0.30299999999999999</v>
      </c>
      <c r="L1000" s="2">
        <v>0.46</v>
      </c>
      <c r="M1000" s="2">
        <v>0.29849999999999999</v>
      </c>
      <c r="N1000" s="1">
        <v>1</v>
      </c>
      <c r="O1000" s="1">
        <v>25</v>
      </c>
      <c r="P1000" s="1">
        <v>26</v>
      </c>
      <c r="Q1000" s="1" t="str">
        <f>IF(WEEKDAY(Bike_Sharing_Master6[[#This Row],[Dteday]],2)&gt;=6,"Weekend","Weekday")</f>
        <v>Weekday</v>
      </c>
      <c r="R1000" s="1" t="str">
        <f xml:space="preserve"> IF(Bike_Sharing_Master6[[#This Row],[Hr]]&lt;6,"Late Night", IF(Bike_Sharing_Master6[[#This Row],[Hr]]&lt;10,"Morning Peak", IF(Bike_Sharing_Master6[[#This Row],[Hr]]&lt;17,"Daytime", IF(Bike_Sharing_Master6[[#This Row],[Hr]]&lt;21,"Evening Peak","Night"))))</f>
        <v>Morning Peak</v>
      </c>
      <c r="S1000" s="1" t="str">
        <f>IF(Bike_Sharing_Master6[[#This Row],[Holiday]]=1,"Holiday","Non-Holiday")</f>
        <v>Non-Holiday</v>
      </c>
      <c r="T1000" s="1" t="str">
        <f>IF(Bike_Sharing_Master6[[#This Row],[Cnt]]&lt;80,"Low",IF(Bike_Sharing_Master6[[#This Row],[Cnt]]&lt;160,"Medium","High"))</f>
        <v>Low</v>
      </c>
      <c r="U1000" s="1" t="str">
        <f>VLOOKUP(Bike_Sharing_Master6[[#This Row],[Weathersit]],[1]Lookup_Weather!A:B,2,FALSE)</f>
        <v>Clear</v>
      </c>
    </row>
    <row r="1001" spans="1:21" x14ac:dyDescent="0.3">
      <c r="A1001">
        <v>1000</v>
      </c>
      <c r="B1001" s="3">
        <v>40588</v>
      </c>
      <c r="C1001" s="1">
        <v>1</v>
      </c>
      <c r="D1001" s="1">
        <v>0</v>
      </c>
      <c r="E1001" s="1">
        <v>2</v>
      </c>
      <c r="F1001" s="1">
        <v>7</v>
      </c>
      <c r="G1001" t="b">
        <v>0</v>
      </c>
      <c r="H1001" s="1">
        <v>1</v>
      </c>
      <c r="I1001" s="1">
        <v>1</v>
      </c>
      <c r="J1001" s="2">
        <v>0.34</v>
      </c>
      <c r="K1001" s="2">
        <v>0.30299999999999999</v>
      </c>
      <c r="L1001" s="2">
        <v>0.46</v>
      </c>
      <c r="M1001" s="2">
        <v>0.29849999999999999</v>
      </c>
      <c r="N1001" s="1">
        <v>2</v>
      </c>
      <c r="O1001" s="1">
        <v>96</v>
      </c>
      <c r="P1001" s="1">
        <v>98</v>
      </c>
      <c r="Q1001" s="1" t="str">
        <f>IF(WEEKDAY(Bike_Sharing_Master6[[#This Row],[Dteday]],2)&gt;=6,"Weekend","Weekday")</f>
        <v>Weekday</v>
      </c>
      <c r="R1001" s="1" t="str">
        <f xml:space="preserve"> IF(Bike_Sharing_Master6[[#This Row],[Hr]]&lt;6,"Late Night", IF(Bike_Sharing_Master6[[#This Row],[Hr]]&lt;10,"Morning Peak", IF(Bike_Sharing_Master6[[#This Row],[Hr]]&lt;17,"Daytime", IF(Bike_Sharing_Master6[[#This Row],[Hr]]&lt;21,"Evening Peak","Night"))))</f>
        <v>Morning Peak</v>
      </c>
      <c r="S1001" s="1" t="str">
        <f>IF(Bike_Sharing_Master6[[#This Row],[Holiday]]=1,"Holiday","Non-Holiday")</f>
        <v>Non-Holiday</v>
      </c>
      <c r="T1001" s="1" t="str">
        <f>IF(Bike_Sharing_Master6[[#This Row],[Cnt]]&lt;80,"Low",IF(Bike_Sharing_Master6[[#This Row],[Cnt]]&lt;160,"Medium","High"))</f>
        <v>Medium</v>
      </c>
      <c r="U1001" s="1" t="str">
        <f>VLOOKUP(Bike_Sharing_Master6[[#This Row],[Weathersit]],[1]Lookup_Weather!A:B,2,FALSE)</f>
        <v>Clear</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8CBE7-120D-4805-9E37-BB38B3BC56E7}">
  <dimension ref="A1:B5"/>
  <sheetViews>
    <sheetView workbookViewId="0">
      <selection activeCell="E27" sqref="E27"/>
    </sheetView>
  </sheetViews>
  <sheetFormatPr defaultRowHeight="14.4" x14ac:dyDescent="0.3"/>
  <sheetData>
    <row r="1" spans="1:2" x14ac:dyDescent="0.3">
      <c r="A1" s="4" t="s">
        <v>21</v>
      </c>
      <c r="B1" s="4" t="s">
        <v>22</v>
      </c>
    </row>
    <row r="2" spans="1:2" x14ac:dyDescent="0.3">
      <c r="A2" s="5">
        <v>1</v>
      </c>
      <c r="B2" s="5" t="s">
        <v>23</v>
      </c>
    </row>
    <row r="3" spans="1:2" x14ac:dyDescent="0.3">
      <c r="A3" s="5">
        <v>2</v>
      </c>
      <c r="B3" s="5" t="s">
        <v>24</v>
      </c>
    </row>
    <row r="4" spans="1:2" x14ac:dyDescent="0.3">
      <c r="A4" s="5">
        <v>3</v>
      </c>
      <c r="B4" s="5" t="s">
        <v>25</v>
      </c>
    </row>
    <row r="5" spans="1:2" ht="28.8" x14ac:dyDescent="0.3">
      <c r="A5" s="5">
        <v>4</v>
      </c>
      <c r="B5" s="5"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7EB5C-3466-4249-918F-B0D17448F694}">
  <dimension ref="A1:D8"/>
  <sheetViews>
    <sheetView workbookViewId="0">
      <selection sqref="A1:D8"/>
    </sheetView>
  </sheetViews>
  <sheetFormatPr defaultRowHeight="14.4" x14ac:dyDescent="0.3"/>
  <cols>
    <col min="1" max="1" width="12.5546875" bestFit="1" customWidth="1"/>
    <col min="2" max="2" width="15.5546875" bestFit="1" customWidth="1"/>
    <col min="3" max="3" width="9" bestFit="1" customWidth="1"/>
    <col min="4" max="4" width="10.77734375" bestFit="1" customWidth="1"/>
  </cols>
  <sheetData>
    <row r="1" spans="1:4" x14ac:dyDescent="0.3">
      <c r="A1" s="7" t="s">
        <v>27</v>
      </c>
      <c r="B1" s="7" t="s">
        <v>28</v>
      </c>
    </row>
    <row r="2" spans="1:4" x14ac:dyDescent="0.3">
      <c r="A2" s="7" t="s">
        <v>29</v>
      </c>
      <c r="B2" t="s">
        <v>7</v>
      </c>
      <c r="C2" t="s">
        <v>30</v>
      </c>
      <c r="D2" t="s">
        <v>31</v>
      </c>
    </row>
    <row r="3" spans="1:4" x14ac:dyDescent="0.3">
      <c r="A3" s="6" t="s">
        <v>32</v>
      </c>
      <c r="B3" s="1">
        <v>12630</v>
      </c>
      <c r="C3" s="1">
        <v>9256</v>
      </c>
      <c r="D3" s="1">
        <v>21886</v>
      </c>
    </row>
    <row r="4" spans="1:4" x14ac:dyDescent="0.3">
      <c r="A4" s="6" t="s">
        <v>33</v>
      </c>
      <c r="B4" s="1">
        <v>14407</v>
      </c>
      <c r="C4" s="1">
        <v>3362</v>
      </c>
      <c r="D4" s="1">
        <v>17769</v>
      </c>
    </row>
    <row r="5" spans="1:4" x14ac:dyDescent="0.3">
      <c r="A5" s="6" t="s">
        <v>34</v>
      </c>
      <c r="B5" s="1">
        <v>724</v>
      </c>
      <c r="C5" s="1">
        <v>1117</v>
      </c>
      <c r="D5" s="1">
        <v>1841</v>
      </c>
    </row>
    <row r="6" spans="1:4" x14ac:dyDescent="0.3">
      <c r="A6" s="6" t="s">
        <v>35</v>
      </c>
      <c r="B6" s="1">
        <v>11435</v>
      </c>
      <c r="C6" s="1">
        <v>786</v>
      </c>
      <c r="D6" s="1">
        <v>12221</v>
      </c>
    </row>
    <row r="7" spans="1:4" x14ac:dyDescent="0.3">
      <c r="A7" s="6" t="s">
        <v>36</v>
      </c>
      <c r="B7" s="1">
        <v>3239</v>
      </c>
      <c r="C7" s="1">
        <v>1348</v>
      </c>
      <c r="D7" s="1">
        <v>4587</v>
      </c>
    </row>
    <row r="8" spans="1:4" x14ac:dyDescent="0.3">
      <c r="A8" s="6" t="s">
        <v>31</v>
      </c>
      <c r="B8" s="1">
        <v>42435</v>
      </c>
      <c r="C8" s="1">
        <v>15869</v>
      </c>
      <c r="D8" s="1">
        <v>58304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74F87-F381-4932-BB2B-6FFE4E31CCB0}">
  <dimension ref="A1:B49"/>
  <sheetViews>
    <sheetView workbookViewId="0">
      <selection activeCell="J21" sqref="J21"/>
    </sheetView>
  </sheetViews>
  <sheetFormatPr defaultRowHeight="14.4" x14ac:dyDescent="0.3"/>
  <cols>
    <col min="1" max="1" width="12.5546875" bestFit="1" customWidth="1"/>
    <col min="2" max="2" width="10.33203125" bestFit="1" customWidth="1"/>
  </cols>
  <sheetData>
    <row r="1" spans="1:2" x14ac:dyDescent="0.3">
      <c r="A1" s="7" t="s">
        <v>29</v>
      </c>
      <c r="B1" t="s">
        <v>27</v>
      </c>
    </row>
    <row r="2" spans="1:2" x14ac:dyDescent="0.3">
      <c r="A2" s="6" t="s">
        <v>37</v>
      </c>
      <c r="B2" s="1">
        <v>38189</v>
      </c>
    </row>
    <row r="3" spans="1:2" x14ac:dyDescent="0.3">
      <c r="A3" s="8" t="s">
        <v>38</v>
      </c>
      <c r="B3" s="1">
        <v>985</v>
      </c>
    </row>
    <row r="4" spans="1:2" x14ac:dyDescent="0.3">
      <c r="A4" s="8" t="s">
        <v>39</v>
      </c>
      <c r="B4" s="1">
        <v>801</v>
      </c>
    </row>
    <row r="5" spans="1:2" x14ac:dyDescent="0.3">
      <c r="A5" s="8" t="s">
        <v>40</v>
      </c>
      <c r="B5" s="1">
        <v>1349</v>
      </c>
    </row>
    <row r="6" spans="1:2" x14ac:dyDescent="0.3">
      <c r="A6" s="8" t="s">
        <v>41</v>
      </c>
      <c r="B6" s="1">
        <v>1562</v>
      </c>
    </row>
    <row r="7" spans="1:2" x14ac:dyDescent="0.3">
      <c r="A7" s="8" t="s">
        <v>42</v>
      </c>
      <c r="B7" s="1">
        <v>1600</v>
      </c>
    </row>
    <row r="8" spans="1:2" x14ac:dyDescent="0.3">
      <c r="A8" s="8" t="s">
        <v>43</v>
      </c>
      <c r="B8" s="1">
        <v>1606</v>
      </c>
    </row>
    <row r="9" spans="1:2" x14ac:dyDescent="0.3">
      <c r="A9" s="8" t="s">
        <v>44</v>
      </c>
      <c r="B9" s="1">
        <v>1510</v>
      </c>
    </row>
    <row r="10" spans="1:2" x14ac:dyDescent="0.3">
      <c r="A10" s="8" t="s">
        <v>45</v>
      </c>
      <c r="B10" s="1">
        <v>959</v>
      </c>
    </row>
    <row r="11" spans="1:2" x14ac:dyDescent="0.3">
      <c r="A11" s="8" t="s">
        <v>46</v>
      </c>
      <c r="B11" s="1">
        <v>822</v>
      </c>
    </row>
    <row r="12" spans="1:2" x14ac:dyDescent="0.3">
      <c r="A12" s="8" t="s">
        <v>47</v>
      </c>
      <c r="B12" s="1">
        <v>1321</v>
      </c>
    </row>
    <row r="13" spans="1:2" x14ac:dyDescent="0.3">
      <c r="A13" s="8" t="s">
        <v>48</v>
      </c>
      <c r="B13" s="1">
        <v>1263</v>
      </c>
    </row>
    <row r="14" spans="1:2" x14ac:dyDescent="0.3">
      <c r="A14" s="8" t="s">
        <v>49</v>
      </c>
      <c r="B14" s="1">
        <v>1162</v>
      </c>
    </row>
    <row r="15" spans="1:2" x14ac:dyDescent="0.3">
      <c r="A15" s="8" t="s">
        <v>50</v>
      </c>
      <c r="B15" s="1">
        <v>1406</v>
      </c>
    </row>
    <row r="16" spans="1:2" x14ac:dyDescent="0.3">
      <c r="A16" s="8" t="s">
        <v>51</v>
      </c>
      <c r="B16" s="1">
        <v>1421</v>
      </c>
    </row>
    <row r="17" spans="1:2" x14ac:dyDescent="0.3">
      <c r="A17" s="8" t="s">
        <v>52</v>
      </c>
      <c r="B17" s="1">
        <v>1248</v>
      </c>
    </row>
    <row r="18" spans="1:2" x14ac:dyDescent="0.3">
      <c r="A18" s="8" t="s">
        <v>53</v>
      </c>
      <c r="B18" s="1">
        <v>1204</v>
      </c>
    </row>
    <row r="19" spans="1:2" x14ac:dyDescent="0.3">
      <c r="A19" s="8" t="s">
        <v>54</v>
      </c>
      <c r="B19" s="1">
        <v>1000</v>
      </c>
    </row>
    <row r="20" spans="1:2" x14ac:dyDescent="0.3">
      <c r="A20" s="8" t="s">
        <v>81</v>
      </c>
      <c r="B20" s="1">
        <v>683</v>
      </c>
    </row>
    <row r="21" spans="1:2" x14ac:dyDescent="0.3">
      <c r="A21" s="8" t="s">
        <v>55</v>
      </c>
      <c r="B21" s="1">
        <v>1650</v>
      </c>
    </row>
    <row r="22" spans="1:2" x14ac:dyDescent="0.3">
      <c r="A22" s="8" t="s">
        <v>56</v>
      </c>
      <c r="B22" s="1">
        <v>1927</v>
      </c>
    </row>
    <row r="23" spans="1:2" x14ac:dyDescent="0.3">
      <c r="A23" s="8" t="s">
        <v>57</v>
      </c>
      <c r="B23" s="1">
        <v>1543</v>
      </c>
    </row>
    <row r="24" spans="1:2" x14ac:dyDescent="0.3">
      <c r="A24" s="8" t="s">
        <v>58</v>
      </c>
      <c r="B24" s="1">
        <v>981</v>
      </c>
    </row>
    <row r="25" spans="1:2" x14ac:dyDescent="0.3">
      <c r="A25" s="8" t="s">
        <v>59</v>
      </c>
      <c r="B25" s="1">
        <v>986</v>
      </c>
    </row>
    <row r="26" spans="1:2" x14ac:dyDescent="0.3">
      <c r="A26" s="8" t="s">
        <v>60</v>
      </c>
      <c r="B26" s="1">
        <v>1416</v>
      </c>
    </row>
    <row r="27" spans="1:2" x14ac:dyDescent="0.3">
      <c r="A27" s="8" t="s">
        <v>61</v>
      </c>
      <c r="B27" s="1">
        <v>1985</v>
      </c>
    </row>
    <row r="28" spans="1:2" x14ac:dyDescent="0.3">
      <c r="A28" s="8" t="s">
        <v>82</v>
      </c>
      <c r="B28" s="1">
        <v>506</v>
      </c>
    </row>
    <row r="29" spans="1:2" x14ac:dyDescent="0.3">
      <c r="A29" s="8" t="s">
        <v>62</v>
      </c>
      <c r="B29" s="1">
        <v>431</v>
      </c>
    </row>
    <row r="30" spans="1:2" x14ac:dyDescent="0.3">
      <c r="A30" s="8" t="s">
        <v>63</v>
      </c>
      <c r="B30" s="1">
        <v>1167</v>
      </c>
    </row>
    <row r="31" spans="1:2" x14ac:dyDescent="0.3">
      <c r="A31" s="8" t="s">
        <v>64</v>
      </c>
      <c r="B31" s="1">
        <v>1098</v>
      </c>
    </row>
    <row r="32" spans="1:2" x14ac:dyDescent="0.3">
      <c r="A32" s="8" t="s">
        <v>65</v>
      </c>
      <c r="B32" s="1">
        <v>1096</v>
      </c>
    </row>
    <row r="33" spans="1:2" x14ac:dyDescent="0.3">
      <c r="A33" s="8" t="s">
        <v>66</v>
      </c>
      <c r="B33" s="1">
        <v>1501</v>
      </c>
    </row>
    <row r="34" spans="1:2" x14ac:dyDescent="0.3">
      <c r="A34" s="6" t="s">
        <v>67</v>
      </c>
      <c r="B34" s="1">
        <v>20115</v>
      </c>
    </row>
    <row r="35" spans="1:2" x14ac:dyDescent="0.3">
      <c r="A35" s="8" t="s">
        <v>83</v>
      </c>
      <c r="B35" s="1">
        <v>1360</v>
      </c>
    </row>
    <row r="36" spans="1:2" x14ac:dyDescent="0.3">
      <c r="A36" s="8" t="s">
        <v>68</v>
      </c>
      <c r="B36" s="1">
        <v>1526</v>
      </c>
    </row>
    <row r="37" spans="1:2" x14ac:dyDescent="0.3">
      <c r="A37" s="8" t="s">
        <v>69</v>
      </c>
      <c r="B37" s="1">
        <v>1550</v>
      </c>
    </row>
    <row r="38" spans="1:2" x14ac:dyDescent="0.3">
      <c r="A38" s="8" t="s">
        <v>70</v>
      </c>
      <c r="B38" s="1">
        <v>1708</v>
      </c>
    </row>
    <row r="39" spans="1:2" x14ac:dyDescent="0.3">
      <c r="A39" s="8" t="s">
        <v>71</v>
      </c>
      <c r="B39" s="1">
        <v>1005</v>
      </c>
    </row>
    <row r="40" spans="1:2" x14ac:dyDescent="0.3">
      <c r="A40" s="8" t="s">
        <v>72</v>
      </c>
      <c r="B40" s="1">
        <v>1623</v>
      </c>
    </row>
    <row r="41" spans="1:2" x14ac:dyDescent="0.3">
      <c r="A41" s="8" t="s">
        <v>73</v>
      </c>
      <c r="B41" s="1">
        <v>1712</v>
      </c>
    </row>
    <row r="42" spans="1:2" x14ac:dyDescent="0.3">
      <c r="A42" s="8" t="s">
        <v>74</v>
      </c>
      <c r="B42" s="1">
        <v>1530</v>
      </c>
    </row>
    <row r="43" spans="1:2" x14ac:dyDescent="0.3">
      <c r="A43" s="8" t="s">
        <v>75</v>
      </c>
      <c r="B43" s="1">
        <v>1605</v>
      </c>
    </row>
    <row r="44" spans="1:2" x14ac:dyDescent="0.3">
      <c r="A44" s="8" t="s">
        <v>76</v>
      </c>
      <c r="B44" s="1">
        <v>1538</v>
      </c>
    </row>
    <row r="45" spans="1:2" x14ac:dyDescent="0.3">
      <c r="A45" s="8" t="s">
        <v>77</v>
      </c>
      <c r="B45" s="1">
        <v>1746</v>
      </c>
    </row>
    <row r="46" spans="1:2" x14ac:dyDescent="0.3">
      <c r="A46" s="8" t="s">
        <v>78</v>
      </c>
      <c r="B46" s="1">
        <v>1472</v>
      </c>
    </row>
    <row r="47" spans="1:2" x14ac:dyDescent="0.3">
      <c r="A47" s="8" t="s">
        <v>79</v>
      </c>
      <c r="B47" s="1">
        <v>1589</v>
      </c>
    </row>
    <row r="48" spans="1:2" x14ac:dyDescent="0.3">
      <c r="A48" s="8" t="s">
        <v>80</v>
      </c>
      <c r="B48" s="1">
        <v>151</v>
      </c>
    </row>
    <row r="49" spans="1:2" x14ac:dyDescent="0.3">
      <c r="A49" s="6" t="s">
        <v>31</v>
      </c>
      <c r="B49" s="1">
        <v>58304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8E265-6E91-4F31-AB62-7226610A943C}">
  <dimension ref="A1:B3"/>
  <sheetViews>
    <sheetView workbookViewId="0">
      <selection activeCell="J26" sqref="J26"/>
    </sheetView>
  </sheetViews>
  <sheetFormatPr defaultRowHeight="14.4" x14ac:dyDescent="0.3"/>
  <cols>
    <col min="1" max="1" width="12.5546875" bestFit="1" customWidth="1"/>
    <col min="2" max="2" width="10.33203125" bestFit="1" customWidth="1"/>
  </cols>
  <sheetData>
    <row r="1" spans="1:2" x14ac:dyDescent="0.3">
      <c r="A1" s="7" t="s">
        <v>29</v>
      </c>
      <c r="B1" t="s">
        <v>27</v>
      </c>
    </row>
    <row r="2" spans="1:2" x14ac:dyDescent="0.3">
      <c r="A2" s="6" t="s">
        <v>23</v>
      </c>
      <c r="B2" s="1">
        <v>37373</v>
      </c>
    </row>
    <row r="3" spans="1:2" x14ac:dyDescent="0.3">
      <c r="A3" s="6" t="s">
        <v>31</v>
      </c>
      <c r="B3" s="1">
        <v>37373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B97CC-837E-41FA-95E8-C2766860F273}">
  <dimension ref="A1:Y4"/>
  <sheetViews>
    <sheetView workbookViewId="0">
      <selection sqref="A1:Y4"/>
    </sheetView>
  </sheetViews>
  <sheetFormatPr defaultRowHeight="14.4" x14ac:dyDescent="0.3"/>
  <cols>
    <col min="1" max="1" width="12.77734375" bestFit="1" customWidth="1"/>
    <col min="2" max="2" width="15.5546875" bestFit="1" customWidth="1"/>
    <col min="3" max="4" width="4.5546875" bestFit="1" customWidth="1"/>
    <col min="5" max="7" width="2.88671875" bestFit="1" customWidth="1"/>
    <col min="8" max="9" width="4.5546875" bestFit="1" customWidth="1"/>
    <col min="10" max="11" width="6.21875" bestFit="1" customWidth="1"/>
    <col min="12" max="13" width="4.5546875" bestFit="1" customWidth="1"/>
    <col min="14" max="21" width="6.21875" bestFit="1" customWidth="1"/>
    <col min="22" max="25" width="4.5546875" bestFit="1" customWidth="1"/>
  </cols>
  <sheetData>
    <row r="1" spans="1:25" ht="21" x14ac:dyDescent="0.4">
      <c r="A1" s="9" t="s">
        <v>84</v>
      </c>
      <c r="B1" s="10" t="s">
        <v>28</v>
      </c>
      <c r="C1" s="10"/>
      <c r="D1" s="10"/>
      <c r="E1" s="10"/>
      <c r="F1" s="10"/>
      <c r="G1" s="10"/>
      <c r="H1" s="10"/>
      <c r="I1" s="10"/>
      <c r="J1" s="10"/>
      <c r="K1" s="10"/>
      <c r="L1" s="10"/>
      <c r="M1" s="10"/>
      <c r="N1" s="10"/>
      <c r="O1" s="10"/>
      <c r="P1" s="10"/>
      <c r="Q1" s="10"/>
      <c r="R1" s="10"/>
      <c r="S1" s="10"/>
      <c r="T1" s="10"/>
      <c r="U1" s="10"/>
      <c r="V1" s="10"/>
      <c r="W1" s="10"/>
      <c r="X1" s="10"/>
      <c r="Y1" s="10"/>
    </row>
    <row r="2" spans="1:25" ht="23.4" x14ac:dyDescent="0.45">
      <c r="A2" s="10" t="s">
        <v>29</v>
      </c>
      <c r="B2" s="11">
        <v>0</v>
      </c>
      <c r="C2" s="11">
        <v>1</v>
      </c>
      <c r="D2" s="11">
        <v>2</v>
      </c>
      <c r="E2" s="11">
        <v>3</v>
      </c>
      <c r="F2" s="11">
        <v>4</v>
      </c>
      <c r="G2" s="11">
        <v>5</v>
      </c>
      <c r="H2" s="11">
        <v>6</v>
      </c>
      <c r="I2" s="11">
        <v>7</v>
      </c>
      <c r="J2" s="11">
        <v>8</v>
      </c>
      <c r="K2" s="11">
        <v>9</v>
      </c>
      <c r="L2" s="11">
        <v>10</v>
      </c>
      <c r="M2" s="11">
        <v>11</v>
      </c>
      <c r="N2" s="11">
        <v>12</v>
      </c>
      <c r="O2" s="11">
        <v>13</v>
      </c>
      <c r="P2" s="11">
        <v>14</v>
      </c>
      <c r="Q2" s="11">
        <v>15</v>
      </c>
      <c r="R2" s="11">
        <v>16</v>
      </c>
      <c r="S2" s="11">
        <v>17</v>
      </c>
      <c r="T2" s="11">
        <v>18</v>
      </c>
      <c r="U2" s="11">
        <v>19</v>
      </c>
      <c r="V2" s="11">
        <v>20</v>
      </c>
      <c r="W2" s="11">
        <v>21</v>
      </c>
      <c r="X2" s="11">
        <v>22</v>
      </c>
      <c r="Y2" s="11">
        <v>23</v>
      </c>
    </row>
    <row r="3" spans="1:25" ht="23.4" x14ac:dyDescent="0.45">
      <c r="A3" s="12" t="s">
        <v>7</v>
      </c>
      <c r="B3" s="13">
        <v>10.689655172413794</v>
      </c>
      <c r="C3" s="13">
        <v>5.1034482758620694</v>
      </c>
      <c r="D3" s="13">
        <v>2.6296296296296298</v>
      </c>
      <c r="E3" s="13">
        <v>1.411764705882353</v>
      </c>
      <c r="F3" s="13">
        <v>1.7894736842105263</v>
      </c>
      <c r="G3" s="13">
        <v>4.7241379310344831</v>
      </c>
      <c r="H3" s="13">
        <v>27.379310344827587</v>
      </c>
      <c r="I3" s="13">
        <v>78.034482758620683</v>
      </c>
      <c r="J3" s="13">
        <v>183.53571428571428</v>
      </c>
      <c r="K3" s="13">
        <v>115.67857142857143</v>
      </c>
      <c r="L3" s="13">
        <v>49.071428571428569</v>
      </c>
      <c r="M3" s="13">
        <v>50.607142857142854</v>
      </c>
      <c r="N3" s="13">
        <v>64.58620689655173</v>
      </c>
      <c r="O3" s="13">
        <v>67.172413793103445</v>
      </c>
      <c r="P3" s="13">
        <v>60.551724137931032</v>
      </c>
      <c r="Q3" s="13">
        <v>61.482758620689658</v>
      </c>
      <c r="R3" s="13">
        <v>82.63333333333334</v>
      </c>
      <c r="S3" s="13">
        <v>165.56666666666666</v>
      </c>
      <c r="T3" s="13">
        <v>151.20689655172413</v>
      </c>
      <c r="U3" s="13">
        <v>102.03448275862068</v>
      </c>
      <c r="V3" s="13">
        <v>72.275862068965523</v>
      </c>
      <c r="W3" s="13">
        <v>50.896551724137929</v>
      </c>
      <c r="X3" s="13">
        <v>37.103448275862071</v>
      </c>
      <c r="Y3" s="13">
        <v>23.689655172413794</v>
      </c>
    </row>
    <row r="4" spans="1:25" ht="23.4" x14ac:dyDescent="0.45">
      <c r="A4" s="12" t="s">
        <v>30</v>
      </c>
      <c r="B4" s="13">
        <v>28.071428571428573</v>
      </c>
      <c r="C4" s="13">
        <v>22.285714285714285</v>
      </c>
      <c r="D4" s="13">
        <v>15.928571428571429</v>
      </c>
      <c r="E4" s="13">
        <v>9.0714285714285712</v>
      </c>
      <c r="F4" s="13">
        <v>2.6923076923076925</v>
      </c>
      <c r="G4" s="13">
        <v>2.7</v>
      </c>
      <c r="H4" s="13">
        <v>2.1538461538461537</v>
      </c>
      <c r="I4" s="13">
        <v>5.4285714285714288</v>
      </c>
      <c r="J4" s="13">
        <v>17.785714285714285</v>
      </c>
      <c r="K4" s="13">
        <v>30.928571428571427</v>
      </c>
      <c r="L4" s="13">
        <v>62.785714285714285</v>
      </c>
      <c r="M4" s="13">
        <v>76.928571428571431</v>
      </c>
      <c r="N4" s="13">
        <v>100.71428571428571</v>
      </c>
      <c r="O4" s="13">
        <v>102</v>
      </c>
      <c r="P4" s="13">
        <v>103.14285714285714</v>
      </c>
      <c r="Q4" s="13">
        <v>112.07142857142857</v>
      </c>
      <c r="R4" s="13">
        <v>103.5</v>
      </c>
      <c r="S4" s="13">
        <v>85.857142857142861</v>
      </c>
      <c r="T4" s="13">
        <v>64.142857142857139</v>
      </c>
      <c r="U4" s="13">
        <v>50.142857142857146</v>
      </c>
      <c r="V4" s="13">
        <v>40</v>
      </c>
      <c r="W4" s="13">
        <v>37.142857142857146</v>
      </c>
      <c r="X4" s="13">
        <v>30.857142857142858</v>
      </c>
      <c r="Y4" s="13">
        <v>28.285714285714285</v>
      </c>
    </row>
  </sheetData>
  <conditionalFormatting pivot="1" sqref="B3:Y4">
    <cfRule type="cellIs" dxfId="65" priority="3" operator="greaterThan">
      <formula>92</formula>
    </cfRule>
  </conditionalFormatting>
  <conditionalFormatting pivot="1" sqref="B3:Y4">
    <cfRule type="cellIs" dxfId="64" priority="2" operator="lessThan">
      <formula>30</formula>
    </cfRule>
  </conditionalFormatting>
  <conditionalFormatting pivot="1" sqref="B3:Y4">
    <cfRule type="cellIs" dxfId="63" priority="1" operator="between">
      <formula>30</formula>
      <formula>92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E95BB-8842-4E4E-B1C0-A4B6D624C96A}">
  <dimension ref="A1:E95"/>
  <sheetViews>
    <sheetView workbookViewId="0">
      <selection activeCell="J27" sqref="J27"/>
    </sheetView>
  </sheetViews>
  <sheetFormatPr defaultRowHeight="14.4" x14ac:dyDescent="0.3"/>
  <cols>
    <col min="1" max="1" width="10.33203125" customWidth="1"/>
  </cols>
  <sheetData>
    <row r="1" spans="1:5" x14ac:dyDescent="0.3">
      <c r="A1" s="16">
        <v>40544</v>
      </c>
      <c r="B1" s="17">
        <v>985</v>
      </c>
      <c r="C1" s="18"/>
      <c r="D1" s="18"/>
      <c r="E1" s="19"/>
    </row>
    <row r="2" spans="1:5" x14ac:dyDescent="0.3">
      <c r="A2" s="20">
        <v>40545</v>
      </c>
      <c r="B2" s="21">
        <v>801</v>
      </c>
      <c r="C2" s="22"/>
      <c r="D2" s="22"/>
      <c r="E2" s="23"/>
    </row>
    <row r="3" spans="1:5" x14ac:dyDescent="0.3">
      <c r="A3" s="16">
        <v>40546</v>
      </c>
      <c r="B3" s="17">
        <v>1349</v>
      </c>
      <c r="C3" s="18"/>
      <c r="D3" s="18"/>
      <c r="E3" s="19"/>
    </row>
    <row r="4" spans="1:5" x14ac:dyDescent="0.3">
      <c r="A4" s="20">
        <v>40547</v>
      </c>
      <c r="B4" s="21">
        <v>1562</v>
      </c>
      <c r="C4" s="22"/>
      <c r="D4" s="22"/>
      <c r="E4" s="23"/>
    </row>
    <row r="5" spans="1:5" x14ac:dyDescent="0.3">
      <c r="A5" s="16">
        <v>40548</v>
      </c>
      <c r="B5" s="17">
        <v>1600</v>
      </c>
      <c r="C5" s="18"/>
      <c r="D5" s="18"/>
      <c r="E5" s="19"/>
    </row>
    <row r="6" spans="1:5" x14ac:dyDescent="0.3">
      <c r="A6" s="20">
        <v>40549</v>
      </c>
      <c r="B6" s="21">
        <v>1606</v>
      </c>
      <c r="C6" s="22"/>
      <c r="D6" s="22"/>
      <c r="E6" s="23"/>
    </row>
    <row r="7" spans="1:5" x14ac:dyDescent="0.3">
      <c r="A7" s="16">
        <v>40550</v>
      </c>
      <c r="B7" s="17">
        <v>1510</v>
      </c>
      <c r="C7" s="18"/>
      <c r="D7" s="18"/>
      <c r="E7" s="19"/>
    </row>
    <row r="8" spans="1:5" x14ac:dyDescent="0.3">
      <c r="A8" s="20">
        <v>40551</v>
      </c>
      <c r="B8" s="21">
        <v>959</v>
      </c>
      <c r="C8" s="22"/>
      <c r="D8" s="22"/>
      <c r="E8" s="23"/>
    </row>
    <row r="9" spans="1:5" x14ac:dyDescent="0.3">
      <c r="A9" s="16">
        <v>40552</v>
      </c>
      <c r="B9" s="17">
        <v>822</v>
      </c>
      <c r="C9" s="18"/>
      <c r="D9" s="18"/>
      <c r="E9" s="19"/>
    </row>
    <row r="10" spans="1:5" x14ac:dyDescent="0.3">
      <c r="A10" s="20">
        <v>40553</v>
      </c>
      <c r="B10" s="21">
        <v>1321</v>
      </c>
      <c r="C10" s="22"/>
      <c r="D10" s="22"/>
      <c r="E10" s="23"/>
    </row>
    <row r="11" spans="1:5" x14ac:dyDescent="0.3">
      <c r="A11" s="16">
        <v>40554</v>
      </c>
      <c r="B11" s="17">
        <v>1263</v>
      </c>
      <c r="C11" s="18"/>
      <c r="D11" s="18"/>
      <c r="E11" s="19"/>
    </row>
    <row r="12" spans="1:5" x14ac:dyDescent="0.3">
      <c r="A12" s="20">
        <v>40555</v>
      </c>
      <c r="B12" s="21">
        <v>1162</v>
      </c>
      <c r="C12" s="22"/>
      <c r="D12" s="22"/>
      <c r="E12" s="23"/>
    </row>
    <row r="13" spans="1:5" x14ac:dyDescent="0.3">
      <c r="A13" s="16">
        <v>40556</v>
      </c>
      <c r="B13" s="17">
        <v>1406</v>
      </c>
      <c r="C13" s="18"/>
      <c r="D13" s="18"/>
      <c r="E13" s="19"/>
    </row>
    <row r="14" spans="1:5" x14ac:dyDescent="0.3">
      <c r="A14" s="20">
        <v>40557</v>
      </c>
      <c r="B14" s="21">
        <v>1421</v>
      </c>
      <c r="C14" s="22"/>
      <c r="D14" s="22"/>
      <c r="E14" s="23"/>
    </row>
    <row r="15" spans="1:5" x14ac:dyDescent="0.3">
      <c r="A15" s="16">
        <v>40558</v>
      </c>
      <c r="B15" s="17">
        <v>1248</v>
      </c>
      <c r="C15" s="18"/>
      <c r="D15" s="18"/>
      <c r="E15" s="19"/>
    </row>
    <row r="16" spans="1:5" x14ac:dyDescent="0.3">
      <c r="A16" s="20">
        <v>40559</v>
      </c>
      <c r="B16" s="21">
        <v>1204</v>
      </c>
      <c r="C16" s="22"/>
      <c r="D16" s="22"/>
      <c r="E16" s="23"/>
    </row>
    <row r="17" spans="1:5" x14ac:dyDescent="0.3">
      <c r="A17" s="16">
        <v>40560</v>
      </c>
      <c r="B17" s="17">
        <v>1000</v>
      </c>
      <c r="C17" s="18"/>
      <c r="D17" s="18"/>
      <c r="E17" s="19"/>
    </row>
    <row r="18" spans="1:5" x14ac:dyDescent="0.3">
      <c r="A18" s="20">
        <v>40561</v>
      </c>
      <c r="B18" s="21">
        <v>683</v>
      </c>
      <c r="C18" s="22"/>
      <c r="D18" s="22"/>
      <c r="E18" s="23"/>
    </row>
    <row r="19" spans="1:5" x14ac:dyDescent="0.3">
      <c r="A19" s="16">
        <v>40562</v>
      </c>
      <c r="B19" s="17">
        <v>1650</v>
      </c>
      <c r="C19" s="18"/>
      <c r="D19" s="18"/>
      <c r="E19" s="19"/>
    </row>
    <row r="20" spans="1:5" x14ac:dyDescent="0.3">
      <c r="A20" s="20">
        <v>40563</v>
      </c>
      <c r="B20" s="21">
        <v>1927</v>
      </c>
      <c r="C20" s="22"/>
      <c r="D20" s="22"/>
      <c r="E20" s="23"/>
    </row>
    <row r="21" spans="1:5" x14ac:dyDescent="0.3">
      <c r="A21" s="16">
        <v>40564</v>
      </c>
      <c r="B21" s="17">
        <v>1543</v>
      </c>
      <c r="C21" s="18"/>
      <c r="D21" s="18"/>
      <c r="E21" s="19"/>
    </row>
    <row r="22" spans="1:5" x14ac:dyDescent="0.3">
      <c r="A22" s="20">
        <v>40565</v>
      </c>
      <c r="B22" s="21">
        <v>981</v>
      </c>
      <c r="C22" s="22"/>
      <c r="D22" s="22"/>
      <c r="E22" s="23"/>
    </row>
    <row r="23" spans="1:5" x14ac:dyDescent="0.3">
      <c r="A23" s="16">
        <v>40566</v>
      </c>
      <c r="B23" s="17">
        <v>986</v>
      </c>
      <c r="C23" s="18"/>
      <c r="D23" s="18"/>
      <c r="E23" s="19"/>
    </row>
    <row r="24" spans="1:5" x14ac:dyDescent="0.3">
      <c r="A24" s="20">
        <v>40567</v>
      </c>
      <c r="B24" s="21">
        <v>1416</v>
      </c>
      <c r="C24" s="22"/>
      <c r="D24" s="22"/>
      <c r="E24" s="23"/>
    </row>
    <row r="25" spans="1:5" x14ac:dyDescent="0.3">
      <c r="A25" s="16">
        <v>40568</v>
      </c>
      <c r="B25" s="17">
        <v>1985</v>
      </c>
      <c r="C25" s="18"/>
      <c r="D25" s="18"/>
      <c r="E25" s="19"/>
    </row>
    <row r="26" spans="1:5" x14ac:dyDescent="0.3">
      <c r="A26" s="20">
        <v>40569</v>
      </c>
      <c r="B26" s="21">
        <v>506</v>
      </c>
      <c r="C26" s="22"/>
      <c r="D26" s="22"/>
      <c r="E26" s="23"/>
    </row>
    <row r="27" spans="1:5" x14ac:dyDescent="0.3">
      <c r="A27" s="16">
        <v>40570</v>
      </c>
      <c r="B27" s="17">
        <v>431</v>
      </c>
      <c r="C27" s="18"/>
      <c r="D27" s="18"/>
      <c r="E27" s="19"/>
    </row>
    <row r="28" spans="1:5" x14ac:dyDescent="0.3">
      <c r="A28" s="20">
        <v>40571</v>
      </c>
      <c r="B28" s="21">
        <v>1167</v>
      </c>
      <c r="C28" s="22"/>
      <c r="D28" s="22"/>
      <c r="E28" s="23"/>
    </row>
    <row r="29" spans="1:5" x14ac:dyDescent="0.3">
      <c r="A29" s="16">
        <v>40572</v>
      </c>
      <c r="B29" s="17">
        <v>1098</v>
      </c>
      <c r="C29" s="18"/>
      <c r="D29" s="18"/>
      <c r="E29" s="19"/>
    </row>
    <row r="30" spans="1:5" x14ac:dyDescent="0.3">
      <c r="A30" s="20">
        <v>40573</v>
      </c>
      <c r="B30" s="21">
        <v>1096</v>
      </c>
      <c r="C30" s="22"/>
      <c r="D30" s="22"/>
      <c r="E30" s="23"/>
    </row>
    <row r="31" spans="1:5" x14ac:dyDescent="0.3">
      <c r="A31" s="16">
        <v>40574</v>
      </c>
      <c r="B31" s="17">
        <v>1501</v>
      </c>
      <c r="C31" s="18"/>
      <c r="D31" s="18"/>
      <c r="E31" s="19"/>
    </row>
    <row r="32" spans="1:5" x14ac:dyDescent="0.3">
      <c r="A32" s="20">
        <v>40575</v>
      </c>
      <c r="B32" s="21">
        <v>1360</v>
      </c>
      <c r="C32" s="22"/>
      <c r="D32" s="22"/>
      <c r="E32" s="23"/>
    </row>
    <row r="33" spans="1:5" x14ac:dyDescent="0.3">
      <c r="A33" s="16">
        <v>40576</v>
      </c>
      <c r="B33" s="17">
        <v>1526</v>
      </c>
      <c r="C33" s="18"/>
      <c r="D33" s="18"/>
      <c r="E33" s="19"/>
    </row>
    <row r="34" spans="1:5" x14ac:dyDescent="0.3">
      <c r="A34" s="20">
        <v>40577</v>
      </c>
      <c r="B34" s="21">
        <v>1550</v>
      </c>
      <c r="C34" s="22"/>
      <c r="D34" s="22"/>
      <c r="E34" s="23"/>
    </row>
    <row r="35" spans="1:5" x14ac:dyDescent="0.3">
      <c r="A35" s="16">
        <v>40578</v>
      </c>
      <c r="B35" s="17">
        <v>1708</v>
      </c>
      <c r="C35" s="18"/>
      <c r="D35" s="18"/>
      <c r="E35" s="19"/>
    </row>
    <row r="36" spans="1:5" x14ac:dyDescent="0.3">
      <c r="A36" s="20">
        <v>40579</v>
      </c>
      <c r="B36" s="21">
        <v>1005</v>
      </c>
      <c r="C36" s="22"/>
      <c r="D36" s="22"/>
      <c r="E36" s="23"/>
    </row>
    <row r="37" spans="1:5" x14ac:dyDescent="0.3">
      <c r="A37" s="16">
        <v>40580</v>
      </c>
      <c r="B37" s="17">
        <v>1623</v>
      </c>
      <c r="C37" s="18"/>
      <c r="D37" s="18"/>
      <c r="E37" s="19"/>
    </row>
    <row r="38" spans="1:5" x14ac:dyDescent="0.3">
      <c r="A38" s="20">
        <v>40581</v>
      </c>
      <c r="B38" s="21">
        <v>1712</v>
      </c>
      <c r="C38" s="22"/>
      <c r="D38" s="22"/>
      <c r="E38" s="23"/>
    </row>
    <row r="39" spans="1:5" x14ac:dyDescent="0.3">
      <c r="A39" s="16">
        <v>40582</v>
      </c>
      <c r="B39" s="17">
        <v>1530</v>
      </c>
      <c r="C39" s="18"/>
      <c r="D39" s="18"/>
      <c r="E39" s="19"/>
    </row>
    <row r="40" spans="1:5" x14ac:dyDescent="0.3">
      <c r="A40" s="20">
        <v>40583</v>
      </c>
      <c r="B40" s="21">
        <v>1605</v>
      </c>
      <c r="C40" s="22"/>
      <c r="D40" s="22"/>
      <c r="E40" s="23"/>
    </row>
    <row r="41" spans="1:5" x14ac:dyDescent="0.3">
      <c r="A41" s="16">
        <v>40584</v>
      </c>
      <c r="B41" s="17">
        <v>1538</v>
      </c>
      <c r="C41" s="18"/>
      <c r="D41" s="18"/>
      <c r="E41" s="19"/>
    </row>
    <row r="42" spans="1:5" x14ac:dyDescent="0.3">
      <c r="A42" s="20">
        <v>40585</v>
      </c>
      <c r="B42" s="21">
        <v>1746</v>
      </c>
      <c r="C42" s="22"/>
      <c r="D42" s="22"/>
      <c r="E42" s="23"/>
    </row>
    <row r="43" spans="1:5" x14ac:dyDescent="0.3">
      <c r="A43" s="16">
        <v>40586</v>
      </c>
      <c r="B43" s="17">
        <v>1472</v>
      </c>
      <c r="C43" s="18"/>
      <c r="D43" s="18"/>
      <c r="E43" s="19"/>
    </row>
    <row r="44" spans="1:5" x14ac:dyDescent="0.3">
      <c r="A44" s="20">
        <v>40587</v>
      </c>
      <c r="B44" s="21">
        <v>1589</v>
      </c>
      <c r="C44" s="22"/>
      <c r="D44" s="22"/>
      <c r="E44" s="23"/>
    </row>
    <row r="45" spans="1:5" x14ac:dyDescent="0.3">
      <c r="A45" s="16">
        <v>40588</v>
      </c>
      <c r="B45" s="17">
        <v>151</v>
      </c>
      <c r="C45" s="17">
        <v>151</v>
      </c>
      <c r="D45" s="17">
        <v>151</v>
      </c>
      <c r="E45" s="24">
        <v>151</v>
      </c>
    </row>
    <row r="46" spans="1:5" x14ac:dyDescent="0.3">
      <c r="A46" s="20">
        <v>40589</v>
      </c>
      <c r="B46" s="22"/>
      <c r="C46" s="21">
        <f t="shared" ref="C46:C95" si="0">_xlfn.FORECAST.ETS(A46,$B$2:$B$46,$A$2:$A$46,1,1)</f>
        <v>1229.714126877644</v>
      </c>
      <c r="D46" s="21">
        <f t="shared" ref="D46:D95" si="1">C46-_xlfn.FORECAST.ETS.CONFINT(A46,$B$2:$B$46,$A$2:$A$46,0.95,1,1)</f>
        <v>386.82942164716655</v>
      </c>
      <c r="E46" s="25">
        <f t="shared" ref="E46:E95" si="2">C46+_xlfn.FORECAST.ETS.CONFINT(A46,$B$2:$B$46,$A$2:$A$46,0.95,1,1)</f>
        <v>2072.5988321081213</v>
      </c>
    </row>
    <row r="47" spans="1:5" x14ac:dyDescent="0.3">
      <c r="A47" s="16">
        <v>40590</v>
      </c>
      <c r="B47" s="18"/>
      <c r="C47" s="17">
        <f t="shared" si="0"/>
        <v>1233.647893632455</v>
      </c>
      <c r="D47" s="17">
        <f t="shared" si="1"/>
        <v>364.61741187492885</v>
      </c>
      <c r="E47" s="24">
        <f t="shared" si="2"/>
        <v>2102.6783753899808</v>
      </c>
    </row>
    <row r="48" spans="1:5" x14ac:dyDescent="0.3">
      <c r="A48" s="20">
        <v>40591</v>
      </c>
      <c r="B48" s="22"/>
      <c r="C48" s="21">
        <f t="shared" si="0"/>
        <v>1237.5816603872661</v>
      </c>
      <c r="D48" s="21">
        <f t="shared" si="1"/>
        <v>342.9696278206336</v>
      </c>
      <c r="E48" s="25">
        <f t="shared" si="2"/>
        <v>2132.1936929538988</v>
      </c>
    </row>
    <row r="49" spans="1:5" x14ac:dyDescent="0.3">
      <c r="A49" s="16">
        <v>40592</v>
      </c>
      <c r="B49" s="18"/>
      <c r="C49" s="17">
        <f t="shared" si="0"/>
        <v>1241.5154271420772</v>
      </c>
      <c r="D49" s="17">
        <f t="shared" si="1"/>
        <v>321.83821257787349</v>
      </c>
      <c r="E49" s="24">
        <f t="shared" si="2"/>
        <v>2161.1926417062809</v>
      </c>
    </row>
    <row r="50" spans="1:5" x14ac:dyDescent="0.3">
      <c r="A50" s="20">
        <v>40593</v>
      </c>
      <c r="B50" s="22"/>
      <c r="C50" s="21">
        <f t="shared" si="0"/>
        <v>1245.4491938968881</v>
      </c>
      <c r="D50" s="21">
        <f t="shared" si="1"/>
        <v>301.18129247288914</v>
      </c>
      <c r="E50" s="25">
        <f t="shared" si="2"/>
        <v>2189.717095320887</v>
      </c>
    </row>
    <row r="51" spans="1:5" x14ac:dyDescent="0.3">
      <c r="A51" s="16">
        <v>40594</v>
      </c>
      <c r="B51" s="18"/>
      <c r="C51" s="17">
        <f t="shared" si="0"/>
        <v>1249.3829606516992</v>
      </c>
      <c r="D51" s="17">
        <f t="shared" si="1"/>
        <v>280.96198724417013</v>
      </c>
      <c r="E51" s="24">
        <f t="shared" si="2"/>
        <v>2217.8039340592286</v>
      </c>
    </row>
    <row r="52" spans="1:5" x14ac:dyDescent="0.3">
      <c r="A52" s="20">
        <v>40595</v>
      </c>
      <c r="B52" s="22"/>
      <c r="C52" s="21">
        <f t="shared" si="0"/>
        <v>1253.3167274065104</v>
      </c>
      <c r="D52" s="21">
        <f t="shared" si="1"/>
        <v>261.14762078932949</v>
      </c>
      <c r="E52" s="25">
        <f t="shared" si="2"/>
        <v>2245.4858340236915</v>
      </c>
    </row>
    <row r="53" spans="1:5" x14ac:dyDescent="0.3">
      <c r="A53" s="16">
        <v>40596</v>
      </c>
      <c r="B53" s="18"/>
      <c r="C53" s="17">
        <f t="shared" si="0"/>
        <v>1257.2504941613215</v>
      </c>
      <c r="D53" s="17">
        <f t="shared" si="1"/>
        <v>241.70908499142399</v>
      </c>
      <c r="E53" s="24">
        <f t="shared" si="2"/>
        <v>2272.7919033312191</v>
      </c>
    </row>
    <row r="54" spans="1:5" x14ac:dyDescent="0.3">
      <c r="A54" s="20">
        <v>40597</v>
      </c>
      <c r="B54" s="22"/>
      <c r="C54" s="21">
        <f t="shared" si="0"/>
        <v>1261.1842609161324</v>
      </c>
      <c r="D54" s="21">
        <f t="shared" si="1"/>
        <v>222.62032187117529</v>
      </c>
      <c r="E54" s="25">
        <f t="shared" si="2"/>
        <v>2299.7481999610895</v>
      </c>
    </row>
    <row r="55" spans="1:5" x14ac:dyDescent="0.3">
      <c r="A55" s="16">
        <v>40598</v>
      </c>
      <c r="B55" s="18"/>
      <c r="C55" s="17">
        <f t="shared" si="0"/>
        <v>1265.1180276709435</v>
      </c>
      <c r="D55" s="17">
        <f t="shared" si="1"/>
        <v>203.85789826242876</v>
      </c>
      <c r="E55" s="24">
        <f t="shared" si="2"/>
        <v>2326.3781570794581</v>
      </c>
    </row>
    <row r="56" spans="1:5" x14ac:dyDescent="0.3">
      <c r="A56" s="20">
        <v>40599</v>
      </c>
      <c r="B56" s="22"/>
      <c r="C56" s="21">
        <f t="shared" si="0"/>
        <v>1269.0517944257547</v>
      </c>
      <c r="D56" s="21">
        <f t="shared" si="1"/>
        <v>185.40065360098129</v>
      </c>
      <c r="E56" s="25">
        <f t="shared" si="2"/>
        <v>2352.7029352505278</v>
      </c>
    </row>
    <row r="57" spans="1:5" x14ac:dyDescent="0.3">
      <c r="A57" s="16">
        <v>40600</v>
      </c>
      <c r="B57" s="18"/>
      <c r="C57" s="17">
        <f t="shared" si="0"/>
        <v>1272.9855611805656</v>
      </c>
      <c r="D57" s="17">
        <f t="shared" si="1"/>
        <v>167.22940604969926</v>
      </c>
      <c r="E57" s="24">
        <f t="shared" si="2"/>
        <v>2378.7417163114319</v>
      </c>
    </row>
    <row r="58" spans="1:5" x14ac:dyDescent="0.3">
      <c r="A58" s="20">
        <v>40601</v>
      </c>
      <c r="B58" s="22"/>
      <c r="C58" s="21">
        <f t="shared" si="0"/>
        <v>1276.9193279353767</v>
      </c>
      <c r="D58" s="21">
        <f t="shared" si="1"/>
        <v>149.32670558530072</v>
      </c>
      <c r="E58" s="25">
        <f t="shared" si="2"/>
        <v>2404.5119502854527</v>
      </c>
    </row>
    <row r="59" spans="1:5" x14ac:dyDescent="0.3">
      <c r="A59" s="16">
        <v>40602</v>
      </c>
      <c r="B59" s="18"/>
      <c r="C59" s="17">
        <f t="shared" si="0"/>
        <v>1280.8530946901878</v>
      </c>
      <c r="D59" s="17">
        <f t="shared" si="1"/>
        <v>131.67662520185945</v>
      </c>
      <c r="E59" s="24">
        <f t="shared" si="2"/>
        <v>2430.029564178516</v>
      </c>
    </row>
    <row r="60" spans="1:5" x14ac:dyDescent="0.3">
      <c r="A60" s="20">
        <v>40603</v>
      </c>
      <c r="B60" s="22"/>
      <c r="C60" s="21">
        <f t="shared" si="0"/>
        <v>1284.7868614449987</v>
      </c>
      <c r="D60" s="21">
        <f t="shared" si="1"/>
        <v>114.26458328833633</v>
      </c>
      <c r="E60" s="25">
        <f t="shared" si="2"/>
        <v>2455.3091396016612</v>
      </c>
    </row>
    <row r="61" spans="1:5" x14ac:dyDescent="0.3">
      <c r="A61" s="16">
        <v>40604</v>
      </c>
      <c r="B61" s="18"/>
      <c r="C61" s="17">
        <f t="shared" si="0"/>
        <v>1288.7206281998099</v>
      </c>
      <c r="D61" s="17">
        <f t="shared" si="1"/>
        <v>97.077191682918738</v>
      </c>
      <c r="E61" s="24">
        <f t="shared" si="2"/>
        <v>2480.3640647167013</v>
      </c>
    </row>
    <row r="62" spans="1:5" x14ac:dyDescent="0.3">
      <c r="A62" s="20">
        <v>40605</v>
      </c>
      <c r="B62" s="22"/>
      <c r="C62" s="21">
        <f t="shared" si="0"/>
        <v>1292.654394954621</v>
      </c>
      <c r="D62" s="21">
        <f t="shared" si="1"/>
        <v>80.102125016091577</v>
      </c>
      <c r="E62" s="25">
        <f t="shared" si="2"/>
        <v>2505.2066648931504</v>
      </c>
    </row>
    <row r="63" spans="1:5" x14ac:dyDescent="0.3">
      <c r="A63" s="16">
        <v>40606</v>
      </c>
      <c r="B63" s="18"/>
      <c r="C63" s="17">
        <f t="shared" si="0"/>
        <v>1296.5881617094319</v>
      </c>
      <c r="D63" s="17">
        <f t="shared" si="1"/>
        <v>63.328007813183149</v>
      </c>
      <c r="E63" s="24">
        <f t="shared" si="2"/>
        <v>2529.8483156056809</v>
      </c>
    </row>
    <row r="64" spans="1:5" x14ac:dyDescent="0.3">
      <c r="A64" s="20">
        <v>40607</v>
      </c>
      <c r="B64" s="22"/>
      <c r="C64" s="21">
        <f t="shared" si="0"/>
        <v>1300.521928464243</v>
      </c>
      <c r="D64" s="21">
        <f t="shared" si="1"/>
        <v>46.744316497753289</v>
      </c>
      <c r="E64" s="25">
        <f t="shared" si="2"/>
        <v>2554.299540430733</v>
      </c>
    </row>
    <row r="65" spans="1:5" x14ac:dyDescent="0.3">
      <c r="A65" s="16">
        <v>40608</v>
      </c>
      <c r="B65" s="18"/>
      <c r="C65" s="17">
        <f t="shared" si="0"/>
        <v>1304.4556952190542</v>
      </c>
      <c r="D65" s="17">
        <f t="shared" si="1"/>
        <v>30.341293965023397</v>
      </c>
      <c r="E65" s="24">
        <f t="shared" si="2"/>
        <v>2578.570096473085</v>
      </c>
    </row>
    <row r="66" spans="1:5" x14ac:dyDescent="0.3">
      <c r="A66" s="20">
        <v>40609</v>
      </c>
      <c r="B66" s="22"/>
      <c r="C66" s="21">
        <f t="shared" si="0"/>
        <v>1308.3894619738651</v>
      </c>
      <c r="D66" s="21">
        <f t="shared" si="1"/>
        <v>14.109874813106217</v>
      </c>
      <c r="E66" s="25">
        <f t="shared" si="2"/>
        <v>2602.6690491346239</v>
      </c>
    </row>
    <row r="67" spans="1:5" x14ac:dyDescent="0.3">
      <c r="A67" s="16">
        <v>40610</v>
      </c>
      <c r="B67" s="18"/>
      <c r="C67" s="17">
        <f t="shared" si="0"/>
        <v>1312.3232287286762</v>
      </c>
      <c r="D67" s="17">
        <f t="shared" si="1"/>
        <v>-1.9583803460170657</v>
      </c>
      <c r="E67" s="24">
        <f t="shared" si="2"/>
        <v>2626.6048378033693</v>
      </c>
    </row>
    <row r="68" spans="1:5" x14ac:dyDescent="0.3">
      <c r="A68" s="20">
        <v>40611</v>
      </c>
      <c r="B68" s="22"/>
      <c r="C68" s="21">
        <f t="shared" si="0"/>
        <v>1316.2569954834873</v>
      </c>
      <c r="D68" s="21">
        <f t="shared" si="1"/>
        <v>-17.87134280522173</v>
      </c>
      <c r="E68" s="25">
        <f t="shared" si="2"/>
        <v>2650.3853337721966</v>
      </c>
    </row>
    <row r="69" spans="1:5" x14ac:dyDescent="0.3">
      <c r="A69" s="16">
        <v>40612</v>
      </c>
      <c r="B69" s="18"/>
      <c r="C69" s="17">
        <f t="shared" si="0"/>
        <v>1320.1907622382982</v>
      </c>
      <c r="D69" s="17">
        <f t="shared" si="1"/>
        <v>-33.636367002861562</v>
      </c>
      <c r="E69" s="24">
        <f t="shared" si="2"/>
        <v>2674.0178914794578</v>
      </c>
    </row>
    <row r="70" spans="1:5" x14ac:dyDescent="0.3">
      <c r="A70" s="20">
        <v>40613</v>
      </c>
      <c r="B70" s="22"/>
      <c r="C70" s="21">
        <f t="shared" si="0"/>
        <v>1324.1245289931094</v>
      </c>
      <c r="D70" s="21">
        <f t="shared" si="1"/>
        <v>-49.260336000793131</v>
      </c>
      <c r="E70" s="25">
        <f t="shared" si="2"/>
        <v>2697.5093939870121</v>
      </c>
    </row>
    <row r="71" spans="1:5" x14ac:dyDescent="0.3">
      <c r="A71" s="16">
        <v>40614</v>
      </c>
      <c r="B71" s="18"/>
      <c r="C71" s="17">
        <f t="shared" si="0"/>
        <v>1328.0582957479205</v>
      </c>
      <c r="D71" s="17">
        <f t="shared" si="1"/>
        <v>-64.749701970761635</v>
      </c>
      <c r="E71" s="24">
        <f t="shared" si="2"/>
        <v>2720.8662934666027</v>
      </c>
    </row>
    <row r="72" spans="1:5" x14ac:dyDescent="0.3">
      <c r="A72" s="20">
        <v>40615</v>
      </c>
      <c r="B72" s="22"/>
      <c r="C72" s="21">
        <f t="shared" si="0"/>
        <v>1331.9920625027316</v>
      </c>
      <c r="D72" s="21">
        <f t="shared" si="1"/>
        <v>-80.110522341240085</v>
      </c>
      <c r="E72" s="25">
        <f t="shared" si="2"/>
        <v>2744.0946473467034</v>
      </c>
    </row>
    <row r="73" spans="1:5" x14ac:dyDescent="0.3">
      <c r="A73" s="16">
        <v>40616</v>
      </c>
      <c r="B73" s="18"/>
      <c r="C73" s="17">
        <f t="shared" si="0"/>
        <v>1335.9258292575425</v>
      </c>
      <c r="D73" s="17">
        <f t="shared" si="1"/>
        <v>-95.348492158614135</v>
      </c>
      <c r="E73" s="24">
        <f t="shared" si="2"/>
        <v>2767.2001506736992</v>
      </c>
    </row>
    <row r="74" spans="1:5" x14ac:dyDescent="0.3">
      <c r="A74" s="20">
        <v>40617</v>
      </c>
      <c r="B74" s="22"/>
      <c r="C74" s="21">
        <f t="shared" si="0"/>
        <v>1339.8595960123537</v>
      </c>
      <c r="D74" s="21">
        <f t="shared" si="1"/>
        <v>-110.46897313504314</v>
      </c>
      <c r="E74" s="25">
        <f t="shared" si="2"/>
        <v>2790.1881651597505</v>
      </c>
    </row>
    <row r="75" spans="1:5" x14ac:dyDescent="0.3">
      <c r="A75" s="16">
        <v>40618</v>
      </c>
      <c r="B75" s="18"/>
      <c r="C75" s="17">
        <f t="shared" si="0"/>
        <v>1343.7933627671648</v>
      </c>
      <c r="D75" s="17">
        <f t="shared" si="1"/>
        <v>-125.47701978733517</v>
      </c>
      <c r="E75" s="24">
        <f t="shared" si="2"/>
        <v>2813.063745321665</v>
      </c>
    </row>
    <row r="76" spans="1:5" x14ac:dyDescent="0.3">
      <c r="A76" s="20">
        <v>40619</v>
      </c>
      <c r="B76" s="22"/>
      <c r="C76" s="21">
        <f t="shared" si="0"/>
        <v>1347.7271295219757</v>
      </c>
      <c r="D76" s="21">
        <f t="shared" si="1"/>
        <v>-140.37740301418535</v>
      </c>
      <c r="E76" s="25">
        <f t="shared" si="2"/>
        <v>2835.8316620581368</v>
      </c>
    </row>
    <row r="77" spans="1:5" x14ac:dyDescent="0.3">
      <c r="A77" s="16">
        <v>40620</v>
      </c>
      <c r="B77" s="18"/>
      <c r="C77" s="17">
        <f t="shared" si="0"/>
        <v>1351.6608962767868</v>
      </c>
      <c r="D77" s="17">
        <f t="shared" si="1"/>
        <v>-155.17463141123721</v>
      </c>
      <c r="E77" s="24">
        <f t="shared" si="2"/>
        <v>2858.4964239648107</v>
      </c>
    </row>
    <row r="78" spans="1:5" x14ac:dyDescent="0.3">
      <c r="A78" s="20">
        <v>40621</v>
      </c>
      <c r="B78" s="22"/>
      <c r="C78" s="21">
        <f t="shared" si="0"/>
        <v>1355.594663031598</v>
      </c>
      <c r="D78" s="21">
        <f t="shared" si="1"/>
        <v>-169.87297058297304</v>
      </c>
      <c r="E78" s="25">
        <f t="shared" si="2"/>
        <v>2881.0622966461688</v>
      </c>
    </row>
    <row r="79" spans="1:5" x14ac:dyDescent="0.3">
      <c r="A79" s="16">
        <v>40622</v>
      </c>
      <c r="B79" s="18"/>
      <c r="C79" s="17">
        <f t="shared" si="0"/>
        <v>1359.5284297864089</v>
      </c>
      <c r="D79" s="17">
        <f t="shared" si="1"/>
        <v>-184.47646067615005</v>
      </c>
      <c r="E79" s="24">
        <f t="shared" si="2"/>
        <v>2903.5333202489678</v>
      </c>
    </row>
    <row r="80" spans="1:5" x14ac:dyDescent="0.3">
      <c r="A80" s="20">
        <v>40623</v>
      </c>
      <c r="B80" s="22"/>
      <c r="C80" s="21">
        <f t="shared" si="0"/>
        <v>1363.46219654122</v>
      </c>
      <c r="D80" s="21">
        <f t="shared" si="1"/>
        <v>-198.98893233036051</v>
      </c>
      <c r="E80" s="25">
        <f t="shared" si="2"/>
        <v>2925.9133254128005</v>
      </c>
    </row>
    <row r="81" spans="1:5" x14ac:dyDescent="0.3">
      <c r="A81" s="16">
        <v>40624</v>
      </c>
      <c r="B81" s="18"/>
      <c r="C81" s="17">
        <f t="shared" si="0"/>
        <v>1367.3959632960311</v>
      </c>
      <c r="D81" s="17">
        <f t="shared" si="1"/>
        <v>-213.41402121641022</v>
      </c>
      <c r="E81" s="24">
        <f t="shared" si="2"/>
        <v>2948.2059478084725</v>
      </c>
    </row>
    <row r="82" spans="1:5" x14ac:dyDescent="0.3">
      <c r="A82" s="20">
        <v>40625</v>
      </c>
      <c r="B82" s="22"/>
      <c r="C82" s="21">
        <f t="shared" si="0"/>
        <v>1371.329730050842</v>
      </c>
      <c r="D82" s="21">
        <f t="shared" si="1"/>
        <v>-227.75518131190324</v>
      </c>
      <c r="E82" s="25">
        <f t="shared" si="2"/>
        <v>2970.4146414135876</v>
      </c>
    </row>
    <row r="83" spans="1:5" x14ac:dyDescent="0.3">
      <c r="A83" s="16">
        <v>40626</v>
      </c>
      <c r="B83" s="18"/>
      <c r="C83" s="17">
        <f t="shared" si="0"/>
        <v>1375.2634968056532</v>
      </c>
      <c r="D83" s="17">
        <f t="shared" si="1"/>
        <v>-242.01569704513281</v>
      </c>
      <c r="E83" s="24">
        <f t="shared" si="2"/>
        <v>2992.5426906564389</v>
      </c>
    </row>
    <row r="84" spans="1:5" x14ac:dyDescent="0.3">
      <c r="A84" s="20">
        <v>40627</v>
      </c>
      <c r="B84" s="22"/>
      <c r="C84" s="21">
        <f t="shared" si="0"/>
        <v>1379.1972635604643</v>
      </c>
      <c r="D84" s="21">
        <f t="shared" si="1"/>
        <v>-256.19869442262484</v>
      </c>
      <c r="E84" s="25">
        <f t="shared" si="2"/>
        <v>3014.5932215435532</v>
      </c>
    </row>
    <row r="85" spans="1:5" x14ac:dyDescent="0.3">
      <c r="A85" s="16">
        <v>40628</v>
      </c>
      <c r="B85" s="18"/>
      <c r="C85" s="17">
        <f t="shared" si="0"/>
        <v>1383.1310303152754</v>
      </c>
      <c r="D85" s="17">
        <f t="shared" si="1"/>
        <v>-270.30715124204744</v>
      </c>
      <c r="E85" s="24">
        <f t="shared" si="2"/>
        <v>3036.5692118725983</v>
      </c>
    </row>
    <row r="86" spans="1:5" x14ac:dyDescent="0.3">
      <c r="A86" s="20">
        <v>40629</v>
      </c>
      <c r="B86" s="22"/>
      <c r="C86" s="21">
        <f t="shared" si="0"/>
        <v>1387.0647970700863</v>
      </c>
      <c r="D86" s="21">
        <f t="shared" si="1"/>
        <v>-284.34390648041881</v>
      </c>
      <c r="E86" s="25">
        <f t="shared" si="2"/>
        <v>3058.4735006205915</v>
      </c>
    </row>
    <row r="87" spans="1:5" x14ac:dyDescent="0.3">
      <c r="A87" s="16">
        <v>40630</v>
      </c>
      <c r="B87" s="18"/>
      <c r="C87" s="17">
        <f t="shared" si="0"/>
        <v>1390.9985638248975</v>
      </c>
      <c r="D87" s="17">
        <f t="shared" si="1"/>
        <v>-298.31166893729801</v>
      </c>
      <c r="E87" s="24">
        <f t="shared" si="2"/>
        <v>3080.3087965870927</v>
      </c>
    </row>
    <row r="88" spans="1:5" x14ac:dyDescent="0.3">
      <c r="A88" s="20">
        <v>40631</v>
      </c>
      <c r="B88" s="22"/>
      <c r="C88" s="21">
        <f t="shared" si="0"/>
        <v>1394.9323305797084</v>
      </c>
      <c r="D88" s="21">
        <f t="shared" si="1"/>
        <v>-312.21302520370705</v>
      </c>
      <c r="E88" s="25">
        <f t="shared" si="2"/>
        <v>3102.0776863631236</v>
      </c>
    </row>
    <row r="89" spans="1:5" x14ac:dyDescent="0.3">
      <c r="A89" s="16">
        <v>40632</v>
      </c>
      <c r="B89" s="18"/>
      <c r="C89" s="17">
        <f t="shared" si="0"/>
        <v>1398.8660973345195</v>
      </c>
      <c r="D89" s="17">
        <f t="shared" si="1"/>
        <v>-326.0504470197568</v>
      </c>
      <c r="E89" s="24">
        <f t="shared" si="2"/>
        <v>3123.7826416887956</v>
      </c>
    </row>
    <row r="90" spans="1:5" x14ac:dyDescent="0.3">
      <c r="A90" s="20">
        <v>40633</v>
      </c>
      <c r="B90" s="22"/>
      <c r="C90" s="21">
        <f t="shared" si="0"/>
        <v>1402.7998640893306</v>
      </c>
      <c r="D90" s="21">
        <f t="shared" si="1"/>
        <v>-339.82629807711487</v>
      </c>
      <c r="E90" s="25">
        <f t="shared" si="2"/>
        <v>3145.4260262557764</v>
      </c>
    </row>
    <row r="91" spans="1:5" x14ac:dyDescent="0.3">
      <c r="A91" s="16">
        <v>40634</v>
      </c>
      <c r="B91" s="18"/>
      <c r="C91" s="17">
        <f t="shared" si="0"/>
        <v>1406.7336308441418</v>
      </c>
      <c r="D91" s="17">
        <f t="shared" si="1"/>
        <v>-353.54284031648558</v>
      </c>
      <c r="E91" s="24">
        <f t="shared" si="2"/>
        <v>3167.0101020047691</v>
      </c>
    </row>
    <row r="92" spans="1:5" x14ac:dyDescent="0.3">
      <c r="A92" s="20">
        <v>40635</v>
      </c>
      <c r="B92" s="22"/>
      <c r="C92" s="21">
        <f t="shared" si="0"/>
        <v>1410.6673975989527</v>
      </c>
      <c r="D92" s="21">
        <f t="shared" si="1"/>
        <v>-367.20223976499551</v>
      </c>
      <c r="E92" s="25">
        <f t="shared" si="2"/>
        <v>3188.5370349629011</v>
      </c>
    </row>
    <row r="93" spans="1:5" x14ac:dyDescent="0.3">
      <c r="A93" s="16">
        <v>40636</v>
      </c>
      <c r="B93" s="18"/>
      <c r="C93" s="17">
        <f t="shared" si="0"/>
        <v>1414.6011643537638</v>
      </c>
      <c r="D93" s="17">
        <f t="shared" si="1"/>
        <v>-380.80657195376489</v>
      </c>
      <c r="E93" s="24">
        <f t="shared" si="2"/>
        <v>3210.0089006612925</v>
      </c>
    </row>
    <row r="94" spans="1:5" x14ac:dyDescent="0.3">
      <c r="A94" s="20">
        <v>40637</v>
      </c>
      <c r="B94" s="22"/>
      <c r="C94" s="21">
        <f t="shared" si="0"/>
        <v>1418.5349311085749</v>
      </c>
      <c r="D94" s="21">
        <f t="shared" si="1"/>
        <v>-394.35782695183707</v>
      </c>
      <c r="E94" s="25">
        <f t="shared" si="2"/>
        <v>3231.4276891689869</v>
      </c>
    </row>
    <row r="95" spans="1:5" x14ac:dyDescent="0.3">
      <c r="A95" s="16">
        <v>40638</v>
      </c>
      <c r="B95" s="18"/>
      <c r="C95" s="17">
        <f t="shared" si="0"/>
        <v>1422.4686978633858</v>
      </c>
      <c r="D95" s="17">
        <f t="shared" si="1"/>
        <v>-407.85791404902352</v>
      </c>
      <c r="E95" s="24">
        <f t="shared" si="2"/>
        <v>3252.7953097757954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82A20-5DBE-4BF9-8584-CD683E85A028}">
  <dimension ref="A1:B9"/>
  <sheetViews>
    <sheetView workbookViewId="0">
      <selection activeCell="P28" sqref="P28"/>
    </sheetView>
  </sheetViews>
  <sheetFormatPr defaultRowHeight="14.4" x14ac:dyDescent="0.3"/>
  <cols>
    <col min="1" max="1" width="20.5546875" customWidth="1"/>
    <col min="2" max="2" width="14.77734375" customWidth="1"/>
  </cols>
  <sheetData>
    <row r="1" spans="1:2" x14ac:dyDescent="0.3">
      <c r="A1" t="s">
        <v>85</v>
      </c>
      <c r="B1">
        <f>COUNTIF([1]!Bike_Sharing_Master6[Demand_Level],"High")</f>
        <v>61</v>
      </c>
    </row>
    <row r="2" spans="1:2" x14ac:dyDescent="0.3">
      <c r="A2" t="s">
        <v>86</v>
      </c>
      <c r="B2" s="26">
        <f>(B1/COUNTA([1]!Bike_Sharing_Master6[Demand_Level]))</f>
        <v>6.0999999999999999E-2</v>
      </c>
    </row>
    <row r="4" spans="1:2" x14ac:dyDescent="0.3">
      <c r="A4" t="s">
        <v>87</v>
      </c>
      <c r="B4">
        <f>SUMIF([1]!Bike_Sharing_Master6[Day Type],"Weekend",[1]!Bike_Sharing_Master6[Cnt])</f>
        <v>15869</v>
      </c>
    </row>
    <row r="5" spans="1:2" x14ac:dyDescent="0.3">
      <c r="A5" t="s">
        <v>88</v>
      </c>
      <c r="B5" s="26">
        <f>(B4/SUM('[1]Bike_Sharing_Master (2)'!O:O))</f>
        <v>0.29726692018058182</v>
      </c>
    </row>
    <row r="7" spans="1:2" x14ac:dyDescent="0.3">
      <c r="A7" t="s">
        <v>89</v>
      </c>
      <c r="B7">
        <f>STDEV([1]!Bike_Sharing_Master6[Cnt])</f>
        <v>50.985557867999354</v>
      </c>
    </row>
    <row r="9" spans="1:2" x14ac:dyDescent="0.3">
      <c r="A9" t="s">
        <v>90</v>
      </c>
      <c r="B9">
        <f>CORREL([1]!Bike_Sharing_Master6[Temp],[1]!Bike_Sharing_Master6[Cnt])</f>
        <v>0.22929155386993369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A2CB0-F1F9-4162-9911-2F51CFA49E14}">
  <dimension ref="A1:Y30"/>
  <sheetViews>
    <sheetView workbookViewId="0">
      <selection sqref="A1:XFD1048576"/>
    </sheetView>
  </sheetViews>
  <sheetFormatPr defaultColWidth="12.44140625" defaultRowHeight="14.4" x14ac:dyDescent="0.3"/>
  <cols>
    <col min="1" max="16384" width="12.44140625" style="27"/>
  </cols>
  <sheetData>
    <row r="1" spans="3:17" x14ac:dyDescent="0.3">
      <c r="H1" s="28" t="s">
        <v>91</v>
      </c>
      <c r="I1" s="29"/>
      <c r="J1" s="29"/>
      <c r="K1" s="29"/>
      <c r="L1" s="29"/>
      <c r="M1" s="29"/>
      <c r="N1" s="29"/>
      <c r="O1" s="29"/>
      <c r="P1" s="30"/>
    </row>
    <row r="2" spans="3:17" x14ac:dyDescent="0.3">
      <c r="H2" s="31"/>
      <c r="I2" s="32"/>
      <c r="J2" s="32"/>
      <c r="K2" s="32"/>
      <c r="L2" s="32"/>
      <c r="M2" s="32"/>
      <c r="N2" s="32"/>
      <c r="O2" s="32"/>
      <c r="P2" s="33"/>
    </row>
    <row r="3" spans="3:17" ht="15" thickBot="1" x14ac:dyDescent="0.35">
      <c r="H3" s="34"/>
      <c r="I3" s="35"/>
      <c r="J3" s="35"/>
      <c r="K3" s="35"/>
      <c r="L3" s="35"/>
      <c r="M3" s="35"/>
      <c r="N3" s="35"/>
      <c r="O3" s="35"/>
      <c r="P3" s="36"/>
    </row>
    <row r="5" spans="3:17" ht="14.4" customHeight="1" x14ac:dyDescent="0.3">
      <c r="C5" s="37">
        <f>SUM('[1]Bike_Sharing_Master (2)'!P:P)</f>
        <v>58304</v>
      </c>
      <c r="D5" s="37"/>
      <c r="E5" s="37"/>
      <c r="G5" s="38">
        <f>(COUNTIF([1]!Bike_Sharing_Master6[Demand_Level],"High")/COUNTA([1]!Bike_Sharing_Master6[Demand_Level]))</f>
        <v>6.0999999999999999E-2</v>
      </c>
      <c r="H5" s="38"/>
      <c r="I5" s="38"/>
      <c r="K5" s="38">
        <f>SUMIF([1]!Bike_Sharing_Master6[Day Type],"Weekend",[1]!Bike_Sharing_Master6[Cnt])/SUM('[1]Bike_Sharing_Master (2)'!P:P)</f>
        <v>0.27217686608122943</v>
      </c>
      <c r="L5" s="38"/>
      <c r="M5" s="38"/>
      <c r="O5" s="37">
        <f>SUM([1]!Bike_Sharing_Master6[Cnt]) / COUNTA([1]!Bike_Sharing_Master6[Cnt])</f>
        <v>58.304000000000002</v>
      </c>
      <c r="P5" s="37"/>
      <c r="Q5" s="37"/>
    </row>
    <row r="6" spans="3:17" ht="14.4" customHeight="1" x14ac:dyDescent="0.3">
      <c r="C6" s="37"/>
      <c r="D6" s="37"/>
      <c r="E6" s="37"/>
      <c r="G6" s="38"/>
      <c r="H6" s="38"/>
      <c r="I6" s="38"/>
      <c r="K6" s="38"/>
      <c r="L6" s="38"/>
      <c r="M6" s="38"/>
      <c r="O6" s="37"/>
      <c r="P6" s="37"/>
      <c r="Q6" s="37"/>
    </row>
    <row r="7" spans="3:17" ht="14.4" customHeight="1" x14ac:dyDescent="0.3">
      <c r="C7" s="37"/>
      <c r="D7" s="37"/>
      <c r="E7" s="37"/>
      <c r="G7" s="38"/>
      <c r="H7" s="38"/>
      <c r="I7" s="38"/>
      <c r="K7" s="38"/>
      <c r="L7" s="38"/>
      <c r="M7" s="38"/>
      <c r="O7" s="37"/>
      <c r="P7" s="37"/>
      <c r="Q7" s="37"/>
    </row>
    <row r="8" spans="3:17" ht="14.4" customHeight="1" x14ac:dyDescent="0.3">
      <c r="C8" s="39" t="s">
        <v>92</v>
      </c>
      <c r="D8" s="39"/>
      <c r="E8" s="39"/>
      <c r="G8" s="40" t="s">
        <v>93</v>
      </c>
      <c r="H8" s="40"/>
      <c r="I8" s="40"/>
      <c r="K8" s="41" t="s">
        <v>88</v>
      </c>
      <c r="L8" s="41"/>
      <c r="M8" s="41"/>
      <c r="O8" s="39" t="s">
        <v>94</v>
      </c>
      <c r="P8" s="39"/>
      <c r="Q8" s="39"/>
    </row>
    <row r="9" spans="3:17" ht="14.4" customHeight="1" x14ac:dyDescent="0.3">
      <c r="C9" s="39"/>
      <c r="D9" s="39"/>
      <c r="E9" s="39"/>
      <c r="G9" s="40"/>
      <c r="H9" s="40"/>
      <c r="I9" s="40"/>
      <c r="K9" s="41"/>
      <c r="L9" s="41"/>
      <c r="M9" s="41"/>
      <c r="O9" s="39"/>
      <c r="P9" s="39"/>
      <c r="Q9" s="39"/>
    </row>
    <row r="27" spans="1:25" ht="21" x14ac:dyDescent="0.4">
      <c r="A27" s="15" t="s">
        <v>84</v>
      </c>
      <c r="B27" s="14" t="s">
        <v>5</v>
      </c>
      <c r="C27" s="10"/>
      <c r="D27" s="10"/>
      <c r="E27" s="10"/>
      <c r="F27" s="10"/>
      <c r="G27" s="10"/>
      <c r="H27" s="10"/>
      <c r="I27" s="10"/>
      <c r="J27" s="10"/>
      <c r="K27" s="10"/>
      <c r="L27" s="10"/>
      <c r="M27" s="10"/>
      <c r="N27" s="10"/>
      <c r="O27" s="10"/>
      <c r="P27" s="10"/>
      <c r="Q27" s="10"/>
      <c r="R27" s="10"/>
      <c r="S27" s="10"/>
      <c r="T27" s="10"/>
      <c r="U27" s="10"/>
      <c r="V27" s="10"/>
      <c r="W27" s="10"/>
      <c r="X27" s="10"/>
      <c r="Y27" s="10"/>
    </row>
    <row r="28" spans="1:25" ht="23.4" x14ac:dyDescent="0.45">
      <c r="A28" s="14" t="s">
        <v>16</v>
      </c>
      <c r="B28" s="11">
        <v>0</v>
      </c>
      <c r="C28" s="11">
        <v>1</v>
      </c>
      <c r="D28" s="11">
        <v>2</v>
      </c>
      <c r="E28" s="11">
        <v>3</v>
      </c>
      <c r="F28" s="11">
        <v>4</v>
      </c>
      <c r="G28" s="11">
        <v>5</v>
      </c>
      <c r="H28" s="11">
        <v>6</v>
      </c>
      <c r="I28" s="11">
        <v>7</v>
      </c>
      <c r="J28" s="11">
        <v>8</v>
      </c>
      <c r="K28" s="11">
        <v>9</v>
      </c>
      <c r="L28" s="11">
        <v>10</v>
      </c>
      <c r="M28" s="11">
        <v>11</v>
      </c>
      <c r="N28" s="11">
        <v>12</v>
      </c>
      <c r="O28" s="11">
        <v>13</v>
      </c>
      <c r="P28" s="11">
        <v>14</v>
      </c>
      <c r="Q28" s="11">
        <v>15</v>
      </c>
      <c r="R28" s="11">
        <v>16</v>
      </c>
      <c r="S28" s="11">
        <v>17</v>
      </c>
      <c r="T28" s="11">
        <v>18</v>
      </c>
      <c r="U28" s="11">
        <v>19</v>
      </c>
      <c r="V28" s="11">
        <v>20</v>
      </c>
      <c r="W28" s="11">
        <v>21</v>
      </c>
      <c r="X28" s="11">
        <v>22</v>
      </c>
      <c r="Y28" s="11">
        <v>23</v>
      </c>
    </row>
    <row r="29" spans="1:25" ht="23.4" x14ac:dyDescent="0.45">
      <c r="A29" s="12" t="s">
        <v>7</v>
      </c>
      <c r="B29" s="13">
        <v>10.266666666666667</v>
      </c>
      <c r="C29" s="13">
        <v>4.3125</v>
      </c>
      <c r="D29" s="13">
        <v>2</v>
      </c>
      <c r="E29" s="13">
        <v>1.5</v>
      </c>
      <c r="F29" s="13">
        <v>2</v>
      </c>
      <c r="G29" s="13">
        <v>5</v>
      </c>
      <c r="H29" s="13">
        <v>30.111111111111111</v>
      </c>
      <c r="I29" s="13">
        <v>85.15</v>
      </c>
      <c r="J29" s="13">
        <v>196</v>
      </c>
      <c r="K29" s="13">
        <v>120.86666666666666</v>
      </c>
      <c r="L29" s="13">
        <v>49.666666666666664</v>
      </c>
      <c r="M29" s="13">
        <v>52.857142857142854</v>
      </c>
      <c r="N29" s="13">
        <v>68.5</v>
      </c>
      <c r="O29" s="13">
        <v>73.071428571428569</v>
      </c>
      <c r="P29" s="13">
        <v>61.533333333333331</v>
      </c>
      <c r="Q29" s="13">
        <v>63.533333333333331</v>
      </c>
      <c r="R29" s="13">
        <v>82.666666666666671</v>
      </c>
      <c r="S29" s="13">
        <v>167.7</v>
      </c>
      <c r="T29" s="13">
        <v>149</v>
      </c>
      <c r="U29" s="13">
        <v>104.35</v>
      </c>
      <c r="V29" s="13">
        <v>71.84210526315789</v>
      </c>
      <c r="W29" s="13">
        <v>51.526315789473685</v>
      </c>
      <c r="X29" s="13">
        <v>36.705882352941174</v>
      </c>
      <c r="Y29" s="13">
        <v>23.866666666666667</v>
      </c>
    </row>
    <row r="30" spans="1:25" ht="23.4" x14ac:dyDescent="0.45">
      <c r="A30" s="12" t="s">
        <v>30</v>
      </c>
      <c r="B30" s="13">
        <v>28.363636363636363</v>
      </c>
      <c r="C30" s="13">
        <v>25.444444444444443</v>
      </c>
      <c r="D30" s="13">
        <v>17.25</v>
      </c>
      <c r="E30" s="13">
        <v>9.5</v>
      </c>
      <c r="F30" s="13">
        <v>1.8571428571428572</v>
      </c>
      <c r="G30" s="13">
        <v>1.4</v>
      </c>
      <c r="H30" s="13">
        <v>1.8333333333333333</v>
      </c>
      <c r="I30" s="13">
        <v>6.2222222222222223</v>
      </c>
      <c r="J30" s="13">
        <v>21.333333333333332</v>
      </c>
      <c r="K30" s="13">
        <v>32</v>
      </c>
      <c r="L30" s="13">
        <v>69.875</v>
      </c>
      <c r="M30" s="13">
        <v>85.666666666666671</v>
      </c>
      <c r="N30" s="13">
        <v>113.22222222222223</v>
      </c>
      <c r="O30" s="13">
        <v>112.2</v>
      </c>
      <c r="P30" s="13">
        <v>107.11111111111111</v>
      </c>
      <c r="Q30" s="13">
        <v>114.88888888888889</v>
      </c>
      <c r="R30" s="13">
        <v>105.22222222222223</v>
      </c>
      <c r="S30" s="13">
        <v>88.545454545454547</v>
      </c>
      <c r="T30" s="13">
        <v>64.3</v>
      </c>
      <c r="U30" s="13">
        <v>44.9</v>
      </c>
      <c r="V30" s="13">
        <v>40.909090909090907</v>
      </c>
      <c r="W30" s="13">
        <v>36.454545454545453</v>
      </c>
      <c r="X30" s="13">
        <v>33.6</v>
      </c>
      <c r="Y30" s="13">
        <v>28.90909090909091</v>
      </c>
    </row>
  </sheetData>
  <mergeCells count="9">
    <mergeCell ref="H1:P3"/>
    <mergeCell ref="C5:E7"/>
    <mergeCell ref="G5:I7"/>
    <mergeCell ref="K5:M7"/>
    <mergeCell ref="O5:Q7"/>
    <mergeCell ref="C8:E9"/>
    <mergeCell ref="G8:I9"/>
    <mergeCell ref="K8:M9"/>
    <mergeCell ref="O8:Q9"/>
  </mergeCells>
  <conditionalFormatting pivot="1" sqref="B29:Y30">
    <cfRule type="cellIs" dxfId="21" priority="3" operator="greaterThan">
      <formula>92</formula>
    </cfRule>
  </conditionalFormatting>
  <conditionalFormatting pivot="1" sqref="B29:Y30">
    <cfRule type="cellIs" dxfId="20" priority="2" operator="lessThan">
      <formula>30</formula>
    </cfRule>
  </conditionalFormatting>
  <conditionalFormatting pivot="1" sqref="B29:Y30">
    <cfRule type="cellIs" dxfId="19" priority="1" operator="between">
      <formula>30</formula>
      <formula>92</formula>
    </cfRule>
  </conditionalFormatting>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1]!Refresh_All">
                <anchor moveWithCells="1" sizeWithCells="1">
                  <from>
                    <xdr:col>0</xdr:col>
                    <xdr:colOff>198120</xdr:colOff>
                    <xdr:row>0</xdr:row>
                    <xdr:rowOff>121920</xdr:rowOff>
                  </from>
                  <to>
                    <xdr:col>2</xdr:col>
                    <xdr:colOff>0</xdr:colOff>
                    <xdr:row>3</xdr:row>
                    <xdr:rowOff>76200</xdr:rowOff>
                  </to>
                </anchor>
              </controlPr>
            </control>
          </mc:Choice>
        </mc:AlternateContent>
        <mc:AlternateContent xmlns:mc="http://schemas.openxmlformats.org/markup-compatibility/2006">
          <mc:Choice Requires="x14">
            <control shapeId="1026" r:id="rId5" name="Button 2">
              <controlPr defaultSize="0" print="0" autoFill="0" autoPict="0" macro="[1]!Data_Quality_Check">
                <anchor moveWithCells="1" sizeWithCells="1">
                  <from>
                    <xdr:col>2</xdr:col>
                    <xdr:colOff>274320</xdr:colOff>
                    <xdr:row>0</xdr:row>
                    <xdr:rowOff>106680</xdr:rowOff>
                  </from>
                  <to>
                    <xdr:col>4</xdr:col>
                    <xdr:colOff>548640</xdr:colOff>
                    <xdr:row>3</xdr:row>
                    <xdr:rowOff>76200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5CF212-68DF-40B5-95C1-B9B30A083D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final dataset</vt:lpstr>
      <vt:lpstr>lookup wheather</vt:lpstr>
      <vt:lpstr>pivot table usertype</vt:lpstr>
      <vt:lpstr>pivot trend</vt:lpstr>
      <vt:lpstr>wheather impact</vt:lpstr>
      <vt:lpstr>pivot table heat map</vt:lpstr>
      <vt:lpstr>wheather forecast</vt:lpstr>
      <vt:lpstr>statstical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Musab Mirza</dc:creator>
  <cp:lastModifiedBy>Musab Mirza</cp:lastModifiedBy>
  <dcterms:created xsi:type="dcterms:W3CDTF">2026-01-20T13:52:00Z</dcterms:created>
  <dcterms:modified xsi:type="dcterms:W3CDTF">2026-01-20T14:04:16Z</dcterms:modified>
</cp:coreProperties>
</file>